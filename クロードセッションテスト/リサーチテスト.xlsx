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urok\Desktop\クロードセッションテスト\"/>
    </mc:Choice>
  </mc:AlternateContent>
  <xr:revisionPtr revIDLastSave="0" documentId="13_ncr:1_{C95E3B58-8185-493C-8DF4-34080CF6F67E}" xr6:coauthVersionLast="47" xr6:coauthVersionMax="47" xr10:uidLastSave="{00000000-0000-0000-0000-000000000000}"/>
  <bookViews>
    <workbookView xWindow="28680" yWindow="-120" windowWidth="29040" windowHeight="15720" tabRatio="680" xr2:uid="{670D4894-39D7-41F8-A0A0-A03DE1E9610F}"/>
  </bookViews>
  <sheets>
    <sheet name="【１】キーワード" sheetId="7" r:id="rId1"/>
    <sheet name="【２】結果" sheetId="6" r:id="rId2"/>
    <sheet name="【３】出品リスト候補" sheetId="3" r:id="rId3"/>
    <sheet name="【４】精査" sheetId="9" r:id="rId4"/>
    <sheet name="【５】出品リスト" sheetId="1" r:id="rId5"/>
    <sheet name="【６】管理用" sheetId="10" r:id="rId6"/>
    <sheet name="送料" sheetId="2" r:id="rId7"/>
    <sheet name="【１】【２】備考" sheetId="8" r:id="rId8"/>
    <sheet name="【３】【５】備考" sheetId="4" r:id="rId9"/>
    <sheet name="【その他】出品リスト" sheetId="11" r:id="rId10"/>
    <sheet name="【その他】管理用" sheetId="12" r:id="rId11"/>
  </sheets>
  <definedNames>
    <definedName name="_xlnm._FilterDatabase" localSheetId="2" hidden="1">【３】出品リスト候補!#REF!</definedName>
    <definedName name="_xlnm._FilterDatabase" localSheetId="3" hidden="1">【４】精査!$V$2:$V$41</definedName>
    <definedName name="_xlnm._FilterDatabase" localSheetId="9" hidden="1">【その他】出品リスト!$V$2:$V$41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2" i="3" l="1"/>
  <c r="B3" i="3"/>
  <c r="B2" i="3"/>
  <c r="B3" i="6"/>
  <c r="B4" i="6"/>
  <c r="B5" i="6"/>
  <c r="B6" i="6"/>
  <c r="B7" i="6"/>
  <c r="T111" i="3"/>
  <c r="U111" i="3"/>
  <c r="Z111" i="3"/>
  <c r="AA111" i="3"/>
  <c r="AB111" i="3" s="1"/>
  <c r="AD111" i="3"/>
  <c r="T112" i="3"/>
  <c r="U112" i="3"/>
  <c r="Z112" i="3"/>
  <c r="AA112" i="3"/>
  <c r="AB112" i="3" s="1"/>
  <c r="AD112" i="3"/>
  <c r="T113" i="3"/>
  <c r="U113" i="3"/>
  <c r="Z113" i="3"/>
  <c r="AA113" i="3"/>
  <c r="AB113" i="3" s="1"/>
  <c r="AD113" i="3"/>
  <c r="T114" i="3"/>
  <c r="U114" i="3"/>
  <c r="Z114" i="3"/>
  <c r="AA114" i="3"/>
  <c r="AB114" i="3" s="1"/>
  <c r="AD114" i="3"/>
  <c r="T115" i="3"/>
  <c r="U115" i="3"/>
  <c r="Z115" i="3"/>
  <c r="AA115" i="3"/>
  <c r="AB115" i="3" s="1"/>
  <c r="AD115" i="3"/>
  <c r="T116" i="3"/>
  <c r="U116" i="3"/>
  <c r="Z116" i="3"/>
  <c r="AA116" i="3"/>
  <c r="AB116" i="3" s="1"/>
  <c r="AD116" i="3"/>
  <c r="T117" i="3"/>
  <c r="U117" i="3"/>
  <c r="Z117" i="3"/>
  <c r="AA117" i="3"/>
  <c r="AB117" i="3" s="1"/>
  <c r="AD117" i="3"/>
  <c r="T118" i="3"/>
  <c r="U118" i="3"/>
  <c r="Z118" i="3"/>
  <c r="AA118" i="3"/>
  <c r="AB118" i="3" s="1"/>
  <c r="AD118" i="3"/>
  <c r="T119" i="3"/>
  <c r="U119" i="3"/>
  <c r="Z119" i="3"/>
  <c r="AA119" i="3"/>
  <c r="AB119" i="3" s="1"/>
  <c r="AD119" i="3"/>
  <c r="T120" i="3"/>
  <c r="U120" i="3"/>
  <c r="Z120" i="3"/>
  <c r="AA120" i="3"/>
  <c r="AB120" i="3" s="1"/>
  <c r="AD120" i="3"/>
  <c r="T121" i="3"/>
  <c r="U121" i="3"/>
  <c r="Z121" i="3"/>
  <c r="AA121" i="3"/>
  <c r="AB121" i="3" s="1"/>
  <c r="AD121" i="3"/>
  <c r="T122" i="3"/>
  <c r="U122" i="3"/>
  <c r="Z122" i="3"/>
  <c r="AA122" i="3"/>
  <c r="AB122" i="3" s="1"/>
  <c r="AD122" i="3"/>
  <c r="T123" i="3"/>
  <c r="U123" i="3"/>
  <c r="Z123" i="3"/>
  <c r="AA123" i="3"/>
  <c r="AB123" i="3" s="1"/>
  <c r="AD123" i="3"/>
  <c r="T124" i="3"/>
  <c r="U124" i="3"/>
  <c r="Z124" i="3"/>
  <c r="AA124" i="3"/>
  <c r="AB124" i="3" s="1"/>
  <c r="AD124" i="3"/>
  <c r="T125" i="3"/>
  <c r="U125" i="3"/>
  <c r="Z125" i="3"/>
  <c r="AA125" i="3"/>
  <c r="AB125" i="3" s="1"/>
  <c r="AD125" i="3"/>
  <c r="T126" i="3"/>
  <c r="U126" i="3"/>
  <c r="Z126" i="3"/>
  <c r="AA126" i="3"/>
  <c r="AB126" i="3" s="1"/>
  <c r="AD126" i="3"/>
  <c r="T127" i="3"/>
  <c r="U127" i="3"/>
  <c r="Z127" i="3"/>
  <c r="AA127" i="3"/>
  <c r="AB127" i="3" s="1"/>
  <c r="AD127" i="3"/>
  <c r="T128" i="3"/>
  <c r="U128" i="3"/>
  <c r="Z128" i="3"/>
  <c r="AA128" i="3"/>
  <c r="AB128" i="3" s="1"/>
  <c r="AD128" i="3"/>
  <c r="T129" i="3"/>
  <c r="U129" i="3"/>
  <c r="Z129" i="3"/>
  <c r="AA129" i="3"/>
  <c r="AB129" i="3" s="1"/>
  <c r="AD129" i="3"/>
  <c r="T130" i="3"/>
  <c r="U130" i="3"/>
  <c r="Z130" i="3"/>
  <c r="AA130" i="3"/>
  <c r="AB130" i="3" s="1"/>
  <c r="AD130" i="3"/>
  <c r="T131" i="3"/>
  <c r="U131" i="3"/>
  <c r="Z131" i="3"/>
  <c r="AA131" i="3"/>
  <c r="AB131" i="3" s="1"/>
  <c r="AD131" i="3"/>
  <c r="T132" i="3"/>
  <c r="U132" i="3"/>
  <c r="Z132" i="3"/>
  <c r="AA132" i="3"/>
  <c r="AB132" i="3" s="1"/>
  <c r="AD132" i="3"/>
  <c r="T133" i="3"/>
  <c r="U133" i="3"/>
  <c r="Z133" i="3"/>
  <c r="AA133" i="3"/>
  <c r="AB133" i="3" s="1"/>
  <c r="AD133" i="3"/>
  <c r="T134" i="3"/>
  <c r="U134" i="3"/>
  <c r="Z134" i="3"/>
  <c r="AA134" i="3"/>
  <c r="AB134" i="3" s="1"/>
  <c r="AD134" i="3"/>
  <c r="T135" i="3"/>
  <c r="U135" i="3"/>
  <c r="Z135" i="3"/>
  <c r="AA135" i="3"/>
  <c r="AB135" i="3" s="1"/>
  <c r="AD135" i="3"/>
  <c r="T136" i="3"/>
  <c r="U136" i="3"/>
  <c r="Z136" i="3"/>
  <c r="AA136" i="3"/>
  <c r="AB136" i="3" s="1"/>
  <c r="AD136" i="3"/>
  <c r="T137" i="3"/>
  <c r="U137" i="3"/>
  <c r="Z137" i="3"/>
  <c r="AA137" i="3"/>
  <c r="AB137" i="3" s="1"/>
  <c r="AD137" i="3"/>
  <c r="T138" i="3"/>
  <c r="U138" i="3"/>
  <c r="Z138" i="3"/>
  <c r="AA138" i="3"/>
  <c r="AB138" i="3" s="1"/>
  <c r="AD138" i="3"/>
  <c r="T139" i="3"/>
  <c r="U139" i="3"/>
  <c r="Z139" i="3"/>
  <c r="AA139" i="3"/>
  <c r="AB139" i="3" s="1"/>
  <c r="AD139" i="3"/>
  <c r="T140" i="3"/>
  <c r="U140" i="3"/>
  <c r="Z140" i="3"/>
  <c r="AA140" i="3"/>
  <c r="AB140" i="3" s="1"/>
  <c r="AD140" i="3"/>
  <c r="T141" i="3"/>
  <c r="U141" i="3"/>
  <c r="Z141" i="3"/>
  <c r="AA141" i="3"/>
  <c r="AB141" i="3" s="1"/>
  <c r="AD141" i="3"/>
  <c r="T142" i="3"/>
  <c r="U142" i="3"/>
  <c r="Z142" i="3"/>
  <c r="AA142" i="3"/>
  <c r="AB142" i="3" s="1"/>
  <c r="AD142" i="3"/>
  <c r="T143" i="3"/>
  <c r="U143" i="3"/>
  <c r="Z143" i="3"/>
  <c r="AA143" i="3"/>
  <c r="AB143" i="3" s="1"/>
  <c r="AD143" i="3"/>
  <c r="T144" i="3"/>
  <c r="U144" i="3"/>
  <c r="Z144" i="3"/>
  <c r="AA144" i="3"/>
  <c r="AB144" i="3" s="1"/>
  <c r="AD144" i="3"/>
  <c r="T145" i="3"/>
  <c r="U145" i="3"/>
  <c r="Z145" i="3"/>
  <c r="AA145" i="3"/>
  <c r="AB145" i="3" s="1"/>
  <c r="AD145" i="3"/>
  <c r="T146" i="3"/>
  <c r="U146" i="3"/>
  <c r="Z146" i="3"/>
  <c r="AA146" i="3"/>
  <c r="AB146" i="3" s="1"/>
  <c r="AD146" i="3"/>
  <c r="T147" i="3"/>
  <c r="U147" i="3"/>
  <c r="Z147" i="3"/>
  <c r="AA147" i="3"/>
  <c r="AB147" i="3" s="1"/>
  <c r="AD147" i="3"/>
  <c r="T148" i="3"/>
  <c r="U148" i="3"/>
  <c r="Z148" i="3"/>
  <c r="AA148" i="3"/>
  <c r="AB148" i="3" s="1"/>
  <c r="AD148" i="3"/>
  <c r="T149" i="3"/>
  <c r="U149" i="3"/>
  <c r="Z149" i="3"/>
  <c r="AA149" i="3"/>
  <c r="AB149" i="3" s="1"/>
  <c r="AD149" i="3"/>
  <c r="T150" i="3"/>
  <c r="U150" i="3"/>
  <c r="Z150" i="3"/>
  <c r="AA150" i="3"/>
  <c r="AB150" i="3" s="1"/>
  <c r="AD150" i="3"/>
  <c r="T151" i="3"/>
  <c r="U151" i="3"/>
  <c r="Z151" i="3"/>
  <c r="AA151" i="3"/>
  <c r="AB151" i="3" s="1"/>
  <c r="AD151" i="3"/>
  <c r="T152" i="3"/>
  <c r="U152" i="3"/>
  <c r="Z152" i="3"/>
  <c r="AA152" i="3"/>
  <c r="AB152" i="3" s="1"/>
  <c r="AD152" i="3"/>
  <c r="T153" i="3"/>
  <c r="U153" i="3"/>
  <c r="Z153" i="3"/>
  <c r="AA153" i="3"/>
  <c r="AB153" i="3" s="1"/>
  <c r="AD153" i="3"/>
  <c r="T154" i="3"/>
  <c r="U154" i="3"/>
  <c r="Z154" i="3"/>
  <c r="AA154" i="3"/>
  <c r="AB154" i="3" s="1"/>
  <c r="AD154" i="3"/>
  <c r="T155" i="3"/>
  <c r="U155" i="3"/>
  <c r="Z155" i="3"/>
  <c r="AA155" i="3"/>
  <c r="AB155" i="3" s="1"/>
  <c r="AD155" i="3"/>
  <c r="T156" i="3"/>
  <c r="U156" i="3"/>
  <c r="Z156" i="3"/>
  <c r="AA156" i="3"/>
  <c r="AB156" i="3" s="1"/>
  <c r="AD156" i="3"/>
  <c r="T157" i="3"/>
  <c r="U157" i="3"/>
  <c r="Z157" i="3"/>
  <c r="AA157" i="3"/>
  <c r="AB157" i="3" s="1"/>
  <c r="AD157" i="3"/>
  <c r="T158" i="3"/>
  <c r="U158" i="3"/>
  <c r="Z158" i="3"/>
  <c r="AA158" i="3"/>
  <c r="AB158" i="3" s="1"/>
  <c r="AD158" i="3"/>
  <c r="T159" i="3"/>
  <c r="U159" i="3"/>
  <c r="Z159" i="3"/>
  <c r="AA159" i="3"/>
  <c r="AB159" i="3" s="1"/>
  <c r="AD159" i="3"/>
  <c r="T160" i="3"/>
  <c r="U160" i="3"/>
  <c r="Z160" i="3"/>
  <c r="AA160" i="3"/>
  <c r="AB160" i="3" s="1"/>
  <c r="AD160" i="3"/>
  <c r="T161" i="3"/>
  <c r="U161" i="3"/>
  <c r="Z161" i="3"/>
  <c r="AA161" i="3"/>
  <c r="AB161" i="3" s="1"/>
  <c r="AD161" i="3"/>
  <c r="T162" i="3"/>
  <c r="U162" i="3"/>
  <c r="Z162" i="3"/>
  <c r="AA162" i="3"/>
  <c r="AB162" i="3" s="1"/>
  <c r="AD162" i="3"/>
  <c r="T163" i="3"/>
  <c r="U163" i="3"/>
  <c r="Z163" i="3"/>
  <c r="AA163" i="3"/>
  <c r="AB163" i="3" s="1"/>
  <c r="AD163" i="3"/>
  <c r="T164" i="3"/>
  <c r="U164" i="3"/>
  <c r="Z164" i="3"/>
  <c r="AA164" i="3"/>
  <c r="AB164" i="3" s="1"/>
  <c r="AD164" i="3"/>
  <c r="T165" i="3"/>
  <c r="U165" i="3"/>
  <c r="Z165" i="3"/>
  <c r="AA165" i="3"/>
  <c r="AB165" i="3" s="1"/>
  <c r="AD165" i="3"/>
  <c r="T166" i="3"/>
  <c r="U166" i="3"/>
  <c r="Z166" i="3"/>
  <c r="AA166" i="3"/>
  <c r="AB166" i="3" s="1"/>
  <c r="AD166" i="3"/>
  <c r="T167" i="3"/>
  <c r="U167" i="3"/>
  <c r="Z167" i="3"/>
  <c r="AA167" i="3"/>
  <c r="AB167" i="3" s="1"/>
  <c r="AD167" i="3"/>
  <c r="T168" i="3"/>
  <c r="U168" i="3"/>
  <c r="Z168" i="3"/>
  <c r="AA168" i="3"/>
  <c r="AB168" i="3" s="1"/>
  <c r="AD168" i="3"/>
  <c r="T169" i="3"/>
  <c r="U169" i="3"/>
  <c r="Z169" i="3"/>
  <c r="AA169" i="3"/>
  <c r="AB169" i="3" s="1"/>
  <c r="AD169" i="3"/>
  <c r="T170" i="3"/>
  <c r="U170" i="3"/>
  <c r="Z170" i="3"/>
  <c r="AA170" i="3"/>
  <c r="AB170" i="3" s="1"/>
  <c r="AD170" i="3"/>
  <c r="T171" i="3"/>
  <c r="U171" i="3"/>
  <c r="Z171" i="3"/>
  <c r="AA171" i="3"/>
  <c r="AB171" i="3" s="1"/>
  <c r="AD171" i="3"/>
  <c r="T172" i="3"/>
  <c r="U172" i="3"/>
  <c r="Z172" i="3"/>
  <c r="AA172" i="3"/>
  <c r="AB172" i="3" s="1"/>
  <c r="AD172" i="3"/>
  <c r="T173" i="3"/>
  <c r="U173" i="3"/>
  <c r="Z173" i="3"/>
  <c r="AA173" i="3"/>
  <c r="AB173" i="3" s="1"/>
  <c r="AD173" i="3"/>
  <c r="T174" i="3"/>
  <c r="U174" i="3"/>
  <c r="Z174" i="3"/>
  <c r="AA174" i="3"/>
  <c r="AB174" i="3" s="1"/>
  <c r="AD174" i="3"/>
  <c r="T175" i="3"/>
  <c r="U175" i="3"/>
  <c r="Z175" i="3"/>
  <c r="AA175" i="3"/>
  <c r="AB175" i="3" s="1"/>
  <c r="AD175" i="3"/>
  <c r="T176" i="3"/>
  <c r="U176" i="3"/>
  <c r="Z176" i="3"/>
  <c r="AA176" i="3"/>
  <c r="AB176" i="3" s="1"/>
  <c r="AD176" i="3"/>
  <c r="T177" i="3"/>
  <c r="U177" i="3"/>
  <c r="Z177" i="3"/>
  <c r="AA177" i="3"/>
  <c r="AB177" i="3" s="1"/>
  <c r="AD177" i="3"/>
  <c r="T178" i="3"/>
  <c r="U178" i="3"/>
  <c r="Z178" i="3"/>
  <c r="AA178" i="3"/>
  <c r="AB178" i="3" s="1"/>
  <c r="AD178" i="3"/>
  <c r="T179" i="3"/>
  <c r="U179" i="3"/>
  <c r="Z179" i="3"/>
  <c r="AA179" i="3"/>
  <c r="AB179" i="3" s="1"/>
  <c r="AD179" i="3"/>
  <c r="T180" i="3"/>
  <c r="U180" i="3"/>
  <c r="Z180" i="3"/>
  <c r="AA180" i="3"/>
  <c r="AB180" i="3" s="1"/>
  <c r="AD180" i="3"/>
  <c r="T181" i="3"/>
  <c r="U181" i="3"/>
  <c r="Z181" i="3"/>
  <c r="AA181" i="3"/>
  <c r="AB181" i="3" s="1"/>
  <c r="AD181" i="3"/>
  <c r="T182" i="3"/>
  <c r="U182" i="3"/>
  <c r="Z182" i="3"/>
  <c r="AA182" i="3"/>
  <c r="AB182" i="3" s="1"/>
  <c r="AD182" i="3"/>
  <c r="T183" i="3"/>
  <c r="U183" i="3"/>
  <c r="Z183" i="3"/>
  <c r="AA183" i="3"/>
  <c r="AB183" i="3" s="1"/>
  <c r="AD183" i="3"/>
  <c r="T184" i="3"/>
  <c r="U184" i="3"/>
  <c r="Z184" i="3"/>
  <c r="AA184" i="3"/>
  <c r="AB184" i="3" s="1"/>
  <c r="AD184" i="3"/>
  <c r="T185" i="3"/>
  <c r="U185" i="3"/>
  <c r="Z185" i="3"/>
  <c r="AA185" i="3"/>
  <c r="AB185" i="3" s="1"/>
  <c r="AD185" i="3"/>
  <c r="T186" i="3"/>
  <c r="U186" i="3"/>
  <c r="Z186" i="3"/>
  <c r="AA186" i="3"/>
  <c r="AB186" i="3" s="1"/>
  <c r="AD186" i="3"/>
  <c r="T187" i="3"/>
  <c r="U187" i="3"/>
  <c r="Z187" i="3"/>
  <c r="AA187" i="3"/>
  <c r="AB187" i="3" s="1"/>
  <c r="AD187" i="3"/>
  <c r="T188" i="3"/>
  <c r="U188" i="3"/>
  <c r="Z188" i="3"/>
  <c r="AA188" i="3"/>
  <c r="AB188" i="3" s="1"/>
  <c r="AD188" i="3"/>
  <c r="T189" i="3"/>
  <c r="U189" i="3"/>
  <c r="Z189" i="3"/>
  <c r="AA189" i="3"/>
  <c r="AB189" i="3" s="1"/>
  <c r="AD189" i="3"/>
  <c r="T190" i="3"/>
  <c r="U190" i="3"/>
  <c r="Z190" i="3"/>
  <c r="AA190" i="3"/>
  <c r="AB190" i="3" s="1"/>
  <c r="AD190" i="3"/>
  <c r="T191" i="3"/>
  <c r="U191" i="3"/>
  <c r="Z191" i="3"/>
  <c r="AA191" i="3"/>
  <c r="AB191" i="3" s="1"/>
  <c r="AD191" i="3"/>
  <c r="T192" i="3"/>
  <c r="U192" i="3"/>
  <c r="Z192" i="3"/>
  <c r="AA192" i="3"/>
  <c r="AB192" i="3" s="1"/>
  <c r="AD192" i="3"/>
  <c r="T193" i="3"/>
  <c r="U193" i="3"/>
  <c r="Z193" i="3"/>
  <c r="AA193" i="3"/>
  <c r="AB193" i="3" s="1"/>
  <c r="AD193" i="3"/>
  <c r="T194" i="3"/>
  <c r="U194" i="3"/>
  <c r="Z194" i="3"/>
  <c r="AA194" i="3"/>
  <c r="AB194" i="3" s="1"/>
  <c r="AD194" i="3"/>
  <c r="T195" i="3"/>
  <c r="U195" i="3"/>
  <c r="Z195" i="3"/>
  <c r="AA195" i="3"/>
  <c r="AB195" i="3" s="1"/>
  <c r="AD195" i="3"/>
  <c r="T196" i="3"/>
  <c r="U196" i="3"/>
  <c r="Z196" i="3"/>
  <c r="AA196" i="3"/>
  <c r="AB196" i="3" s="1"/>
  <c r="AD196" i="3"/>
  <c r="T197" i="3"/>
  <c r="U197" i="3"/>
  <c r="Z197" i="3"/>
  <c r="AA197" i="3"/>
  <c r="AB197" i="3" s="1"/>
  <c r="AD197" i="3"/>
  <c r="T198" i="3"/>
  <c r="U198" i="3"/>
  <c r="Z198" i="3"/>
  <c r="AA198" i="3"/>
  <c r="AB198" i="3" s="1"/>
  <c r="AD198" i="3"/>
  <c r="T199" i="3"/>
  <c r="U199" i="3"/>
  <c r="Z199" i="3"/>
  <c r="AA199" i="3"/>
  <c r="AB199" i="3" s="1"/>
  <c r="AD199" i="3"/>
  <c r="T200" i="3"/>
  <c r="U200" i="3"/>
  <c r="Z200" i="3"/>
  <c r="AA200" i="3"/>
  <c r="AB200" i="3" s="1"/>
  <c r="AD200" i="3"/>
  <c r="T201" i="3"/>
  <c r="U201" i="3"/>
  <c r="Z201" i="3"/>
  <c r="AA201" i="3"/>
  <c r="AB201" i="3" s="1"/>
  <c r="AD201" i="3"/>
  <c r="T202" i="3"/>
  <c r="U202" i="3"/>
  <c r="Z202" i="3"/>
  <c r="AA202" i="3"/>
  <c r="AB202" i="3" s="1"/>
  <c r="AD202" i="3"/>
  <c r="T203" i="3"/>
  <c r="U203" i="3"/>
  <c r="Z203" i="3"/>
  <c r="AA203" i="3"/>
  <c r="AB203" i="3" s="1"/>
  <c r="AD203" i="3"/>
  <c r="T204" i="3"/>
  <c r="U204" i="3"/>
  <c r="Z204" i="3"/>
  <c r="AA204" i="3"/>
  <c r="AB204" i="3" s="1"/>
  <c r="AD204" i="3"/>
  <c r="T205" i="3"/>
  <c r="U205" i="3"/>
  <c r="Z205" i="3"/>
  <c r="AA205" i="3"/>
  <c r="AB205" i="3" s="1"/>
  <c r="AD205" i="3"/>
  <c r="T206" i="3"/>
  <c r="U206" i="3"/>
  <c r="Z206" i="3"/>
  <c r="AA206" i="3"/>
  <c r="AB206" i="3" s="1"/>
  <c r="AD206" i="3"/>
  <c r="T207" i="3"/>
  <c r="U207" i="3"/>
  <c r="Z207" i="3"/>
  <c r="AA207" i="3"/>
  <c r="AB207" i="3" s="1"/>
  <c r="AD207" i="3"/>
  <c r="T208" i="3"/>
  <c r="U208" i="3"/>
  <c r="Z208" i="3"/>
  <c r="AA208" i="3"/>
  <c r="AB208" i="3" s="1"/>
  <c r="AD208" i="3"/>
  <c r="T209" i="3"/>
  <c r="U209" i="3"/>
  <c r="Z209" i="3"/>
  <c r="AA209" i="3"/>
  <c r="AB209" i="3" s="1"/>
  <c r="AD209" i="3"/>
  <c r="T210" i="3"/>
  <c r="U210" i="3"/>
  <c r="Z210" i="3"/>
  <c r="AA210" i="3"/>
  <c r="AB210" i="3" s="1"/>
  <c r="AD210" i="3"/>
  <c r="T211" i="3"/>
  <c r="U211" i="3"/>
  <c r="Z211" i="3"/>
  <c r="AA211" i="3"/>
  <c r="AB211" i="3" s="1"/>
  <c r="AD211" i="3"/>
  <c r="T212" i="3"/>
  <c r="U212" i="3"/>
  <c r="Z212" i="3"/>
  <c r="AA212" i="3"/>
  <c r="AB212" i="3" s="1"/>
  <c r="AD212" i="3"/>
  <c r="T213" i="3"/>
  <c r="U213" i="3"/>
  <c r="Z213" i="3"/>
  <c r="AA213" i="3"/>
  <c r="AB213" i="3" s="1"/>
  <c r="AD213" i="3"/>
  <c r="T214" i="3"/>
  <c r="U214" i="3"/>
  <c r="Z214" i="3"/>
  <c r="AA214" i="3"/>
  <c r="AB214" i="3" s="1"/>
  <c r="AD214" i="3"/>
  <c r="T215" i="3"/>
  <c r="U215" i="3"/>
  <c r="Z215" i="3"/>
  <c r="AA215" i="3"/>
  <c r="AB215" i="3" s="1"/>
  <c r="AD215" i="3"/>
  <c r="T216" i="3"/>
  <c r="U216" i="3"/>
  <c r="Z216" i="3"/>
  <c r="AA216" i="3"/>
  <c r="AB216" i="3" s="1"/>
  <c r="AD216" i="3"/>
  <c r="T217" i="3"/>
  <c r="U217" i="3"/>
  <c r="Z217" i="3"/>
  <c r="AA217" i="3"/>
  <c r="AB217" i="3" s="1"/>
  <c r="AD217" i="3"/>
  <c r="T218" i="3"/>
  <c r="U218" i="3"/>
  <c r="Z218" i="3"/>
  <c r="AA218" i="3"/>
  <c r="AB218" i="3" s="1"/>
  <c r="AD218" i="3"/>
  <c r="T219" i="3"/>
  <c r="U219" i="3"/>
  <c r="Z219" i="3"/>
  <c r="AA219" i="3"/>
  <c r="AB219" i="3" s="1"/>
  <c r="AD219" i="3"/>
  <c r="T220" i="3"/>
  <c r="U220" i="3"/>
  <c r="Z220" i="3"/>
  <c r="AA220" i="3"/>
  <c r="AB220" i="3" s="1"/>
  <c r="AD220" i="3"/>
  <c r="T221" i="3"/>
  <c r="U221" i="3"/>
  <c r="Z221" i="3"/>
  <c r="AA221" i="3"/>
  <c r="AB221" i="3" s="1"/>
  <c r="AD221" i="3"/>
  <c r="T222" i="3"/>
  <c r="U222" i="3"/>
  <c r="Z222" i="3"/>
  <c r="AA222" i="3"/>
  <c r="AB222" i="3" s="1"/>
  <c r="AD222" i="3"/>
  <c r="T223" i="3"/>
  <c r="U223" i="3"/>
  <c r="Z223" i="3"/>
  <c r="AA223" i="3"/>
  <c r="AB223" i="3" s="1"/>
  <c r="AD223" i="3"/>
  <c r="T224" i="3"/>
  <c r="U224" i="3"/>
  <c r="Z224" i="3"/>
  <c r="AA224" i="3"/>
  <c r="AB224" i="3" s="1"/>
  <c r="AD224" i="3"/>
  <c r="T225" i="3"/>
  <c r="U225" i="3"/>
  <c r="Z225" i="3"/>
  <c r="AA225" i="3"/>
  <c r="AB225" i="3" s="1"/>
  <c r="AD225" i="3"/>
  <c r="T226" i="3"/>
  <c r="U226" i="3"/>
  <c r="Z226" i="3"/>
  <c r="AA226" i="3"/>
  <c r="AB226" i="3" s="1"/>
  <c r="AD226" i="3"/>
  <c r="T227" i="3"/>
  <c r="U227" i="3"/>
  <c r="Z227" i="3"/>
  <c r="AA227" i="3"/>
  <c r="AB227" i="3" s="1"/>
  <c r="AD227" i="3"/>
  <c r="T228" i="3"/>
  <c r="U228" i="3"/>
  <c r="Z228" i="3"/>
  <c r="AA228" i="3"/>
  <c r="AB228" i="3" s="1"/>
  <c r="AD228" i="3"/>
  <c r="T229" i="3"/>
  <c r="U229" i="3"/>
  <c r="Z229" i="3"/>
  <c r="AA229" i="3"/>
  <c r="AB229" i="3" s="1"/>
  <c r="AD229" i="3"/>
  <c r="T230" i="3"/>
  <c r="U230" i="3"/>
  <c r="Z230" i="3"/>
  <c r="AA230" i="3"/>
  <c r="AB230" i="3" s="1"/>
  <c r="AD230" i="3"/>
  <c r="T231" i="3"/>
  <c r="U231" i="3"/>
  <c r="Z231" i="3"/>
  <c r="AA231" i="3"/>
  <c r="AB231" i="3" s="1"/>
  <c r="AD231" i="3"/>
  <c r="T232" i="3"/>
  <c r="U232" i="3"/>
  <c r="Z232" i="3"/>
  <c r="AA232" i="3"/>
  <c r="AB232" i="3" s="1"/>
  <c r="AD232" i="3"/>
  <c r="T233" i="3"/>
  <c r="U233" i="3"/>
  <c r="Z233" i="3"/>
  <c r="AA233" i="3"/>
  <c r="AB233" i="3" s="1"/>
  <c r="AD233" i="3"/>
  <c r="T234" i="3"/>
  <c r="U234" i="3"/>
  <c r="Z234" i="3"/>
  <c r="AA234" i="3"/>
  <c r="AB234" i="3" s="1"/>
  <c r="AD234" i="3"/>
  <c r="T235" i="3"/>
  <c r="U235" i="3"/>
  <c r="Z235" i="3"/>
  <c r="AA235" i="3"/>
  <c r="AB235" i="3" s="1"/>
  <c r="AD235" i="3"/>
  <c r="T236" i="3"/>
  <c r="U236" i="3"/>
  <c r="Z236" i="3"/>
  <c r="AA236" i="3"/>
  <c r="AB236" i="3" s="1"/>
  <c r="AD236" i="3"/>
  <c r="T237" i="3"/>
  <c r="U237" i="3"/>
  <c r="Z237" i="3"/>
  <c r="AA237" i="3"/>
  <c r="AB237" i="3" s="1"/>
  <c r="AD237" i="3"/>
  <c r="T238" i="3"/>
  <c r="U238" i="3"/>
  <c r="Z238" i="3"/>
  <c r="AA238" i="3"/>
  <c r="AB238" i="3" s="1"/>
  <c r="AD238" i="3"/>
  <c r="T239" i="3"/>
  <c r="U239" i="3"/>
  <c r="Z239" i="3"/>
  <c r="AA239" i="3"/>
  <c r="AB239" i="3" s="1"/>
  <c r="AD239" i="3"/>
  <c r="T240" i="3"/>
  <c r="U240" i="3"/>
  <c r="Z240" i="3"/>
  <c r="AA240" i="3"/>
  <c r="AB240" i="3" s="1"/>
  <c r="AD240" i="3"/>
  <c r="T241" i="3"/>
  <c r="U241" i="3"/>
  <c r="Z241" i="3"/>
  <c r="AA241" i="3"/>
  <c r="AB241" i="3" s="1"/>
  <c r="AD241" i="3"/>
  <c r="T242" i="3"/>
  <c r="U242" i="3"/>
  <c r="Z242" i="3"/>
  <c r="AA242" i="3"/>
  <c r="AB242" i="3" s="1"/>
  <c r="AD242" i="3"/>
  <c r="T243" i="3"/>
  <c r="U243" i="3"/>
  <c r="Z243" i="3"/>
  <c r="AA243" i="3"/>
  <c r="AB243" i="3" s="1"/>
  <c r="AD243" i="3"/>
  <c r="T244" i="3"/>
  <c r="U244" i="3"/>
  <c r="Z244" i="3"/>
  <c r="AA244" i="3"/>
  <c r="AB244" i="3" s="1"/>
  <c r="AD244" i="3"/>
  <c r="T245" i="3"/>
  <c r="U245" i="3"/>
  <c r="Z245" i="3"/>
  <c r="AA245" i="3"/>
  <c r="AB245" i="3" s="1"/>
  <c r="AD245" i="3"/>
  <c r="T246" i="3"/>
  <c r="U246" i="3"/>
  <c r="Z246" i="3"/>
  <c r="AA246" i="3"/>
  <c r="AB246" i="3" s="1"/>
  <c r="AD246" i="3"/>
  <c r="T247" i="3"/>
  <c r="U247" i="3"/>
  <c r="Z247" i="3"/>
  <c r="AA247" i="3"/>
  <c r="AB247" i="3" s="1"/>
  <c r="AD247" i="3"/>
  <c r="T248" i="3"/>
  <c r="U248" i="3"/>
  <c r="Z248" i="3"/>
  <c r="AA248" i="3"/>
  <c r="AB248" i="3" s="1"/>
  <c r="AD248" i="3"/>
  <c r="T249" i="3"/>
  <c r="U249" i="3"/>
  <c r="Z249" i="3"/>
  <c r="AA249" i="3"/>
  <c r="AB249" i="3" s="1"/>
  <c r="AD249" i="3"/>
  <c r="T250" i="3"/>
  <c r="U250" i="3"/>
  <c r="Z250" i="3"/>
  <c r="AA250" i="3"/>
  <c r="AB250" i="3" s="1"/>
  <c r="AD250" i="3"/>
  <c r="T251" i="3"/>
  <c r="U251" i="3"/>
  <c r="Z251" i="3"/>
  <c r="AA251" i="3"/>
  <c r="AB251" i="3" s="1"/>
  <c r="AD251" i="3"/>
  <c r="T252" i="3"/>
  <c r="U252" i="3"/>
  <c r="Z252" i="3"/>
  <c r="AA252" i="3"/>
  <c r="AB252" i="3" s="1"/>
  <c r="AD252" i="3"/>
  <c r="T253" i="3"/>
  <c r="U253" i="3"/>
  <c r="Z253" i="3"/>
  <c r="AA253" i="3"/>
  <c r="AB253" i="3" s="1"/>
  <c r="AD253" i="3"/>
  <c r="T254" i="3"/>
  <c r="U254" i="3"/>
  <c r="Z254" i="3"/>
  <c r="AA254" i="3"/>
  <c r="AB254" i="3" s="1"/>
  <c r="AD254" i="3"/>
  <c r="T255" i="3"/>
  <c r="U255" i="3"/>
  <c r="Z255" i="3"/>
  <c r="AA255" i="3"/>
  <c r="AB255" i="3" s="1"/>
  <c r="AD255" i="3"/>
  <c r="T256" i="3"/>
  <c r="U256" i="3"/>
  <c r="Z256" i="3"/>
  <c r="AA256" i="3"/>
  <c r="AB256" i="3" s="1"/>
  <c r="AD256" i="3"/>
  <c r="T257" i="3"/>
  <c r="U257" i="3"/>
  <c r="Z257" i="3"/>
  <c r="AA257" i="3"/>
  <c r="AB257" i="3" s="1"/>
  <c r="AD257" i="3"/>
  <c r="T258" i="3"/>
  <c r="U258" i="3"/>
  <c r="Z258" i="3"/>
  <c r="AA258" i="3"/>
  <c r="AB258" i="3" s="1"/>
  <c r="AD258" i="3"/>
  <c r="T259" i="3"/>
  <c r="U259" i="3"/>
  <c r="Z259" i="3"/>
  <c r="AA259" i="3"/>
  <c r="AB259" i="3" s="1"/>
  <c r="AD259" i="3"/>
  <c r="T260" i="3"/>
  <c r="U260" i="3"/>
  <c r="Z260" i="3"/>
  <c r="AA260" i="3"/>
  <c r="AB260" i="3" s="1"/>
  <c r="AD260" i="3"/>
  <c r="T261" i="3"/>
  <c r="U261" i="3"/>
  <c r="Z261" i="3"/>
  <c r="AA261" i="3"/>
  <c r="AB261" i="3" s="1"/>
  <c r="AD261" i="3"/>
  <c r="T262" i="3"/>
  <c r="U262" i="3"/>
  <c r="Z262" i="3"/>
  <c r="AA262" i="3"/>
  <c r="AB262" i="3" s="1"/>
  <c r="AD262" i="3"/>
  <c r="T263" i="3"/>
  <c r="U263" i="3"/>
  <c r="Z263" i="3"/>
  <c r="AA263" i="3"/>
  <c r="AB263" i="3" s="1"/>
  <c r="AD263" i="3"/>
  <c r="T264" i="3"/>
  <c r="U264" i="3"/>
  <c r="Z264" i="3"/>
  <c r="AA264" i="3"/>
  <c r="AB264" i="3" s="1"/>
  <c r="AD264" i="3"/>
  <c r="T265" i="3"/>
  <c r="U265" i="3"/>
  <c r="Z265" i="3"/>
  <c r="AA265" i="3"/>
  <c r="AB265" i="3" s="1"/>
  <c r="AD265" i="3"/>
  <c r="T266" i="3"/>
  <c r="U266" i="3"/>
  <c r="Z266" i="3"/>
  <c r="AA266" i="3"/>
  <c r="AB266" i="3" s="1"/>
  <c r="AD266" i="3"/>
  <c r="T267" i="3"/>
  <c r="U267" i="3"/>
  <c r="Z267" i="3"/>
  <c r="AA267" i="3"/>
  <c r="AB267" i="3" s="1"/>
  <c r="AD267" i="3"/>
  <c r="T268" i="3"/>
  <c r="U268" i="3"/>
  <c r="Z268" i="3"/>
  <c r="AA268" i="3"/>
  <c r="AB268" i="3" s="1"/>
  <c r="AD268" i="3"/>
  <c r="T269" i="3"/>
  <c r="U269" i="3"/>
  <c r="Z269" i="3"/>
  <c r="AA269" i="3"/>
  <c r="AB269" i="3" s="1"/>
  <c r="AD269" i="3"/>
  <c r="T270" i="3"/>
  <c r="U270" i="3"/>
  <c r="Z270" i="3"/>
  <c r="AA270" i="3"/>
  <c r="AB270" i="3" s="1"/>
  <c r="AD270" i="3"/>
  <c r="T271" i="3"/>
  <c r="U271" i="3"/>
  <c r="Z271" i="3"/>
  <c r="AA271" i="3"/>
  <c r="AB271" i="3" s="1"/>
  <c r="AD271" i="3"/>
  <c r="T272" i="3"/>
  <c r="U272" i="3"/>
  <c r="Z272" i="3"/>
  <c r="AA272" i="3"/>
  <c r="AB272" i="3" s="1"/>
  <c r="AD272" i="3"/>
  <c r="T273" i="3"/>
  <c r="U273" i="3"/>
  <c r="Z273" i="3"/>
  <c r="AA273" i="3"/>
  <c r="AB273" i="3" s="1"/>
  <c r="AD273" i="3"/>
  <c r="T274" i="3"/>
  <c r="U274" i="3"/>
  <c r="Z274" i="3"/>
  <c r="AA274" i="3"/>
  <c r="AB274" i="3" s="1"/>
  <c r="AD274" i="3"/>
  <c r="T275" i="3"/>
  <c r="U275" i="3"/>
  <c r="Z275" i="3"/>
  <c r="AA275" i="3"/>
  <c r="AB275" i="3" s="1"/>
  <c r="AD275" i="3"/>
  <c r="T276" i="3"/>
  <c r="U276" i="3"/>
  <c r="Z276" i="3"/>
  <c r="AA276" i="3"/>
  <c r="AB276" i="3" s="1"/>
  <c r="AD276" i="3"/>
  <c r="T277" i="3"/>
  <c r="U277" i="3"/>
  <c r="Z277" i="3"/>
  <c r="AA277" i="3"/>
  <c r="AB277" i="3" s="1"/>
  <c r="AD277" i="3"/>
  <c r="T278" i="3"/>
  <c r="U278" i="3"/>
  <c r="Z278" i="3"/>
  <c r="AA278" i="3"/>
  <c r="AB278" i="3" s="1"/>
  <c r="AD278" i="3"/>
  <c r="T279" i="3"/>
  <c r="U279" i="3"/>
  <c r="Z279" i="3"/>
  <c r="AA279" i="3"/>
  <c r="AB279" i="3" s="1"/>
  <c r="AD279" i="3"/>
  <c r="T280" i="3"/>
  <c r="U280" i="3"/>
  <c r="Z280" i="3"/>
  <c r="AA280" i="3"/>
  <c r="AB280" i="3" s="1"/>
  <c r="AD280" i="3"/>
  <c r="T281" i="3"/>
  <c r="U281" i="3"/>
  <c r="Z281" i="3"/>
  <c r="AA281" i="3"/>
  <c r="AB281" i="3" s="1"/>
  <c r="AD281" i="3"/>
  <c r="T282" i="3"/>
  <c r="U282" i="3"/>
  <c r="Z282" i="3"/>
  <c r="AA282" i="3"/>
  <c r="AB282" i="3" s="1"/>
  <c r="AD282" i="3"/>
  <c r="T283" i="3"/>
  <c r="U283" i="3"/>
  <c r="Z283" i="3"/>
  <c r="AA283" i="3"/>
  <c r="AB283" i="3" s="1"/>
  <c r="AD283" i="3"/>
  <c r="T284" i="3"/>
  <c r="U284" i="3"/>
  <c r="Z284" i="3"/>
  <c r="AA284" i="3"/>
  <c r="AB284" i="3" s="1"/>
  <c r="AD284" i="3"/>
  <c r="T285" i="3"/>
  <c r="U285" i="3"/>
  <c r="Z285" i="3"/>
  <c r="AA285" i="3"/>
  <c r="AB285" i="3" s="1"/>
  <c r="AD285" i="3"/>
  <c r="T286" i="3"/>
  <c r="U286" i="3"/>
  <c r="Z286" i="3"/>
  <c r="AA286" i="3"/>
  <c r="AB286" i="3" s="1"/>
  <c r="AD286" i="3"/>
  <c r="T287" i="3"/>
  <c r="U287" i="3"/>
  <c r="Z287" i="3"/>
  <c r="AA287" i="3"/>
  <c r="AB287" i="3" s="1"/>
  <c r="AD287" i="3"/>
  <c r="T288" i="3"/>
  <c r="U288" i="3"/>
  <c r="Z288" i="3"/>
  <c r="AA288" i="3"/>
  <c r="AB288" i="3" s="1"/>
  <c r="AD288" i="3"/>
  <c r="T289" i="3"/>
  <c r="U289" i="3"/>
  <c r="Z289" i="3"/>
  <c r="AA289" i="3"/>
  <c r="AB289" i="3" s="1"/>
  <c r="AD289" i="3"/>
  <c r="T290" i="3"/>
  <c r="U290" i="3"/>
  <c r="Z290" i="3"/>
  <c r="AA290" i="3"/>
  <c r="AB290" i="3" s="1"/>
  <c r="AD290" i="3"/>
  <c r="T291" i="3"/>
  <c r="U291" i="3"/>
  <c r="Z291" i="3"/>
  <c r="AA291" i="3"/>
  <c r="AB291" i="3" s="1"/>
  <c r="AD291" i="3"/>
  <c r="T292" i="3"/>
  <c r="U292" i="3"/>
  <c r="Z292" i="3"/>
  <c r="AA292" i="3"/>
  <c r="AB292" i="3" s="1"/>
  <c r="AD292" i="3"/>
  <c r="T293" i="3"/>
  <c r="U293" i="3"/>
  <c r="Z293" i="3"/>
  <c r="AA293" i="3"/>
  <c r="AB293" i="3" s="1"/>
  <c r="AD293" i="3"/>
  <c r="T294" i="3"/>
  <c r="U294" i="3"/>
  <c r="Z294" i="3"/>
  <c r="AA294" i="3"/>
  <c r="AB294" i="3" s="1"/>
  <c r="AD294" i="3"/>
  <c r="T295" i="3"/>
  <c r="U295" i="3"/>
  <c r="Z295" i="3"/>
  <c r="AA295" i="3"/>
  <c r="AB295" i="3" s="1"/>
  <c r="AD295" i="3"/>
  <c r="T296" i="3"/>
  <c r="U296" i="3"/>
  <c r="Z296" i="3"/>
  <c r="AA296" i="3"/>
  <c r="AB296" i="3" s="1"/>
  <c r="AD296" i="3"/>
  <c r="T297" i="3"/>
  <c r="U297" i="3"/>
  <c r="Z297" i="3"/>
  <c r="AA297" i="3"/>
  <c r="AB297" i="3" s="1"/>
  <c r="AD297" i="3"/>
  <c r="T298" i="3"/>
  <c r="U298" i="3"/>
  <c r="Z298" i="3"/>
  <c r="AA298" i="3"/>
  <c r="AB298" i="3" s="1"/>
  <c r="AD298" i="3"/>
  <c r="T299" i="3"/>
  <c r="U299" i="3"/>
  <c r="Z299" i="3"/>
  <c r="AA299" i="3"/>
  <c r="AB299" i="3" s="1"/>
  <c r="AD299" i="3"/>
  <c r="T300" i="3"/>
  <c r="U300" i="3"/>
  <c r="Z300" i="3"/>
  <c r="AA300" i="3"/>
  <c r="AB300" i="3" s="1"/>
  <c r="AD300" i="3"/>
  <c r="T301" i="3"/>
  <c r="U301" i="3"/>
  <c r="Z301" i="3"/>
  <c r="AA301" i="3"/>
  <c r="AB301" i="3" s="1"/>
  <c r="AD301" i="3"/>
  <c r="T302" i="3"/>
  <c r="U302" i="3"/>
  <c r="Z302" i="3"/>
  <c r="AA302" i="3"/>
  <c r="AB302" i="3" s="1"/>
  <c r="AD302" i="3"/>
  <c r="T303" i="3"/>
  <c r="U303" i="3"/>
  <c r="Z303" i="3"/>
  <c r="AA303" i="3"/>
  <c r="AB303" i="3" s="1"/>
  <c r="AD303" i="3"/>
  <c r="T304" i="3"/>
  <c r="U304" i="3"/>
  <c r="Z304" i="3"/>
  <c r="AA304" i="3"/>
  <c r="AB304" i="3" s="1"/>
  <c r="AD304" i="3"/>
  <c r="T305" i="3"/>
  <c r="U305" i="3"/>
  <c r="Z305" i="3"/>
  <c r="AA305" i="3"/>
  <c r="AB305" i="3" s="1"/>
  <c r="AD305" i="3"/>
  <c r="T306" i="3"/>
  <c r="U306" i="3"/>
  <c r="Z306" i="3"/>
  <c r="AA306" i="3"/>
  <c r="AB306" i="3" s="1"/>
  <c r="AD306" i="3"/>
  <c r="T307" i="3"/>
  <c r="U307" i="3"/>
  <c r="Z307" i="3"/>
  <c r="AA307" i="3"/>
  <c r="AB307" i="3" s="1"/>
  <c r="AD307" i="3"/>
  <c r="T308" i="3"/>
  <c r="U308" i="3"/>
  <c r="Z308" i="3"/>
  <c r="AA308" i="3"/>
  <c r="AB308" i="3" s="1"/>
  <c r="AD308" i="3"/>
  <c r="T309" i="3"/>
  <c r="U309" i="3"/>
  <c r="Z309" i="3"/>
  <c r="AA309" i="3"/>
  <c r="AB309" i="3" s="1"/>
  <c r="AD309" i="3"/>
  <c r="T310" i="3"/>
  <c r="U310" i="3"/>
  <c r="Z310" i="3"/>
  <c r="AA310" i="3"/>
  <c r="AB310" i="3" s="1"/>
  <c r="AD310" i="3"/>
  <c r="T311" i="3"/>
  <c r="U311" i="3"/>
  <c r="Z311" i="3"/>
  <c r="AA311" i="3"/>
  <c r="AB311" i="3" s="1"/>
  <c r="AD311" i="3"/>
  <c r="T312" i="3"/>
  <c r="U312" i="3"/>
  <c r="Z312" i="3"/>
  <c r="AA312" i="3"/>
  <c r="AB312" i="3" s="1"/>
  <c r="AD312" i="3"/>
  <c r="T313" i="3"/>
  <c r="U313" i="3"/>
  <c r="Z313" i="3"/>
  <c r="AA313" i="3"/>
  <c r="AB313" i="3" s="1"/>
  <c r="AD313" i="3"/>
  <c r="T314" i="3"/>
  <c r="U314" i="3"/>
  <c r="Z314" i="3"/>
  <c r="AA314" i="3"/>
  <c r="AB314" i="3" s="1"/>
  <c r="AD314" i="3"/>
  <c r="T315" i="3"/>
  <c r="U315" i="3"/>
  <c r="Z315" i="3"/>
  <c r="AA315" i="3"/>
  <c r="AB315" i="3" s="1"/>
  <c r="AD315" i="3"/>
  <c r="T316" i="3"/>
  <c r="U316" i="3"/>
  <c r="Z316" i="3"/>
  <c r="AA316" i="3"/>
  <c r="AB316" i="3" s="1"/>
  <c r="AD316" i="3"/>
  <c r="T317" i="3"/>
  <c r="U317" i="3"/>
  <c r="Z317" i="3"/>
  <c r="AA317" i="3"/>
  <c r="AB317" i="3" s="1"/>
  <c r="AD317" i="3"/>
  <c r="T318" i="3"/>
  <c r="U318" i="3"/>
  <c r="Z318" i="3"/>
  <c r="AA318" i="3"/>
  <c r="AB318" i="3" s="1"/>
  <c r="AD318" i="3"/>
  <c r="T319" i="3"/>
  <c r="U319" i="3"/>
  <c r="Z319" i="3"/>
  <c r="AA319" i="3"/>
  <c r="AB319" i="3" s="1"/>
  <c r="AD319" i="3"/>
  <c r="T320" i="3"/>
  <c r="U320" i="3"/>
  <c r="Z320" i="3"/>
  <c r="AA320" i="3"/>
  <c r="AB320" i="3" s="1"/>
  <c r="AD320" i="3"/>
  <c r="T321" i="3"/>
  <c r="U321" i="3"/>
  <c r="Z321" i="3"/>
  <c r="AA321" i="3"/>
  <c r="AB321" i="3" s="1"/>
  <c r="AD321" i="3"/>
  <c r="T322" i="3"/>
  <c r="U322" i="3"/>
  <c r="Z322" i="3"/>
  <c r="AA322" i="3"/>
  <c r="AB322" i="3" s="1"/>
  <c r="AD322" i="3"/>
  <c r="T323" i="3"/>
  <c r="U323" i="3"/>
  <c r="Z323" i="3"/>
  <c r="AA323" i="3"/>
  <c r="AB323" i="3" s="1"/>
  <c r="AD323" i="3"/>
  <c r="T324" i="3"/>
  <c r="U324" i="3"/>
  <c r="Z324" i="3"/>
  <c r="AA324" i="3"/>
  <c r="AB324" i="3" s="1"/>
  <c r="AD324" i="3"/>
  <c r="T325" i="3"/>
  <c r="U325" i="3"/>
  <c r="Z325" i="3"/>
  <c r="AA325" i="3"/>
  <c r="AB325" i="3" s="1"/>
  <c r="AD325" i="3"/>
  <c r="T326" i="3"/>
  <c r="U326" i="3"/>
  <c r="Z326" i="3"/>
  <c r="AA326" i="3"/>
  <c r="AB326" i="3" s="1"/>
  <c r="AD326" i="3"/>
  <c r="T327" i="3"/>
  <c r="U327" i="3"/>
  <c r="Z327" i="3"/>
  <c r="AA327" i="3"/>
  <c r="AB327" i="3" s="1"/>
  <c r="AD327" i="3"/>
  <c r="T328" i="3"/>
  <c r="U328" i="3"/>
  <c r="Z328" i="3"/>
  <c r="AA328" i="3"/>
  <c r="AB328" i="3" s="1"/>
  <c r="AD328" i="3"/>
  <c r="T329" i="3"/>
  <c r="U329" i="3"/>
  <c r="Z329" i="3"/>
  <c r="AA329" i="3"/>
  <c r="AB329" i="3" s="1"/>
  <c r="AD329" i="3"/>
  <c r="T330" i="3"/>
  <c r="U330" i="3"/>
  <c r="Z330" i="3"/>
  <c r="AA330" i="3"/>
  <c r="AB330" i="3" s="1"/>
  <c r="AD330" i="3"/>
  <c r="T331" i="3"/>
  <c r="U331" i="3"/>
  <c r="Z331" i="3"/>
  <c r="AA331" i="3"/>
  <c r="AB331" i="3" s="1"/>
  <c r="AD331" i="3"/>
  <c r="T332" i="3"/>
  <c r="U332" i="3"/>
  <c r="Z332" i="3"/>
  <c r="AA332" i="3"/>
  <c r="AB332" i="3" s="1"/>
  <c r="AD332" i="3"/>
  <c r="T333" i="3"/>
  <c r="U333" i="3"/>
  <c r="Z333" i="3"/>
  <c r="AA333" i="3"/>
  <c r="AB333" i="3" s="1"/>
  <c r="AD333" i="3"/>
  <c r="T334" i="3"/>
  <c r="U334" i="3"/>
  <c r="Z334" i="3"/>
  <c r="AA334" i="3"/>
  <c r="AB334" i="3" s="1"/>
  <c r="AD334" i="3"/>
  <c r="T335" i="3"/>
  <c r="U335" i="3"/>
  <c r="Z335" i="3"/>
  <c r="AA335" i="3"/>
  <c r="AB335" i="3" s="1"/>
  <c r="AD335" i="3"/>
  <c r="T336" i="3"/>
  <c r="U336" i="3"/>
  <c r="Z336" i="3"/>
  <c r="AA336" i="3"/>
  <c r="AB336" i="3" s="1"/>
  <c r="AD336" i="3"/>
  <c r="T337" i="3"/>
  <c r="U337" i="3"/>
  <c r="Z337" i="3"/>
  <c r="AA337" i="3"/>
  <c r="AB337" i="3" s="1"/>
  <c r="AD337" i="3"/>
  <c r="T338" i="3"/>
  <c r="U338" i="3"/>
  <c r="Z338" i="3"/>
  <c r="AA338" i="3"/>
  <c r="AB338" i="3" s="1"/>
  <c r="AD338" i="3"/>
  <c r="T339" i="3"/>
  <c r="U339" i="3"/>
  <c r="Z339" i="3"/>
  <c r="AA339" i="3"/>
  <c r="AB339" i="3" s="1"/>
  <c r="AD339" i="3"/>
  <c r="T340" i="3"/>
  <c r="U340" i="3"/>
  <c r="Z340" i="3"/>
  <c r="AA340" i="3"/>
  <c r="AB340" i="3" s="1"/>
  <c r="AD340" i="3"/>
  <c r="T341" i="3"/>
  <c r="U341" i="3"/>
  <c r="Z341" i="3"/>
  <c r="AA341" i="3"/>
  <c r="AB341" i="3" s="1"/>
  <c r="AD341" i="3"/>
  <c r="T342" i="3"/>
  <c r="U342" i="3"/>
  <c r="Z342" i="3"/>
  <c r="AA342" i="3"/>
  <c r="AB342" i="3" s="1"/>
  <c r="AD342" i="3"/>
  <c r="T343" i="3"/>
  <c r="U343" i="3"/>
  <c r="Z343" i="3"/>
  <c r="AA343" i="3"/>
  <c r="AB343" i="3" s="1"/>
  <c r="AD343" i="3"/>
  <c r="T344" i="3"/>
  <c r="U344" i="3"/>
  <c r="Z344" i="3"/>
  <c r="AA344" i="3"/>
  <c r="AB344" i="3" s="1"/>
  <c r="AD344" i="3"/>
  <c r="T345" i="3"/>
  <c r="U345" i="3"/>
  <c r="Z345" i="3"/>
  <c r="AA345" i="3"/>
  <c r="AB345" i="3" s="1"/>
  <c r="AD345" i="3"/>
  <c r="T346" i="3"/>
  <c r="U346" i="3"/>
  <c r="Z346" i="3"/>
  <c r="AA346" i="3"/>
  <c r="AB346" i="3" s="1"/>
  <c r="AD346" i="3"/>
  <c r="T347" i="3"/>
  <c r="U347" i="3"/>
  <c r="Z347" i="3"/>
  <c r="AA347" i="3"/>
  <c r="AB347" i="3" s="1"/>
  <c r="AD347" i="3"/>
  <c r="T348" i="3"/>
  <c r="U348" i="3"/>
  <c r="Z348" i="3"/>
  <c r="AA348" i="3"/>
  <c r="AB348" i="3" s="1"/>
  <c r="AD348" i="3"/>
  <c r="T349" i="3"/>
  <c r="U349" i="3"/>
  <c r="Z349" i="3"/>
  <c r="AA349" i="3"/>
  <c r="AB349" i="3" s="1"/>
  <c r="AD349" i="3"/>
  <c r="T350" i="3"/>
  <c r="U350" i="3"/>
  <c r="Z350" i="3"/>
  <c r="AA350" i="3"/>
  <c r="AB350" i="3" s="1"/>
  <c r="AD350" i="3"/>
  <c r="T351" i="3"/>
  <c r="U351" i="3"/>
  <c r="Z351" i="3"/>
  <c r="AA351" i="3"/>
  <c r="AB351" i="3" s="1"/>
  <c r="AD351" i="3"/>
  <c r="T352" i="3"/>
  <c r="U352" i="3"/>
  <c r="Z352" i="3"/>
  <c r="AA352" i="3"/>
  <c r="AB352" i="3" s="1"/>
  <c r="AD352" i="3"/>
  <c r="T353" i="3"/>
  <c r="U353" i="3"/>
  <c r="Z353" i="3"/>
  <c r="AA353" i="3"/>
  <c r="AB353" i="3" s="1"/>
  <c r="AD353" i="3"/>
  <c r="T354" i="3"/>
  <c r="U354" i="3"/>
  <c r="Z354" i="3"/>
  <c r="AA354" i="3"/>
  <c r="AB354" i="3" s="1"/>
  <c r="AD354" i="3"/>
  <c r="T355" i="3"/>
  <c r="U355" i="3"/>
  <c r="Z355" i="3"/>
  <c r="AA355" i="3"/>
  <c r="AB355" i="3" s="1"/>
  <c r="AD355" i="3"/>
  <c r="T356" i="3"/>
  <c r="U356" i="3"/>
  <c r="Z356" i="3"/>
  <c r="AA356" i="3"/>
  <c r="AB356" i="3" s="1"/>
  <c r="AD356" i="3"/>
  <c r="T357" i="3"/>
  <c r="U357" i="3"/>
  <c r="Z357" i="3"/>
  <c r="AA357" i="3"/>
  <c r="AB357" i="3" s="1"/>
  <c r="AD357" i="3"/>
  <c r="T358" i="3"/>
  <c r="U358" i="3"/>
  <c r="Z358" i="3"/>
  <c r="AA358" i="3"/>
  <c r="AB358" i="3" s="1"/>
  <c r="AD358" i="3"/>
  <c r="T359" i="3"/>
  <c r="U359" i="3"/>
  <c r="Z359" i="3"/>
  <c r="AA359" i="3"/>
  <c r="AB359" i="3" s="1"/>
  <c r="AD359" i="3"/>
  <c r="T360" i="3"/>
  <c r="U360" i="3"/>
  <c r="Z360" i="3"/>
  <c r="AA360" i="3"/>
  <c r="AB360" i="3" s="1"/>
  <c r="AD360" i="3"/>
  <c r="T361" i="3"/>
  <c r="U361" i="3"/>
  <c r="Z361" i="3"/>
  <c r="AA361" i="3"/>
  <c r="AB361" i="3" s="1"/>
  <c r="AD361" i="3"/>
  <c r="T362" i="3"/>
  <c r="U362" i="3"/>
  <c r="Z362" i="3"/>
  <c r="AA362" i="3"/>
  <c r="AB362" i="3" s="1"/>
  <c r="AD362" i="3"/>
  <c r="T363" i="3"/>
  <c r="U363" i="3"/>
  <c r="Z363" i="3"/>
  <c r="AA363" i="3"/>
  <c r="AB363" i="3" s="1"/>
  <c r="AD363" i="3"/>
  <c r="T364" i="3"/>
  <c r="U364" i="3"/>
  <c r="Z364" i="3"/>
  <c r="AA364" i="3"/>
  <c r="AB364" i="3" s="1"/>
  <c r="AD364" i="3"/>
  <c r="T365" i="3"/>
  <c r="U365" i="3"/>
  <c r="Z365" i="3"/>
  <c r="AA365" i="3"/>
  <c r="AB365" i="3" s="1"/>
  <c r="AD365" i="3"/>
  <c r="T366" i="3"/>
  <c r="U366" i="3"/>
  <c r="Z366" i="3"/>
  <c r="AA366" i="3"/>
  <c r="AB366" i="3" s="1"/>
  <c r="AD366" i="3"/>
  <c r="T367" i="3"/>
  <c r="U367" i="3"/>
  <c r="Z367" i="3"/>
  <c r="AA367" i="3"/>
  <c r="AB367" i="3" s="1"/>
  <c r="AD367" i="3"/>
  <c r="T368" i="3"/>
  <c r="U368" i="3"/>
  <c r="Z368" i="3"/>
  <c r="AA368" i="3"/>
  <c r="AB368" i="3" s="1"/>
  <c r="AD368" i="3"/>
  <c r="T369" i="3"/>
  <c r="U369" i="3"/>
  <c r="Z369" i="3"/>
  <c r="AA369" i="3"/>
  <c r="AB369" i="3" s="1"/>
  <c r="AD369" i="3"/>
  <c r="T370" i="3"/>
  <c r="U370" i="3"/>
  <c r="Z370" i="3"/>
  <c r="AA370" i="3"/>
  <c r="AB370" i="3" s="1"/>
  <c r="AD370" i="3"/>
  <c r="T371" i="3"/>
  <c r="U371" i="3"/>
  <c r="Z371" i="3"/>
  <c r="AA371" i="3"/>
  <c r="AB371" i="3" s="1"/>
  <c r="AD371" i="3"/>
  <c r="T372" i="3"/>
  <c r="U372" i="3"/>
  <c r="Z372" i="3"/>
  <c r="AA372" i="3"/>
  <c r="AB372" i="3" s="1"/>
  <c r="AD372" i="3"/>
  <c r="T373" i="3"/>
  <c r="U373" i="3"/>
  <c r="Z373" i="3"/>
  <c r="AA373" i="3"/>
  <c r="AB373" i="3" s="1"/>
  <c r="AD373" i="3"/>
  <c r="T374" i="3"/>
  <c r="U374" i="3"/>
  <c r="Z374" i="3"/>
  <c r="AA374" i="3"/>
  <c r="AB374" i="3" s="1"/>
  <c r="AD374" i="3"/>
  <c r="T375" i="3"/>
  <c r="U375" i="3"/>
  <c r="Z375" i="3"/>
  <c r="AA375" i="3"/>
  <c r="AB375" i="3" s="1"/>
  <c r="AD375" i="3"/>
  <c r="T376" i="3"/>
  <c r="U376" i="3"/>
  <c r="Z376" i="3"/>
  <c r="AA376" i="3"/>
  <c r="AB376" i="3" s="1"/>
  <c r="AD376" i="3"/>
  <c r="T377" i="3"/>
  <c r="U377" i="3"/>
  <c r="Z377" i="3"/>
  <c r="AA377" i="3"/>
  <c r="AB377" i="3" s="1"/>
  <c r="AD377" i="3"/>
  <c r="T378" i="3"/>
  <c r="U378" i="3"/>
  <c r="Z378" i="3"/>
  <c r="AA378" i="3"/>
  <c r="AB378" i="3" s="1"/>
  <c r="AD378" i="3"/>
  <c r="T379" i="3"/>
  <c r="U379" i="3"/>
  <c r="Z379" i="3"/>
  <c r="AA379" i="3"/>
  <c r="AB379" i="3" s="1"/>
  <c r="AD379" i="3"/>
  <c r="T380" i="3"/>
  <c r="U380" i="3"/>
  <c r="Z380" i="3"/>
  <c r="AA380" i="3"/>
  <c r="AB380" i="3" s="1"/>
  <c r="AD380" i="3"/>
  <c r="T381" i="3"/>
  <c r="U381" i="3"/>
  <c r="Z381" i="3"/>
  <c r="AA381" i="3"/>
  <c r="AB381" i="3" s="1"/>
  <c r="AD381" i="3"/>
  <c r="T382" i="3"/>
  <c r="U382" i="3"/>
  <c r="Z382" i="3"/>
  <c r="AA382" i="3"/>
  <c r="AB382" i="3" s="1"/>
  <c r="AD382" i="3"/>
  <c r="T383" i="3"/>
  <c r="U383" i="3"/>
  <c r="Z383" i="3"/>
  <c r="AA383" i="3"/>
  <c r="AB383" i="3" s="1"/>
  <c r="AD383" i="3"/>
  <c r="T384" i="3"/>
  <c r="U384" i="3"/>
  <c r="Z384" i="3"/>
  <c r="AA384" i="3"/>
  <c r="AB384" i="3" s="1"/>
  <c r="AD384" i="3"/>
  <c r="T385" i="3"/>
  <c r="U385" i="3"/>
  <c r="Z385" i="3"/>
  <c r="AA385" i="3"/>
  <c r="AB385" i="3" s="1"/>
  <c r="AD385" i="3"/>
  <c r="T386" i="3"/>
  <c r="U386" i="3"/>
  <c r="Z386" i="3"/>
  <c r="AA386" i="3"/>
  <c r="AB386" i="3" s="1"/>
  <c r="AD386" i="3"/>
  <c r="T387" i="3"/>
  <c r="U387" i="3"/>
  <c r="Z387" i="3"/>
  <c r="AA387" i="3"/>
  <c r="AB387" i="3" s="1"/>
  <c r="AD387" i="3"/>
  <c r="T388" i="3"/>
  <c r="U388" i="3"/>
  <c r="Z388" i="3"/>
  <c r="AA388" i="3"/>
  <c r="AB388" i="3" s="1"/>
  <c r="AD388" i="3"/>
  <c r="T389" i="3"/>
  <c r="U389" i="3"/>
  <c r="Z389" i="3"/>
  <c r="AA389" i="3"/>
  <c r="AB389" i="3" s="1"/>
  <c r="AD389" i="3"/>
  <c r="T390" i="3"/>
  <c r="U390" i="3"/>
  <c r="Z390" i="3"/>
  <c r="AA390" i="3"/>
  <c r="AB390" i="3" s="1"/>
  <c r="AD390" i="3"/>
  <c r="T391" i="3"/>
  <c r="U391" i="3"/>
  <c r="Z391" i="3"/>
  <c r="AA391" i="3"/>
  <c r="AB391" i="3" s="1"/>
  <c r="AD391" i="3"/>
  <c r="T392" i="3"/>
  <c r="U392" i="3"/>
  <c r="Z392" i="3"/>
  <c r="AA392" i="3"/>
  <c r="AB392" i="3" s="1"/>
  <c r="AD392" i="3"/>
  <c r="T393" i="3"/>
  <c r="U393" i="3"/>
  <c r="Z393" i="3"/>
  <c r="AA393" i="3"/>
  <c r="AB393" i="3" s="1"/>
  <c r="AD393" i="3"/>
  <c r="T394" i="3"/>
  <c r="U394" i="3"/>
  <c r="Z394" i="3"/>
  <c r="AA394" i="3"/>
  <c r="AB394" i="3" s="1"/>
  <c r="AD394" i="3"/>
  <c r="T395" i="3"/>
  <c r="U395" i="3"/>
  <c r="Z395" i="3"/>
  <c r="AA395" i="3"/>
  <c r="AB395" i="3" s="1"/>
  <c r="AD395" i="3"/>
  <c r="T396" i="3"/>
  <c r="U396" i="3"/>
  <c r="Z396" i="3"/>
  <c r="AA396" i="3"/>
  <c r="AB396" i="3" s="1"/>
  <c r="AD396" i="3"/>
  <c r="T397" i="3"/>
  <c r="U397" i="3"/>
  <c r="Z397" i="3"/>
  <c r="AA397" i="3"/>
  <c r="AB397" i="3" s="1"/>
  <c r="AD397" i="3"/>
  <c r="T398" i="3"/>
  <c r="U398" i="3"/>
  <c r="Z398" i="3"/>
  <c r="AA398" i="3"/>
  <c r="AB398" i="3" s="1"/>
  <c r="AD398" i="3"/>
  <c r="T399" i="3"/>
  <c r="U399" i="3"/>
  <c r="Z399" i="3"/>
  <c r="AA399" i="3"/>
  <c r="AB399" i="3" s="1"/>
  <c r="AD399" i="3"/>
  <c r="T400" i="3"/>
  <c r="U400" i="3"/>
  <c r="Z400" i="3"/>
  <c r="AA400" i="3"/>
  <c r="AB400" i="3" s="1"/>
  <c r="AD400" i="3"/>
  <c r="T100" i="3"/>
  <c r="U100" i="3"/>
  <c r="Z100" i="3"/>
  <c r="AA100" i="3"/>
  <c r="AB100" i="3" s="1"/>
  <c r="AD100" i="3"/>
  <c r="T101" i="3"/>
  <c r="U101" i="3"/>
  <c r="Z101" i="3"/>
  <c r="AA101" i="3"/>
  <c r="AB101" i="3" s="1"/>
  <c r="AD101" i="3"/>
  <c r="T102" i="3"/>
  <c r="U102" i="3"/>
  <c r="Z102" i="3"/>
  <c r="AA102" i="3"/>
  <c r="AB102" i="3" s="1"/>
  <c r="AD102" i="3"/>
  <c r="T103" i="3"/>
  <c r="U103" i="3"/>
  <c r="Z103" i="3"/>
  <c r="AA103" i="3"/>
  <c r="AB103" i="3" s="1"/>
  <c r="AD103" i="3"/>
  <c r="T104" i="3"/>
  <c r="U104" i="3"/>
  <c r="Z104" i="3"/>
  <c r="AA104" i="3"/>
  <c r="AB104" i="3" s="1"/>
  <c r="AD104" i="3"/>
  <c r="T105" i="3"/>
  <c r="U105" i="3"/>
  <c r="Z105" i="3"/>
  <c r="AA105" i="3"/>
  <c r="AB105" i="3" s="1"/>
  <c r="AD105" i="3"/>
  <c r="T106" i="3"/>
  <c r="U106" i="3"/>
  <c r="Z106" i="3"/>
  <c r="AA106" i="3"/>
  <c r="AB106" i="3" s="1"/>
  <c r="AD106" i="3"/>
  <c r="T107" i="3"/>
  <c r="U107" i="3"/>
  <c r="Z107" i="3"/>
  <c r="AA107" i="3"/>
  <c r="AB107" i="3" s="1"/>
  <c r="AD107" i="3"/>
  <c r="T108" i="3"/>
  <c r="U108" i="3"/>
  <c r="Z108" i="3"/>
  <c r="AA108" i="3"/>
  <c r="AB108" i="3" s="1"/>
  <c r="AD108" i="3"/>
  <c r="T109" i="3"/>
  <c r="U109" i="3"/>
  <c r="Z109" i="3"/>
  <c r="AA109" i="3"/>
  <c r="AB109" i="3" s="1"/>
  <c r="AD109" i="3"/>
  <c r="T110" i="3"/>
  <c r="U110" i="3"/>
  <c r="Z110" i="3"/>
  <c r="AA110" i="3"/>
  <c r="AB110" i="3" s="1"/>
  <c r="AD110" i="3"/>
  <c r="C3" i="6"/>
  <c r="D3" i="6"/>
  <c r="C4" i="6"/>
  <c r="D4" i="6"/>
  <c r="C5" i="6"/>
  <c r="D5" i="6"/>
  <c r="C6" i="6"/>
  <c r="D6" i="6"/>
  <c r="C7" i="6"/>
  <c r="D7" i="6"/>
  <c r="B8" i="6"/>
  <c r="C8" i="6"/>
  <c r="D8" i="6"/>
  <c r="B9" i="6"/>
  <c r="C9" i="6"/>
  <c r="D9" i="6"/>
  <c r="B10" i="6"/>
  <c r="C10" i="6"/>
  <c r="D10" i="6"/>
  <c r="B11" i="6"/>
  <c r="C11" i="6"/>
  <c r="D11" i="6"/>
  <c r="B12" i="6"/>
  <c r="C12" i="6"/>
  <c r="D12" i="6"/>
  <c r="B13" i="6"/>
  <c r="C13" i="6"/>
  <c r="D13" i="6"/>
  <c r="B14" i="6"/>
  <c r="C14" i="6"/>
  <c r="D14" i="6"/>
  <c r="B15" i="6"/>
  <c r="C15" i="6"/>
  <c r="D15" i="6"/>
  <c r="B16" i="6"/>
  <c r="C16" i="6"/>
  <c r="D16" i="6"/>
  <c r="B17" i="6"/>
  <c r="C17" i="6"/>
  <c r="D17" i="6"/>
  <c r="B18" i="6"/>
  <c r="C18" i="6"/>
  <c r="D18" i="6"/>
  <c r="B19" i="6"/>
  <c r="C19" i="6"/>
  <c r="D19" i="6"/>
  <c r="B20" i="6"/>
  <c r="C20" i="6"/>
  <c r="D20" i="6"/>
  <c r="B21" i="6"/>
  <c r="C21" i="6"/>
  <c r="D21" i="6"/>
  <c r="B22" i="6"/>
  <c r="C22" i="6"/>
  <c r="D22" i="6"/>
  <c r="Z27" i="3"/>
  <c r="AA27" i="3"/>
  <c r="AB27" i="3" s="1"/>
  <c r="AD27" i="3"/>
  <c r="Z28" i="3"/>
  <c r="AA28" i="3"/>
  <c r="AB28" i="3" s="1"/>
  <c r="AD28" i="3"/>
  <c r="Z29" i="3"/>
  <c r="AA29" i="3"/>
  <c r="AB29" i="3" s="1"/>
  <c r="AD29" i="3"/>
  <c r="Z30" i="3"/>
  <c r="AA30" i="3"/>
  <c r="AB30" i="3" s="1"/>
  <c r="AD30" i="3"/>
  <c r="Z31" i="3"/>
  <c r="AA31" i="3"/>
  <c r="AB31" i="3" s="1"/>
  <c r="AD31" i="3"/>
  <c r="Z32" i="3"/>
  <c r="AA32" i="3"/>
  <c r="AB32" i="3" s="1"/>
  <c r="AD32" i="3"/>
  <c r="Z33" i="3"/>
  <c r="AA33" i="3"/>
  <c r="AB33" i="3" s="1"/>
  <c r="AD33" i="3"/>
  <c r="Z34" i="3"/>
  <c r="AA34" i="3"/>
  <c r="AB34" i="3" s="1"/>
  <c r="AD34" i="3"/>
  <c r="Z35" i="3"/>
  <c r="AA35" i="3"/>
  <c r="AB35" i="3" s="1"/>
  <c r="AD35" i="3"/>
  <c r="Z36" i="3"/>
  <c r="AA36" i="3"/>
  <c r="AB36" i="3" s="1"/>
  <c r="AD36" i="3"/>
  <c r="Z37" i="3"/>
  <c r="AA37" i="3"/>
  <c r="AB37" i="3" s="1"/>
  <c r="AD37" i="3"/>
  <c r="Z38" i="3"/>
  <c r="AA38" i="3"/>
  <c r="AB38" i="3" s="1"/>
  <c r="AD38" i="3"/>
  <c r="Z39" i="3"/>
  <c r="AA39" i="3"/>
  <c r="AB39" i="3" s="1"/>
  <c r="AD39" i="3"/>
  <c r="Z40" i="3"/>
  <c r="AA40" i="3"/>
  <c r="AB40" i="3" s="1"/>
  <c r="AD40" i="3"/>
  <c r="Z41" i="3"/>
  <c r="AA41" i="3"/>
  <c r="AB41" i="3" s="1"/>
  <c r="AD41" i="3"/>
  <c r="Z42" i="3"/>
  <c r="AA42" i="3"/>
  <c r="AB42" i="3" s="1"/>
  <c r="AD42" i="3"/>
  <c r="Z43" i="3"/>
  <c r="AA43" i="3"/>
  <c r="AB43" i="3" s="1"/>
  <c r="AD43" i="3"/>
  <c r="Z44" i="3"/>
  <c r="AA44" i="3"/>
  <c r="AB44" i="3" s="1"/>
  <c r="AD44" i="3"/>
  <c r="Z45" i="3"/>
  <c r="AA45" i="3"/>
  <c r="AB45" i="3" s="1"/>
  <c r="AD45" i="3"/>
  <c r="Z46" i="3"/>
  <c r="AA46" i="3"/>
  <c r="AB46" i="3" s="1"/>
  <c r="AD46" i="3"/>
  <c r="Z47" i="3"/>
  <c r="AA47" i="3"/>
  <c r="AB47" i="3" s="1"/>
  <c r="AD47" i="3"/>
  <c r="Z48" i="3"/>
  <c r="AA48" i="3"/>
  <c r="AB48" i="3" s="1"/>
  <c r="AD48" i="3"/>
  <c r="Z49" i="3"/>
  <c r="AA49" i="3"/>
  <c r="AB49" i="3" s="1"/>
  <c r="AD49" i="3"/>
  <c r="Z50" i="3"/>
  <c r="AA50" i="3"/>
  <c r="AB50" i="3" s="1"/>
  <c r="AD50" i="3"/>
  <c r="Z51" i="3"/>
  <c r="AA51" i="3"/>
  <c r="AB51" i="3" s="1"/>
  <c r="AD51" i="3"/>
  <c r="Z52" i="3"/>
  <c r="AA52" i="3"/>
  <c r="AB52" i="3" s="1"/>
  <c r="AD52" i="3"/>
  <c r="Z53" i="3"/>
  <c r="AA53" i="3"/>
  <c r="AB53" i="3" s="1"/>
  <c r="AD53" i="3"/>
  <c r="Z54" i="3"/>
  <c r="AA54" i="3"/>
  <c r="AB54" i="3" s="1"/>
  <c r="AD54" i="3"/>
  <c r="Z55" i="3"/>
  <c r="AA55" i="3"/>
  <c r="AB55" i="3" s="1"/>
  <c r="AD55" i="3"/>
  <c r="Z56" i="3"/>
  <c r="AA56" i="3"/>
  <c r="AB56" i="3" s="1"/>
  <c r="AD56" i="3"/>
  <c r="Z57" i="3"/>
  <c r="AA57" i="3"/>
  <c r="AB57" i="3" s="1"/>
  <c r="AD57" i="3"/>
  <c r="Z58" i="3"/>
  <c r="AA58" i="3"/>
  <c r="AB58" i="3" s="1"/>
  <c r="AD58" i="3"/>
  <c r="Z59" i="3"/>
  <c r="AA59" i="3"/>
  <c r="AB59" i="3" s="1"/>
  <c r="AD59" i="3"/>
  <c r="Z60" i="3"/>
  <c r="AA60" i="3"/>
  <c r="AB60" i="3" s="1"/>
  <c r="AD60" i="3"/>
  <c r="Z61" i="3"/>
  <c r="AA61" i="3"/>
  <c r="AB61" i="3" s="1"/>
  <c r="AD61" i="3"/>
  <c r="Z62" i="3"/>
  <c r="AA62" i="3"/>
  <c r="AB62" i="3" s="1"/>
  <c r="AD62" i="3"/>
  <c r="Z63" i="3"/>
  <c r="AA63" i="3"/>
  <c r="AB63" i="3" s="1"/>
  <c r="AD63" i="3"/>
  <c r="Z64" i="3"/>
  <c r="AA64" i="3"/>
  <c r="AB64" i="3" s="1"/>
  <c r="AD64" i="3"/>
  <c r="Z65" i="3"/>
  <c r="AA65" i="3"/>
  <c r="AB65" i="3" s="1"/>
  <c r="AD65" i="3"/>
  <c r="Z66" i="3"/>
  <c r="AA66" i="3"/>
  <c r="AB66" i="3" s="1"/>
  <c r="AD66" i="3"/>
  <c r="Z67" i="3"/>
  <c r="AA67" i="3"/>
  <c r="AB67" i="3" s="1"/>
  <c r="AD67" i="3"/>
  <c r="Z68" i="3"/>
  <c r="AA68" i="3"/>
  <c r="AB68" i="3" s="1"/>
  <c r="AD68" i="3"/>
  <c r="Z69" i="3"/>
  <c r="AA69" i="3"/>
  <c r="AB69" i="3" s="1"/>
  <c r="AD69" i="3"/>
  <c r="Z70" i="3"/>
  <c r="AA70" i="3"/>
  <c r="AB70" i="3" s="1"/>
  <c r="AD70" i="3"/>
  <c r="Z71" i="3"/>
  <c r="AA71" i="3"/>
  <c r="AB71" i="3" s="1"/>
  <c r="AD71" i="3"/>
  <c r="Z72" i="3"/>
  <c r="AA72" i="3"/>
  <c r="AB72" i="3" s="1"/>
  <c r="AD72" i="3"/>
  <c r="Z73" i="3"/>
  <c r="AA73" i="3"/>
  <c r="AB73" i="3" s="1"/>
  <c r="AD73" i="3"/>
  <c r="Z74" i="3"/>
  <c r="AA74" i="3"/>
  <c r="AB74" i="3" s="1"/>
  <c r="AD74" i="3"/>
  <c r="Z75" i="3"/>
  <c r="AA75" i="3"/>
  <c r="AB75" i="3" s="1"/>
  <c r="AD75" i="3"/>
  <c r="Z76" i="3"/>
  <c r="AA76" i="3"/>
  <c r="AB76" i="3" s="1"/>
  <c r="AD76" i="3"/>
  <c r="Z77" i="3"/>
  <c r="AA77" i="3"/>
  <c r="AB77" i="3" s="1"/>
  <c r="AD77" i="3"/>
  <c r="Z78" i="3"/>
  <c r="AA78" i="3"/>
  <c r="AB78" i="3" s="1"/>
  <c r="AD78" i="3"/>
  <c r="Z79" i="3"/>
  <c r="AA79" i="3"/>
  <c r="AB79" i="3" s="1"/>
  <c r="AD79" i="3"/>
  <c r="Z80" i="3"/>
  <c r="AA80" i="3"/>
  <c r="AB80" i="3" s="1"/>
  <c r="AD80" i="3"/>
  <c r="Z81" i="3"/>
  <c r="AA81" i="3"/>
  <c r="AB81" i="3" s="1"/>
  <c r="AD81" i="3"/>
  <c r="Z82" i="3"/>
  <c r="AA82" i="3"/>
  <c r="AB82" i="3" s="1"/>
  <c r="AD82" i="3"/>
  <c r="Z83" i="3"/>
  <c r="AA83" i="3"/>
  <c r="AB83" i="3" s="1"/>
  <c r="AD83" i="3"/>
  <c r="Z84" i="3"/>
  <c r="AA84" i="3"/>
  <c r="AB84" i="3" s="1"/>
  <c r="AD84" i="3"/>
  <c r="Z85" i="3"/>
  <c r="AA85" i="3"/>
  <c r="AB85" i="3" s="1"/>
  <c r="AD85" i="3"/>
  <c r="Z86" i="3"/>
  <c r="AA86" i="3"/>
  <c r="AB86" i="3" s="1"/>
  <c r="AD86" i="3"/>
  <c r="Z87" i="3"/>
  <c r="AA87" i="3"/>
  <c r="AB87" i="3" s="1"/>
  <c r="AD87" i="3"/>
  <c r="Z88" i="3"/>
  <c r="AA88" i="3"/>
  <c r="AB88" i="3" s="1"/>
  <c r="AD88" i="3"/>
  <c r="Z89" i="3"/>
  <c r="AA89" i="3"/>
  <c r="AB89" i="3" s="1"/>
  <c r="AD89" i="3"/>
  <c r="Z90" i="3"/>
  <c r="AA90" i="3"/>
  <c r="AB90" i="3" s="1"/>
  <c r="AD90" i="3"/>
  <c r="Z91" i="3"/>
  <c r="AA91" i="3"/>
  <c r="AB91" i="3" s="1"/>
  <c r="AD91" i="3"/>
  <c r="Z92" i="3"/>
  <c r="AA92" i="3"/>
  <c r="AB92" i="3" s="1"/>
  <c r="AD92" i="3"/>
  <c r="Z93" i="3"/>
  <c r="AA93" i="3"/>
  <c r="AB93" i="3" s="1"/>
  <c r="AD93" i="3"/>
  <c r="Z94" i="3"/>
  <c r="AA94" i="3"/>
  <c r="AB94" i="3" s="1"/>
  <c r="AD94" i="3"/>
  <c r="Z95" i="3"/>
  <c r="AA95" i="3"/>
  <c r="AB95" i="3" s="1"/>
  <c r="AD95" i="3"/>
  <c r="Z96" i="3"/>
  <c r="AA96" i="3"/>
  <c r="AB96" i="3" s="1"/>
  <c r="AD96" i="3"/>
  <c r="Z97" i="3"/>
  <c r="AA97" i="3"/>
  <c r="AB97" i="3" s="1"/>
  <c r="AD97" i="3"/>
  <c r="Z98" i="3"/>
  <c r="AA98" i="3"/>
  <c r="AB98" i="3" s="1"/>
  <c r="AD98" i="3"/>
  <c r="Z99" i="3"/>
  <c r="AA99" i="3"/>
  <c r="AB99" i="3" s="1"/>
  <c r="AD99" i="3"/>
  <c r="Z3" i="3"/>
  <c r="AA3" i="3"/>
  <c r="AB3" i="3" s="1"/>
  <c r="AD3" i="3"/>
  <c r="Z4" i="3"/>
  <c r="AA4" i="3"/>
  <c r="AB4" i="3" s="1"/>
  <c r="AD4" i="3"/>
  <c r="Z5" i="3"/>
  <c r="AA5" i="3"/>
  <c r="AB5" i="3" s="1"/>
  <c r="AD5" i="3"/>
  <c r="Z6" i="3"/>
  <c r="AA6" i="3"/>
  <c r="AB6" i="3" s="1"/>
  <c r="AD6" i="3"/>
  <c r="Z7" i="3"/>
  <c r="AA7" i="3"/>
  <c r="AB7" i="3" s="1"/>
  <c r="AD7" i="3"/>
  <c r="Z8" i="3"/>
  <c r="AA8" i="3"/>
  <c r="AB8" i="3" s="1"/>
  <c r="AD8" i="3"/>
  <c r="Z9" i="3"/>
  <c r="AA9" i="3"/>
  <c r="AB9" i="3" s="1"/>
  <c r="AD9" i="3"/>
  <c r="Z10" i="3"/>
  <c r="AA10" i="3"/>
  <c r="AB10" i="3" s="1"/>
  <c r="AD10" i="3"/>
  <c r="Z11" i="3"/>
  <c r="AA11" i="3"/>
  <c r="AB11" i="3" s="1"/>
  <c r="AD11" i="3"/>
  <c r="Z12" i="3"/>
  <c r="AA12" i="3"/>
  <c r="AB12" i="3" s="1"/>
  <c r="AD12" i="3"/>
  <c r="Z13" i="3"/>
  <c r="AA13" i="3"/>
  <c r="AB13" i="3" s="1"/>
  <c r="AD13" i="3"/>
  <c r="Z14" i="3"/>
  <c r="AA14" i="3"/>
  <c r="AB14" i="3" s="1"/>
  <c r="AD14" i="3"/>
  <c r="Z15" i="3"/>
  <c r="AA15" i="3"/>
  <c r="AB15" i="3" s="1"/>
  <c r="AD15" i="3"/>
  <c r="Z16" i="3"/>
  <c r="AA16" i="3"/>
  <c r="AB16" i="3" s="1"/>
  <c r="AD16" i="3"/>
  <c r="Z17" i="3"/>
  <c r="AA17" i="3"/>
  <c r="AB17" i="3" s="1"/>
  <c r="AD17" i="3"/>
  <c r="Z18" i="3"/>
  <c r="AA18" i="3"/>
  <c r="AB18" i="3" s="1"/>
  <c r="AD18" i="3"/>
  <c r="Z19" i="3"/>
  <c r="AA19" i="3"/>
  <c r="AB19" i="3" s="1"/>
  <c r="AD19" i="3"/>
  <c r="Z20" i="3"/>
  <c r="AA20" i="3"/>
  <c r="AB20" i="3" s="1"/>
  <c r="AD20" i="3"/>
  <c r="Z21" i="3"/>
  <c r="AA21" i="3"/>
  <c r="AB21" i="3" s="1"/>
  <c r="AD21" i="3"/>
  <c r="Z22" i="3"/>
  <c r="AA22" i="3"/>
  <c r="AB22" i="3" s="1"/>
  <c r="AD22" i="3"/>
  <c r="Z23" i="3"/>
  <c r="AA23" i="3"/>
  <c r="AB23" i="3" s="1"/>
  <c r="AD23" i="3"/>
  <c r="Z24" i="3"/>
  <c r="AA24" i="3"/>
  <c r="AB24" i="3" s="1"/>
  <c r="AD24" i="3"/>
  <c r="Z25" i="3"/>
  <c r="AA25" i="3"/>
  <c r="AB25" i="3" s="1"/>
  <c r="AD25" i="3"/>
  <c r="Z26" i="3"/>
  <c r="AA26" i="3"/>
  <c r="AB26" i="3" s="1"/>
  <c r="AD26" i="3"/>
  <c r="AD2" i="3"/>
  <c r="T3" i="3"/>
  <c r="U3" i="3"/>
  <c r="T4" i="3"/>
  <c r="U4" i="3"/>
  <c r="T5" i="3"/>
  <c r="U5" i="3"/>
  <c r="T6" i="3"/>
  <c r="U6" i="3"/>
  <c r="T7" i="3"/>
  <c r="U7" i="3"/>
  <c r="T8" i="3"/>
  <c r="U8" i="3"/>
  <c r="T9" i="3"/>
  <c r="U9" i="3"/>
  <c r="T10" i="3"/>
  <c r="U10" i="3"/>
  <c r="T11" i="3"/>
  <c r="U11" i="3"/>
  <c r="T12" i="3"/>
  <c r="U12" i="3"/>
  <c r="T13" i="3"/>
  <c r="U13" i="3"/>
  <c r="T14" i="3"/>
  <c r="U14" i="3"/>
  <c r="T15" i="3"/>
  <c r="U15" i="3"/>
  <c r="T16" i="3"/>
  <c r="U16" i="3"/>
  <c r="T17" i="3"/>
  <c r="U17" i="3"/>
  <c r="T18" i="3"/>
  <c r="U18" i="3"/>
  <c r="T19" i="3"/>
  <c r="U19" i="3"/>
  <c r="T20" i="3"/>
  <c r="U20" i="3"/>
  <c r="T21" i="3"/>
  <c r="U21" i="3"/>
  <c r="T22" i="3"/>
  <c r="U22" i="3"/>
  <c r="T23" i="3"/>
  <c r="U23" i="3"/>
  <c r="T24" i="3"/>
  <c r="U24" i="3"/>
  <c r="T25" i="3"/>
  <c r="U25" i="3"/>
  <c r="T26" i="3"/>
  <c r="U26" i="3"/>
  <c r="T27" i="3"/>
  <c r="U27" i="3"/>
  <c r="T28" i="3"/>
  <c r="U28" i="3"/>
  <c r="T29" i="3"/>
  <c r="U29" i="3"/>
  <c r="T30" i="3"/>
  <c r="U30" i="3"/>
  <c r="T31" i="3"/>
  <c r="U31" i="3"/>
  <c r="T32" i="3"/>
  <c r="U32" i="3"/>
  <c r="T33" i="3"/>
  <c r="U33" i="3"/>
  <c r="T34" i="3"/>
  <c r="U34" i="3"/>
  <c r="T35" i="3"/>
  <c r="U35" i="3"/>
  <c r="T36" i="3"/>
  <c r="U36" i="3"/>
  <c r="T37" i="3"/>
  <c r="U37" i="3"/>
  <c r="T38" i="3"/>
  <c r="U38" i="3"/>
  <c r="T39" i="3"/>
  <c r="U39" i="3"/>
  <c r="T40" i="3"/>
  <c r="U40" i="3"/>
  <c r="T41" i="3"/>
  <c r="U41" i="3"/>
  <c r="T42" i="3"/>
  <c r="U42" i="3"/>
  <c r="T43" i="3"/>
  <c r="U43" i="3"/>
  <c r="T44" i="3"/>
  <c r="U44" i="3"/>
  <c r="T45" i="3"/>
  <c r="U45" i="3"/>
  <c r="T46" i="3"/>
  <c r="U46" i="3"/>
  <c r="T47" i="3"/>
  <c r="U47" i="3"/>
  <c r="T48" i="3"/>
  <c r="U48" i="3"/>
  <c r="T49" i="3"/>
  <c r="U49" i="3"/>
  <c r="T50" i="3"/>
  <c r="U50" i="3"/>
  <c r="T51" i="3"/>
  <c r="U51" i="3"/>
  <c r="T52" i="3"/>
  <c r="U52" i="3"/>
  <c r="T53" i="3"/>
  <c r="U53" i="3"/>
  <c r="T54" i="3"/>
  <c r="U54" i="3"/>
  <c r="T55" i="3"/>
  <c r="U55" i="3"/>
  <c r="T56" i="3"/>
  <c r="U56" i="3"/>
  <c r="T57" i="3"/>
  <c r="U57" i="3"/>
  <c r="T58" i="3"/>
  <c r="U58" i="3"/>
  <c r="T59" i="3"/>
  <c r="U59" i="3"/>
  <c r="T60" i="3"/>
  <c r="U60" i="3"/>
  <c r="T61" i="3"/>
  <c r="U61" i="3"/>
  <c r="T62" i="3"/>
  <c r="U62" i="3"/>
  <c r="T63" i="3"/>
  <c r="U63" i="3"/>
  <c r="T64" i="3"/>
  <c r="U64" i="3"/>
  <c r="T65" i="3"/>
  <c r="U65" i="3"/>
  <c r="T66" i="3"/>
  <c r="U66" i="3"/>
  <c r="T67" i="3"/>
  <c r="U67" i="3"/>
  <c r="T68" i="3"/>
  <c r="U68" i="3"/>
  <c r="T69" i="3"/>
  <c r="U69" i="3"/>
  <c r="T70" i="3"/>
  <c r="U70" i="3"/>
  <c r="T71" i="3"/>
  <c r="U71" i="3"/>
  <c r="T72" i="3"/>
  <c r="U72" i="3"/>
  <c r="T73" i="3"/>
  <c r="U73" i="3"/>
  <c r="T74" i="3"/>
  <c r="U74" i="3"/>
  <c r="T75" i="3"/>
  <c r="U75" i="3"/>
  <c r="T76" i="3"/>
  <c r="U76" i="3"/>
  <c r="T77" i="3"/>
  <c r="U77" i="3"/>
  <c r="T78" i="3"/>
  <c r="U78" i="3"/>
  <c r="T79" i="3"/>
  <c r="U79" i="3"/>
  <c r="T80" i="3"/>
  <c r="U80" i="3"/>
  <c r="T81" i="3"/>
  <c r="U81" i="3"/>
  <c r="T82" i="3"/>
  <c r="U82" i="3"/>
  <c r="T83" i="3"/>
  <c r="U83" i="3"/>
  <c r="T84" i="3"/>
  <c r="U84" i="3"/>
  <c r="T85" i="3"/>
  <c r="U85" i="3"/>
  <c r="T86" i="3"/>
  <c r="U86" i="3"/>
  <c r="T87" i="3"/>
  <c r="U87" i="3"/>
  <c r="T88" i="3"/>
  <c r="U88" i="3"/>
  <c r="T89" i="3"/>
  <c r="U89" i="3"/>
  <c r="T90" i="3"/>
  <c r="U90" i="3"/>
  <c r="T91" i="3"/>
  <c r="U91" i="3"/>
  <c r="T92" i="3"/>
  <c r="U92" i="3"/>
  <c r="T93" i="3"/>
  <c r="U93" i="3"/>
  <c r="T94" i="3"/>
  <c r="U94" i="3"/>
  <c r="T95" i="3"/>
  <c r="U95" i="3"/>
  <c r="T96" i="3"/>
  <c r="U96" i="3"/>
  <c r="T97" i="3"/>
  <c r="U97" i="3"/>
  <c r="T98" i="3"/>
  <c r="U98" i="3"/>
  <c r="T99" i="3"/>
  <c r="U99" i="3"/>
  <c r="T2" i="3"/>
  <c r="U2" i="3"/>
  <c r="V357" i="3" l="1"/>
  <c r="W357" i="3" s="1"/>
  <c r="M357" i="3" s="1"/>
  <c r="V114" i="3"/>
  <c r="W114" i="3" s="1"/>
  <c r="V319" i="3"/>
  <c r="W319" i="3" s="1"/>
  <c r="M319" i="3" s="1"/>
  <c r="V314" i="3"/>
  <c r="W314" i="3" s="1"/>
  <c r="X314" i="3" s="1"/>
  <c r="Y314" i="3" s="1"/>
  <c r="AC314" i="3" s="1"/>
  <c r="AE314" i="3" s="1"/>
  <c r="V142" i="3"/>
  <c r="W142" i="3" s="1"/>
  <c r="V291" i="3"/>
  <c r="W291" i="3" s="1"/>
  <c r="M291" i="3" s="1"/>
  <c r="V359" i="3"/>
  <c r="W359" i="3" s="1"/>
  <c r="X359" i="3" s="1"/>
  <c r="Y359" i="3" s="1"/>
  <c r="AC359" i="3" s="1"/>
  <c r="AE359" i="3" s="1"/>
  <c r="V175" i="3"/>
  <c r="W175" i="3" s="1"/>
  <c r="X175" i="3" s="1"/>
  <c r="Y175" i="3" s="1"/>
  <c r="AC175" i="3" s="1"/>
  <c r="AE175" i="3" s="1"/>
  <c r="V332" i="3"/>
  <c r="W332" i="3" s="1"/>
  <c r="M332" i="3" s="1"/>
  <c r="V222" i="3"/>
  <c r="W222" i="3" s="1"/>
  <c r="M222" i="3" s="1"/>
  <c r="V320" i="3"/>
  <c r="W320" i="3" s="1"/>
  <c r="M320" i="3" s="1"/>
  <c r="V116" i="3"/>
  <c r="W116" i="3" s="1"/>
  <c r="V299" i="3"/>
  <c r="W299" i="3" s="1"/>
  <c r="X299" i="3" s="1"/>
  <c r="Y299" i="3" s="1"/>
  <c r="AC299" i="3" s="1"/>
  <c r="AE299" i="3" s="1"/>
  <c r="V368" i="3"/>
  <c r="W368" i="3" s="1"/>
  <c r="M368" i="3" s="1"/>
  <c r="V330" i="3"/>
  <c r="W330" i="3" s="1"/>
  <c r="M330" i="3" s="1"/>
  <c r="V134" i="3"/>
  <c r="W134" i="3" s="1"/>
  <c r="X134" i="3" s="1"/>
  <c r="Y134" i="3" s="1"/>
  <c r="AC134" i="3" s="1"/>
  <c r="AE134" i="3" s="1"/>
  <c r="V386" i="3"/>
  <c r="W386" i="3" s="1"/>
  <c r="X386" i="3" s="1"/>
  <c r="Y386" i="3" s="1"/>
  <c r="AC386" i="3" s="1"/>
  <c r="AE386" i="3" s="1"/>
  <c r="V313" i="3"/>
  <c r="W313" i="3" s="1"/>
  <c r="M313" i="3" s="1"/>
  <c r="V379" i="3"/>
  <c r="W379" i="3" s="1"/>
  <c r="M379" i="3" s="1"/>
  <c r="V149" i="3"/>
  <c r="W149" i="3" s="1"/>
  <c r="X149" i="3" s="1"/>
  <c r="Y149" i="3" s="1"/>
  <c r="AC149" i="3" s="1"/>
  <c r="AE149" i="3" s="1"/>
  <c r="V179" i="3"/>
  <c r="W179" i="3" s="1"/>
  <c r="X179" i="3" s="1"/>
  <c r="Y179" i="3" s="1"/>
  <c r="AC179" i="3" s="1"/>
  <c r="AE179" i="3" s="1"/>
  <c r="V256" i="3"/>
  <c r="W256" i="3" s="1"/>
  <c r="M256" i="3" s="1"/>
  <c r="V350" i="3"/>
  <c r="W350" i="3" s="1"/>
  <c r="X350" i="3" s="1"/>
  <c r="Y350" i="3" s="1"/>
  <c r="AC350" i="3" s="1"/>
  <c r="AE350" i="3" s="1"/>
  <c r="V399" i="3"/>
  <c r="W399" i="3" s="1"/>
  <c r="X399" i="3" s="1"/>
  <c r="Y399" i="3" s="1"/>
  <c r="AC399" i="3" s="1"/>
  <c r="AE399" i="3" s="1"/>
  <c r="V176" i="3"/>
  <c r="W176" i="3" s="1"/>
  <c r="V218" i="3"/>
  <c r="W218" i="3" s="1"/>
  <c r="X218" i="3" s="1"/>
  <c r="Y218" i="3" s="1"/>
  <c r="AC218" i="3" s="1"/>
  <c r="AE218" i="3" s="1"/>
  <c r="V127" i="3"/>
  <c r="W127" i="3" s="1"/>
  <c r="X127" i="3" s="1"/>
  <c r="Y127" i="3" s="1"/>
  <c r="AC127" i="3" s="1"/>
  <c r="AE127" i="3" s="1"/>
  <c r="V104" i="3"/>
  <c r="W104" i="3" s="1"/>
  <c r="X104" i="3" s="1"/>
  <c r="Y104" i="3" s="1"/>
  <c r="AC104" i="3" s="1"/>
  <c r="AE104" i="3" s="1"/>
  <c r="V185" i="3"/>
  <c r="W185" i="3" s="1"/>
  <c r="X185" i="3" s="1"/>
  <c r="Y185" i="3" s="1"/>
  <c r="AC185" i="3" s="1"/>
  <c r="AE185" i="3" s="1"/>
  <c r="V381" i="3"/>
  <c r="W381" i="3" s="1"/>
  <c r="M381" i="3" s="1"/>
  <c r="V282" i="3"/>
  <c r="W282" i="3" s="1"/>
  <c r="M282" i="3" s="1"/>
  <c r="V296" i="3"/>
  <c r="W296" i="3" s="1"/>
  <c r="M296" i="3" s="1"/>
  <c r="V352" i="3"/>
  <c r="W352" i="3" s="1"/>
  <c r="M352" i="3" s="1"/>
  <c r="V132" i="3"/>
  <c r="W132" i="3" s="1"/>
  <c r="V169" i="3"/>
  <c r="W169" i="3" s="1"/>
  <c r="X169" i="3" s="1"/>
  <c r="Y169" i="3" s="1"/>
  <c r="AC169" i="3" s="1"/>
  <c r="AE169" i="3" s="1"/>
  <c r="V303" i="3"/>
  <c r="W303" i="3" s="1"/>
  <c r="M303" i="3" s="1"/>
  <c r="V129" i="3"/>
  <c r="W129" i="3" s="1"/>
  <c r="X129" i="3" s="1"/>
  <c r="Y129" i="3" s="1"/>
  <c r="AC129" i="3" s="1"/>
  <c r="AE129" i="3" s="1"/>
  <c r="V138" i="3"/>
  <c r="W138" i="3" s="1"/>
  <c r="X138" i="3" s="1"/>
  <c r="Y138" i="3" s="1"/>
  <c r="AC138" i="3" s="1"/>
  <c r="AE138" i="3" s="1"/>
  <c r="V385" i="3"/>
  <c r="W385" i="3" s="1"/>
  <c r="X385" i="3" s="1"/>
  <c r="Y385" i="3" s="1"/>
  <c r="AC385" i="3" s="1"/>
  <c r="AE385" i="3" s="1"/>
  <c r="V170" i="3"/>
  <c r="W170" i="3" s="1"/>
  <c r="X170" i="3" s="1"/>
  <c r="Y170" i="3" s="1"/>
  <c r="AC170" i="3" s="1"/>
  <c r="AE170" i="3" s="1"/>
  <c r="V174" i="3"/>
  <c r="W174" i="3" s="1"/>
  <c r="V173" i="3"/>
  <c r="W173" i="3" s="1"/>
  <c r="X173" i="3" s="1"/>
  <c r="Y173" i="3" s="1"/>
  <c r="AC173" i="3" s="1"/>
  <c r="AE173" i="3" s="1"/>
  <c r="V270" i="3"/>
  <c r="W270" i="3" s="1"/>
  <c r="M270" i="3" s="1"/>
  <c r="V284" i="3"/>
  <c r="W284" i="3" s="1"/>
  <c r="M284" i="3" s="1"/>
  <c r="V373" i="3"/>
  <c r="W373" i="3" s="1"/>
  <c r="M373" i="3" s="1"/>
  <c r="V219" i="3"/>
  <c r="W219" i="3" s="1"/>
  <c r="V182" i="3"/>
  <c r="W182" i="3" s="1"/>
  <c r="V269" i="3"/>
  <c r="W269" i="3" s="1"/>
  <c r="M269" i="3" s="1"/>
  <c r="V260" i="3"/>
  <c r="W260" i="3" s="1"/>
  <c r="X260" i="3" s="1"/>
  <c r="Y260" i="3" s="1"/>
  <c r="AC260" i="3" s="1"/>
  <c r="AE260" i="3" s="1"/>
  <c r="V223" i="3"/>
  <c r="W223" i="3" s="1"/>
  <c r="X223" i="3" s="1"/>
  <c r="Y223" i="3" s="1"/>
  <c r="AC223" i="3" s="1"/>
  <c r="AE223" i="3" s="1"/>
  <c r="V297" i="3"/>
  <c r="W297" i="3" s="1"/>
  <c r="X297" i="3" s="1"/>
  <c r="Y297" i="3" s="1"/>
  <c r="AC297" i="3" s="1"/>
  <c r="AE297" i="3" s="1"/>
  <c r="V131" i="3"/>
  <c r="W131" i="3" s="1"/>
  <c r="V329" i="3"/>
  <c r="W329" i="3" s="1"/>
  <c r="M329" i="3" s="1"/>
  <c r="V324" i="3"/>
  <c r="W324" i="3" s="1"/>
  <c r="M324" i="3" s="1"/>
  <c r="V397" i="3"/>
  <c r="W397" i="3" s="1"/>
  <c r="X397" i="3" s="1"/>
  <c r="Y397" i="3" s="1"/>
  <c r="AC397" i="3" s="1"/>
  <c r="AE397" i="3" s="1"/>
  <c r="V356" i="3"/>
  <c r="W356" i="3" s="1"/>
  <c r="X356" i="3" s="1"/>
  <c r="Y356" i="3" s="1"/>
  <c r="AC356" i="3" s="1"/>
  <c r="AE356" i="3" s="1"/>
  <c r="V105" i="3"/>
  <c r="W105" i="3" s="1"/>
  <c r="V369" i="3"/>
  <c r="W369" i="3" s="1"/>
  <c r="M369" i="3" s="1"/>
  <c r="V198" i="3"/>
  <c r="W198" i="3" s="1"/>
  <c r="V111" i="3"/>
  <c r="W111" i="3" s="1"/>
  <c r="V268" i="3"/>
  <c r="W268" i="3" s="1"/>
  <c r="M268" i="3" s="1"/>
  <c r="V241" i="3"/>
  <c r="W241" i="3" s="1"/>
  <c r="M241" i="3" s="1"/>
  <c r="V123" i="3"/>
  <c r="W123" i="3" s="1"/>
  <c r="V254" i="3"/>
  <c r="W254" i="3" s="1"/>
  <c r="X254" i="3" s="1"/>
  <c r="Y254" i="3" s="1"/>
  <c r="AC254" i="3" s="1"/>
  <c r="AE254" i="3" s="1"/>
  <c r="V380" i="3"/>
  <c r="W380" i="3" s="1"/>
  <c r="X380" i="3" s="1"/>
  <c r="Y380" i="3" s="1"/>
  <c r="AC380" i="3" s="1"/>
  <c r="AE380" i="3" s="1"/>
  <c r="V295" i="3"/>
  <c r="W295" i="3" s="1"/>
  <c r="X295" i="3" s="1"/>
  <c r="Y295" i="3" s="1"/>
  <c r="AC295" i="3" s="1"/>
  <c r="AE295" i="3" s="1"/>
  <c r="V276" i="3"/>
  <c r="W276" i="3" s="1"/>
  <c r="M276" i="3" s="1"/>
  <c r="V158" i="3"/>
  <c r="W158" i="3" s="1"/>
  <c r="V200" i="3"/>
  <c r="W200" i="3" s="1"/>
  <c r="X200" i="3" s="1"/>
  <c r="Y200" i="3" s="1"/>
  <c r="AC200" i="3" s="1"/>
  <c r="AE200" i="3" s="1"/>
  <c r="V119" i="3"/>
  <c r="W119" i="3" s="1"/>
  <c r="V394" i="3"/>
  <c r="W394" i="3" s="1"/>
  <c r="M394" i="3" s="1"/>
  <c r="V354" i="3"/>
  <c r="W354" i="3" s="1"/>
  <c r="M354" i="3" s="1"/>
  <c r="V371" i="3"/>
  <c r="W371" i="3" s="1"/>
  <c r="M371" i="3" s="1"/>
  <c r="V135" i="3"/>
  <c r="W135" i="3" s="1"/>
  <c r="V326" i="3"/>
  <c r="W326" i="3" s="1"/>
  <c r="X326" i="3" s="1"/>
  <c r="Y326" i="3" s="1"/>
  <c r="AC326" i="3" s="1"/>
  <c r="AE326" i="3" s="1"/>
  <c r="V317" i="3"/>
  <c r="W317" i="3" s="1"/>
  <c r="X317" i="3" s="1"/>
  <c r="Y317" i="3" s="1"/>
  <c r="AC317" i="3" s="1"/>
  <c r="AE317" i="3" s="1"/>
  <c r="V285" i="3"/>
  <c r="W285" i="3" s="1"/>
  <c r="X285" i="3" s="1"/>
  <c r="Y285" i="3" s="1"/>
  <c r="AC285" i="3" s="1"/>
  <c r="AE285" i="3" s="1"/>
  <c r="V370" i="3"/>
  <c r="W370" i="3" s="1"/>
  <c r="X370" i="3" s="1"/>
  <c r="Y370" i="3" s="1"/>
  <c r="AC370" i="3" s="1"/>
  <c r="AE370" i="3" s="1"/>
  <c r="V339" i="3"/>
  <c r="W339" i="3" s="1"/>
  <c r="M339" i="3" s="1"/>
  <c r="V207" i="3"/>
  <c r="W207" i="3" s="1"/>
  <c r="V106" i="3"/>
  <c r="W106" i="3" s="1"/>
  <c r="V252" i="3"/>
  <c r="W252" i="3" s="1"/>
  <c r="M252" i="3" s="1"/>
  <c r="V306" i="3"/>
  <c r="W306" i="3" s="1"/>
  <c r="X306" i="3" s="1"/>
  <c r="Y306" i="3" s="1"/>
  <c r="AC306" i="3" s="1"/>
  <c r="AE306" i="3" s="1"/>
  <c r="V265" i="3"/>
  <c r="W265" i="3" s="1"/>
  <c r="X265" i="3" s="1"/>
  <c r="Y265" i="3" s="1"/>
  <c r="AC265" i="3" s="1"/>
  <c r="AE265" i="3" s="1"/>
  <c r="V224" i="3"/>
  <c r="W224" i="3" s="1"/>
  <c r="X224" i="3" s="1"/>
  <c r="Y224" i="3" s="1"/>
  <c r="AC224" i="3" s="1"/>
  <c r="AE224" i="3" s="1"/>
  <c r="V165" i="3"/>
  <c r="W165" i="3" s="1"/>
  <c r="V113" i="3"/>
  <c r="W113" i="3" s="1"/>
  <c r="V346" i="3"/>
  <c r="W346" i="3" s="1"/>
  <c r="M346" i="3" s="1"/>
  <c r="V177" i="3"/>
  <c r="W177" i="3" s="1"/>
  <c r="V384" i="3"/>
  <c r="W384" i="3" s="1"/>
  <c r="X384" i="3" s="1"/>
  <c r="Y384" i="3" s="1"/>
  <c r="AC384" i="3" s="1"/>
  <c r="AE384" i="3" s="1"/>
  <c r="V122" i="3"/>
  <c r="W122" i="3" s="1"/>
  <c r="X122" i="3" s="1"/>
  <c r="Y122" i="3" s="1"/>
  <c r="AC122" i="3" s="1"/>
  <c r="AE122" i="3" s="1"/>
  <c r="V392" i="3"/>
  <c r="W392" i="3" s="1"/>
  <c r="M392" i="3" s="1"/>
  <c r="V315" i="3"/>
  <c r="W315" i="3" s="1"/>
  <c r="M315" i="3" s="1"/>
  <c r="V278" i="3"/>
  <c r="W278" i="3" s="1"/>
  <c r="M278" i="3" s="1"/>
  <c r="V137" i="3"/>
  <c r="W137" i="3" s="1"/>
  <c r="V54" i="3"/>
  <c r="W54" i="3" s="1"/>
  <c r="X54" i="3" s="1"/>
  <c r="Y54" i="3" s="1"/>
  <c r="AC54" i="3" s="1"/>
  <c r="AE54" i="3" s="1"/>
  <c r="V187" i="3"/>
  <c r="W187" i="3" s="1"/>
  <c r="X187" i="3" s="1"/>
  <c r="Y187" i="3" s="1"/>
  <c r="AC187" i="3" s="1"/>
  <c r="AE187" i="3" s="1"/>
  <c r="V227" i="3"/>
  <c r="W227" i="3" s="1"/>
  <c r="X227" i="3" s="1"/>
  <c r="Y227" i="3" s="1"/>
  <c r="AC227" i="3" s="1"/>
  <c r="AE227" i="3" s="1"/>
  <c r="V152" i="3"/>
  <c r="W152" i="3" s="1"/>
  <c r="X152" i="3" s="1"/>
  <c r="Y152" i="3" s="1"/>
  <c r="AC152" i="3" s="1"/>
  <c r="AE152" i="3" s="1"/>
  <c r="V258" i="3"/>
  <c r="W258" i="3" s="1"/>
  <c r="M258" i="3" s="1"/>
  <c r="V245" i="3"/>
  <c r="W245" i="3" s="1"/>
  <c r="M245" i="3" s="1"/>
  <c r="V191" i="3"/>
  <c r="W191" i="3" s="1"/>
  <c r="X191" i="3" s="1"/>
  <c r="Y191" i="3" s="1"/>
  <c r="AC191" i="3" s="1"/>
  <c r="AE191" i="3" s="1"/>
  <c r="V391" i="3"/>
  <c r="W391" i="3" s="1"/>
  <c r="M391" i="3" s="1"/>
  <c r="V283" i="3"/>
  <c r="W283" i="3" s="1"/>
  <c r="M283" i="3" s="1"/>
  <c r="V231" i="3"/>
  <c r="W231" i="3" s="1"/>
  <c r="X231" i="3" s="1"/>
  <c r="Y231" i="3" s="1"/>
  <c r="AC231" i="3" s="1"/>
  <c r="AE231" i="3" s="1"/>
  <c r="V287" i="3"/>
  <c r="W287" i="3" s="1"/>
  <c r="X287" i="3" s="1"/>
  <c r="Y287" i="3" s="1"/>
  <c r="AC287" i="3" s="1"/>
  <c r="AE287" i="3" s="1"/>
  <c r="V208" i="3"/>
  <c r="W208" i="3" s="1"/>
  <c r="X208" i="3" s="1"/>
  <c r="Y208" i="3" s="1"/>
  <c r="AC208" i="3" s="1"/>
  <c r="AE208" i="3" s="1"/>
  <c r="V199" i="3"/>
  <c r="W199" i="3" s="1"/>
  <c r="V181" i="3"/>
  <c r="W181" i="3" s="1"/>
  <c r="X181" i="3" s="1"/>
  <c r="Y181" i="3" s="1"/>
  <c r="AC181" i="3" s="1"/>
  <c r="AE181" i="3" s="1"/>
  <c r="V117" i="3"/>
  <c r="W117" i="3" s="1"/>
  <c r="X117" i="3" s="1"/>
  <c r="Y117" i="3" s="1"/>
  <c r="AC117" i="3" s="1"/>
  <c r="AE117" i="3" s="1"/>
  <c r="V340" i="3"/>
  <c r="W340" i="3" s="1"/>
  <c r="X340" i="3" s="1"/>
  <c r="Y340" i="3" s="1"/>
  <c r="AC340" i="3" s="1"/>
  <c r="AE340" i="3" s="1"/>
  <c r="V318" i="3"/>
  <c r="W318" i="3" s="1"/>
  <c r="M318" i="3" s="1"/>
  <c r="V203" i="3"/>
  <c r="W203" i="3" s="1"/>
  <c r="X203" i="3" s="1"/>
  <c r="Y203" i="3" s="1"/>
  <c r="AC203" i="3" s="1"/>
  <c r="AE203" i="3" s="1"/>
  <c r="V335" i="3"/>
  <c r="W335" i="3" s="1"/>
  <c r="X335" i="3" s="1"/>
  <c r="Y335" i="3" s="1"/>
  <c r="AC335" i="3" s="1"/>
  <c r="AE335" i="3" s="1"/>
  <c r="V248" i="3"/>
  <c r="W248" i="3" s="1"/>
  <c r="M248" i="3" s="1"/>
  <c r="V286" i="3"/>
  <c r="W286" i="3" s="1"/>
  <c r="X286" i="3" s="1"/>
  <c r="Y286" i="3" s="1"/>
  <c r="AC286" i="3" s="1"/>
  <c r="AE286" i="3" s="1"/>
  <c r="V273" i="3"/>
  <c r="W273" i="3" s="1"/>
  <c r="X273" i="3" s="1"/>
  <c r="Y273" i="3" s="1"/>
  <c r="AC273" i="3" s="1"/>
  <c r="AE273" i="3" s="1"/>
  <c r="V141" i="3"/>
  <c r="W141" i="3" s="1"/>
  <c r="X141" i="3" s="1"/>
  <c r="Y141" i="3" s="1"/>
  <c r="AC141" i="3" s="1"/>
  <c r="AE141" i="3" s="1"/>
  <c r="V101" i="3"/>
  <c r="W101" i="3" s="1"/>
  <c r="V238" i="3"/>
  <c r="W238" i="3" s="1"/>
  <c r="X238" i="3" s="1"/>
  <c r="Y238" i="3" s="1"/>
  <c r="AC238" i="3" s="1"/>
  <c r="AE238" i="3" s="1"/>
  <c r="V347" i="3"/>
  <c r="W347" i="3" s="1"/>
  <c r="X347" i="3" s="1"/>
  <c r="Y347" i="3" s="1"/>
  <c r="AC347" i="3" s="1"/>
  <c r="AE347" i="3" s="1"/>
  <c r="V233" i="3"/>
  <c r="W233" i="3" s="1"/>
  <c r="M233" i="3" s="1"/>
  <c r="V215" i="3"/>
  <c r="W215" i="3" s="1"/>
  <c r="V100" i="3"/>
  <c r="W100" i="3" s="1"/>
  <c r="V376" i="3"/>
  <c r="W376" i="3" s="1"/>
  <c r="X376" i="3" s="1"/>
  <c r="Y376" i="3" s="1"/>
  <c r="AC376" i="3" s="1"/>
  <c r="AE376" i="3" s="1"/>
  <c r="V351" i="3"/>
  <c r="W351" i="3" s="1"/>
  <c r="M351" i="3" s="1"/>
  <c r="V342" i="3"/>
  <c r="W342" i="3" s="1"/>
  <c r="M342" i="3" s="1"/>
  <c r="V333" i="3"/>
  <c r="W333" i="3" s="1"/>
  <c r="X333" i="3" s="1"/>
  <c r="Y333" i="3" s="1"/>
  <c r="AC333" i="3" s="1"/>
  <c r="AE333" i="3" s="1"/>
  <c r="V294" i="3"/>
  <c r="W294" i="3" s="1"/>
  <c r="M294" i="3" s="1"/>
  <c r="V272" i="3"/>
  <c r="W272" i="3" s="1"/>
  <c r="X272" i="3" s="1"/>
  <c r="Y272" i="3" s="1"/>
  <c r="AC272" i="3" s="1"/>
  <c r="AE272" i="3" s="1"/>
  <c r="V228" i="3"/>
  <c r="W228" i="3" s="1"/>
  <c r="X228" i="3" s="1"/>
  <c r="Y228" i="3" s="1"/>
  <c r="AC228" i="3" s="1"/>
  <c r="AE228" i="3" s="1"/>
  <c r="V239" i="3"/>
  <c r="W239" i="3" s="1"/>
  <c r="M239" i="3" s="1"/>
  <c r="V304" i="3"/>
  <c r="W304" i="3" s="1"/>
  <c r="M304" i="3" s="1"/>
  <c r="V118" i="3"/>
  <c r="W118" i="3" s="1"/>
  <c r="X118" i="3" s="1"/>
  <c r="Y118" i="3" s="1"/>
  <c r="AC118" i="3" s="1"/>
  <c r="AE118" i="3" s="1"/>
  <c r="V259" i="3"/>
  <c r="W259" i="3" s="1"/>
  <c r="M259" i="3" s="1"/>
  <c r="V204" i="3"/>
  <c r="W204" i="3" s="1"/>
  <c r="V349" i="3"/>
  <c r="W349" i="3" s="1"/>
  <c r="X349" i="3" s="1"/>
  <c r="Y349" i="3" s="1"/>
  <c r="AC349" i="3" s="1"/>
  <c r="AE349" i="3" s="1"/>
  <c r="V316" i="3"/>
  <c r="W316" i="3" s="1"/>
  <c r="M316" i="3" s="1"/>
  <c r="V308" i="3"/>
  <c r="W308" i="3" s="1"/>
  <c r="M308" i="3" s="1"/>
  <c r="V279" i="3"/>
  <c r="W279" i="3" s="1"/>
  <c r="M279" i="3" s="1"/>
  <c r="V217" i="3"/>
  <c r="W217" i="3" s="1"/>
  <c r="V358" i="3"/>
  <c r="W358" i="3" s="1"/>
  <c r="X358" i="3" s="1"/>
  <c r="Y358" i="3" s="1"/>
  <c r="AC358" i="3" s="1"/>
  <c r="AE358" i="3" s="1"/>
  <c r="V235" i="3"/>
  <c r="W235" i="3" s="1"/>
  <c r="M235" i="3" s="1"/>
  <c r="V309" i="3"/>
  <c r="W309" i="3" s="1"/>
  <c r="M309" i="3" s="1"/>
  <c r="V300" i="3"/>
  <c r="W300" i="3" s="1"/>
  <c r="M300" i="3" s="1"/>
  <c r="V145" i="3"/>
  <c r="W145" i="3" s="1"/>
  <c r="V126" i="3"/>
  <c r="W126" i="3" s="1"/>
  <c r="V344" i="3"/>
  <c r="W344" i="3" s="1"/>
  <c r="M344" i="3" s="1"/>
  <c r="V262" i="3"/>
  <c r="W262" i="3" s="1"/>
  <c r="X262" i="3" s="1"/>
  <c r="Y262" i="3" s="1"/>
  <c r="AC262" i="3" s="1"/>
  <c r="AE262" i="3" s="1"/>
  <c r="V246" i="3"/>
  <c r="W246" i="3" s="1"/>
  <c r="M246" i="3" s="1"/>
  <c r="V166" i="3"/>
  <c r="W166" i="3" s="1"/>
  <c r="X166" i="3" s="1"/>
  <c r="Y166" i="3" s="1"/>
  <c r="AC166" i="3" s="1"/>
  <c r="AE166" i="3" s="1"/>
  <c r="V162" i="3"/>
  <c r="W162" i="3" s="1"/>
  <c r="X162" i="3" s="1"/>
  <c r="Y162" i="3" s="1"/>
  <c r="AC162" i="3" s="1"/>
  <c r="AE162" i="3" s="1"/>
  <c r="V153" i="3"/>
  <c r="W153" i="3" s="1"/>
  <c r="V213" i="3"/>
  <c r="W213" i="3" s="1"/>
  <c r="V107" i="3"/>
  <c r="W107" i="3" s="1"/>
  <c r="X107" i="3" s="1"/>
  <c r="Y107" i="3" s="1"/>
  <c r="AC107" i="3" s="1"/>
  <c r="AE107" i="3" s="1"/>
  <c r="V311" i="3"/>
  <c r="W311" i="3" s="1"/>
  <c r="M311" i="3" s="1"/>
  <c r="V266" i="3"/>
  <c r="W266" i="3" s="1"/>
  <c r="X266" i="3" s="1"/>
  <c r="Y266" i="3" s="1"/>
  <c r="AC266" i="3" s="1"/>
  <c r="AE266" i="3" s="1"/>
  <c r="V237" i="3"/>
  <c r="W237" i="3" s="1"/>
  <c r="M237" i="3" s="1"/>
  <c r="V190" i="3"/>
  <c r="W190" i="3" s="1"/>
  <c r="X190" i="3" s="1"/>
  <c r="Y190" i="3" s="1"/>
  <c r="AC190" i="3" s="1"/>
  <c r="AE190" i="3" s="1"/>
  <c r="V331" i="3"/>
  <c r="W331" i="3" s="1"/>
  <c r="X331" i="3" s="1"/>
  <c r="Y331" i="3" s="1"/>
  <c r="AC331" i="3" s="1"/>
  <c r="AE331" i="3" s="1"/>
  <c r="V194" i="3"/>
  <c r="W194" i="3" s="1"/>
  <c r="X194" i="3" s="1"/>
  <c r="Y194" i="3" s="1"/>
  <c r="AC194" i="3" s="1"/>
  <c r="AE194" i="3" s="1"/>
  <c r="V196" i="3"/>
  <c r="W196" i="3" s="1"/>
  <c r="V261" i="3"/>
  <c r="W261" i="3" s="1"/>
  <c r="X261" i="3" s="1"/>
  <c r="Y261" i="3" s="1"/>
  <c r="AC261" i="3" s="1"/>
  <c r="AE261" i="3" s="1"/>
  <c r="V249" i="3"/>
  <c r="W249" i="3" s="1"/>
  <c r="X249" i="3" s="1"/>
  <c r="Y249" i="3" s="1"/>
  <c r="AC249" i="3" s="1"/>
  <c r="AE249" i="3" s="1"/>
  <c r="V140" i="3"/>
  <c r="W140" i="3" s="1"/>
  <c r="X140" i="3" s="1"/>
  <c r="Y140" i="3" s="1"/>
  <c r="AC140" i="3" s="1"/>
  <c r="AE140" i="3" s="1"/>
  <c r="V355" i="3"/>
  <c r="W355" i="3" s="1"/>
  <c r="X355" i="3" s="1"/>
  <c r="Y355" i="3" s="1"/>
  <c r="AC355" i="3" s="1"/>
  <c r="AE355" i="3" s="1"/>
  <c r="V189" i="3"/>
  <c r="W189" i="3" s="1"/>
  <c r="V150" i="3"/>
  <c r="W150" i="3" s="1"/>
  <c r="X150" i="3" s="1"/>
  <c r="Y150" i="3" s="1"/>
  <c r="AC150" i="3" s="1"/>
  <c r="AE150" i="3" s="1"/>
  <c r="V110" i="3"/>
  <c r="W110" i="3" s="1"/>
  <c r="V206" i="3"/>
  <c r="W206" i="3" s="1"/>
  <c r="V156" i="3"/>
  <c r="W156" i="3" s="1"/>
  <c r="X156" i="3" s="1"/>
  <c r="Y156" i="3" s="1"/>
  <c r="AC156" i="3" s="1"/>
  <c r="AE156" i="3" s="1"/>
  <c r="V378" i="3"/>
  <c r="W378" i="3" s="1"/>
  <c r="M378" i="3" s="1"/>
  <c r="V210" i="3"/>
  <c r="W210" i="3" s="1"/>
  <c r="V160" i="3"/>
  <c r="W160" i="3" s="1"/>
  <c r="X160" i="3" s="1"/>
  <c r="Y160" i="3" s="1"/>
  <c r="AC160" i="3" s="1"/>
  <c r="AE160" i="3" s="1"/>
  <c r="V143" i="3"/>
  <c r="W143" i="3" s="1"/>
  <c r="X143" i="3" s="1"/>
  <c r="Y143" i="3" s="1"/>
  <c r="AC143" i="3" s="1"/>
  <c r="AE143" i="3" s="1"/>
  <c r="V128" i="3"/>
  <c r="W128" i="3" s="1"/>
  <c r="V102" i="3"/>
  <c r="W102" i="3" s="1"/>
  <c r="V362" i="3"/>
  <c r="W362" i="3" s="1"/>
  <c r="X362" i="3" s="1"/>
  <c r="Y362" i="3" s="1"/>
  <c r="AC362" i="3" s="1"/>
  <c r="AE362" i="3" s="1"/>
  <c r="V188" i="3"/>
  <c r="W188" i="3" s="1"/>
  <c r="X188" i="3" s="1"/>
  <c r="Y188" i="3" s="1"/>
  <c r="AC188" i="3" s="1"/>
  <c r="AE188" i="3" s="1"/>
  <c r="V103" i="3"/>
  <c r="W103" i="3" s="1"/>
  <c r="V393" i="3"/>
  <c r="W393" i="3" s="1"/>
  <c r="M393" i="3" s="1"/>
  <c r="V338" i="3"/>
  <c r="W338" i="3" s="1"/>
  <c r="X338" i="3" s="1"/>
  <c r="Y338" i="3" s="1"/>
  <c r="AC338" i="3" s="1"/>
  <c r="AE338" i="3" s="1"/>
  <c r="V184" i="3"/>
  <c r="W184" i="3" s="1"/>
  <c r="X184" i="3" s="1"/>
  <c r="Y184" i="3" s="1"/>
  <c r="AC184" i="3" s="1"/>
  <c r="AE184" i="3" s="1"/>
  <c r="V180" i="3"/>
  <c r="W180" i="3" s="1"/>
  <c r="V242" i="3"/>
  <c r="W242" i="3" s="1"/>
  <c r="M242" i="3" s="1"/>
  <c r="V146" i="3"/>
  <c r="W146" i="3" s="1"/>
  <c r="X146" i="3" s="1"/>
  <c r="Y146" i="3" s="1"/>
  <c r="AC146" i="3" s="1"/>
  <c r="AE146" i="3" s="1"/>
  <c r="V367" i="3"/>
  <c r="W367" i="3" s="1"/>
  <c r="X367" i="3" s="1"/>
  <c r="Y367" i="3" s="1"/>
  <c r="AC367" i="3" s="1"/>
  <c r="AE367" i="3" s="1"/>
  <c r="V108" i="3"/>
  <c r="W108" i="3" s="1"/>
  <c r="V363" i="3"/>
  <c r="W363" i="3" s="1"/>
  <c r="M363" i="3" s="1"/>
  <c r="V366" i="3"/>
  <c r="W366" i="3" s="1"/>
  <c r="X366" i="3" s="1"/>
  <c r="Y366" i="3" s="1"/>
  <c r="AC366" i="3" s="1"/>
  <c r="AE366" i="3" s="1"/>
  <c r="V161" i="3"/>
  <c r="W161" i="3" s="1"/>
  <c r="V337" i="3"/>
  <c r="W337" i="3" s="1"/>
  <c r="M337" i="3" s="1"/>
  <c r="V387" i="3"/>
  <c r="W387" i="3" s="1"/>
  <c r="M387" i="3" s="1"/>
  <c r="V157" i="3"/>
  <c r="W157" i="3" s="1"/>
  <c r="V125" i="3"/>
  <c r="W125" i="3" s="1"/>
  <c r="X125" i="3" s="1"/>
  <c r="Y125" i="3" s="1"/>
  <c r="AC125" i="3" s="1"/>
  <c r="AE125" i="3" s="1"/>
  <c r="V390" i="3"/>
  <c r="W390" i="3" s="1"/>
  <c r="X390" i="3" s="1"/>
  <c r="Y390" i="3" s="1"/>
  <c r="AC390" i="3" s="1"/>
  <c r="AE390" i="3" s="1"/>
  <c r="V263" i="3"/>
  <c r="W263" i="3" s="1"/>
  <c r="X263" i="3" s="1"/>
  <c r="Y263" i="3" s="1"/>
  <c r="AC263" i="3" s="1"/>
  <c r="AE263" i="3" s="1"/>
  <c r="V183" i="3"/>
  <c r="W183" i="3" s="1"/>
  <c r="V400" i="3"/>
  <c r="W400" i="3" s="1"/>
  <c r="X400" i="3" s="1"/>
  <c r="Y400" i="3" s="1"/>
  <c r="AC400" i="3" s="1"/>
  <c r="AE400" i="3" s="1"/>
  <c r="V321" i="3"/>
  <c r="W321" i="3" s="1"/>
  <c r="X321" i="3" s="1"/>
  <c r="Y321" i="3" s="1"/>
  <c r="AC321" i="3" s="1"/>
  <c r="AE321" i="3" s="1"/>
  <c r="V293" i="3"/>
  <c r="W293" i="3" s="1"/>
  <c r="X293" i="3" s="1"/>
  <c r="Y293" i="3" s="1"/>
  <c r="AC293" i="3" s="1"/>
  <c r="AE293" i="3" s="1"/>
  <c r="V281" i="3"/>
  <c r="W281" i="3" s="1"/>
  <c r="X281" i="3" s="1"/>
  <c r="Y281" i="3" s="1"/>
  <c r="AC281" i="3" s="1"/>
  <c r="AE281" i="3" s="1"/>
  <c r="V277" i="3"/>
  <c r="W277" i="3" s="1"/>
  <c r="X277" i="3" s="1"/>
  <c r="Y277" i="3" s="1"/>
  <c r="AC277" i="3" s="1"/>
  <c r="AE277" i="3" s="1"/>
  <c r="V229" i="3"/>
  <c r="W229" i="3" s="1"/>
  <c r="M229" i="3" s="1"/>
  <c r="V221" i="3"/>
  <c r="W221" i="3" s="1"/>
  <c r="X221" i="3" s="1"/>
  <c r="Y221" i="3" s="1"/>
  <c r="AC221" i="3" s="1"/>
  <c r="AE221" i="3" s="1"/>
  <c r="V148" i="3"/>
  <c r="W148" i="3" s="1"/>
  <c r="V124" i="3"/>
  <c r="W124" i="3" s="1"/>
  <c r="X124" i="3" s="1"/>
  <c r="Y124" i="3" s="1"/>
  <c r="AC124" i="3" s="1"/>
  <c r="AE124" i="3" s="1"/>
  <c r="V327" i="3"/>
  <c r="W327" i="3" s="1"/>
  <c r="M327" i="3" s="1"/>
  <c r="V267" i="3"/>
  <c r="W267" i="3" s="1"/>
  <c r="V377" i="3"/>
  <c r="W377" i="3" s="1"/>
  <c r="X377" i="3" s="1"/>
  <c r="Y377" i="3" s="1"/>
  <c r="AC377" i="3" s="1"/>
  <c r="AE377" i="3" s="1"/>
  <c r="V365" i="3"/>
  <c r="W365" i="3" s="1"/>
  <c r="V220" i="3"/>
  <c r="W220" i="3" s="1"/>
  <c r="X220" i="3" s="1"/>
  <c r="Y220" i="3" s="1"/>
  <c r="AC220" i="3" s="1"/>
  <c r="AE220" i="3" s="1"/>
  <c r="V151" i="3"/>
  <c r="W151" i="3" s="1"/>
  <c r="V205" i="3"/>
  <c r="W205" i="3" s="1"/>
  <c r="X205" i="3" s="1"/>
  <c r="Y205" i="3" s="1"/>
  <c r="AC205" i="3" s="1"/>
  <c r="AE205" i="3" s="1"/>
  <c r="V155" i="3"/>
  <c r="W155" i="3" s="1"/>
  <c r="V112" i="3"/>
  <c r="W112" i="3" s="1"/>
  <c r="X112" i="3" s="1"/>
  <c r="Y112" i="3" s="1"/>
  <c r="AC112" i="3" s="1"/>
  <c r="AE112" i="3" s="1"/>
  <c r="V139" i="3"/>
  <c r="W139" i="3" s="1"/>
  <c r="V301" i="3"/>
  <c r="W301" i="3" s="1"/>
  <c r="X301" i="3" s="1"/>
  <c r="Y301" i="3" s="1"/>
  <c r="AC301" i="3" s="1"/>
  <c r="AE301" i="3" s="1"/>
  <c r="V364" i="3"/>
  <c r="W364" i="3" s="1"/>
  <c r="X364" i="3" s="1"/>
  <c r="Y364" i="3" s="1"/>
  <c r="AC364" i="3" s="1"/>
  <c r="AE364" i="3" s="1"/>
  <c r="V232" i="3"/>
  <c r="W232" i="3" s="1"/>
  <c r="V163" i="3"/>
  <c r="W163" i="3" s="1"/>
  <c r="X163" i="3" s="1"/>
  <c r="Y163" i="3" s="1"/>
  <c r="AC163" i="3" s="1"/>
  <c r="AE163" i="3" s="1"/>
  <c r="V290" i="3"/>
  <c r="W290" i="3" s="1"/>
  <c r="V226" i="3"/>
  <c r="W226" i="3" s="1"/>
  <c r="M226" i="3" s="1"/>
  <c r="V345" i="3"/>
  <c r="W345" i="3" s="1"/>
  <c r="M345" i="3" s="1"/>
  <c r="V305" i="3"/>
  <c r="W305" i="3" s="1"/>
  <c r="M305" i="3" s="1"/>
  <c r="V343" i="3"/>
  <c r="W343" i="3" s="1"/>
  <c r="M343" i="3" s="1"/>
  <c r="V288" i="3"/>
  <c r="W288" i="3" s="1"/>
  <c r="M288" i="3" s="1"/>
  <c r="V251" i="3"/>
  <c r="W251" i="3" s="1"/>
  <c r="X251" i="3" s="1"/>
  <c r="Y251" i="3" s="1"/>
  <c r="AC251" i="3" s="1"/>
  <c r="AE251" i="3" s="1"/>
  <c r="V171" i="3"/>
  <c r="W171" i="3" s="1"/>
  <c r="V292" i="3"/>
  <c r="W292" i="3" s="1"/>
  <c r="M292" i="3" s="1"/>
  <c r="V109" i="3"/>
  <c r="W109" i="3" s="1"/>
  <c r="X109" i="3" s="1"/>
  <c r="Y109" i="3" s="1"/>
  <c r="AC109" i="3" s="1"/>
  <c r="AE109" i="3" s="1"/>
  <c r="V280" i="3"/>
  <c r="W280" i="3" s="1"/>
  <c r="V159" i="3"/>
  <c r="W159" i="3" s="1"/>
  <c r="X159" i="3" s="1"/>
  <c r="Y159" i="3" s="1"/>
  <c r="AC159" i="3" s="1"/>
  <c r="AE159" i="3" s="1"/>
  <c r="V389" i="3"/>
  <c r="W389" i="3" s="1"/>
  <c r="V353" i="3"/>
  <c r="W353" i="3" s="1"/>
  <c r="X353" i="3" s="1"/>
  <c r="Y353" i="3" s="1"/>
  <c r="AC353" i="3" s="1"/>
  <c r="AE353" i="3" s="1"/>
  <c r="V307" i="3"/>
  <c r="W307" i="3" s="1"/>
  <c r="V236" i="3"/>
  <c r="W236" i="3" s="1"/>
  <c r="M236" i="3" s="1"/>
  <c r="V395" i="3"/>
  <c r="W395" i="3" s="1"/>
  <c r="X395" i="3" s="1"/>
  <c r="Y395" i="3" s="1"/>
  <c r="AC395" i="3" s="1"/>
  <c r="AE395" i="3" s="1"/>
  <c r="V328" i="3"/>
  <c r="W328" i="3" s="1"/>
  <c r="M328" i="3" s="1"/>
  <c r="V133" i="3"/>
  <c r="W133" i="3" s="1"/>
  <c r="X133" i="3" s="1"/>
  <c r="Y133" i="3" s="1"/>
  <c r="AC133" i="3" s="1"/>
  <c r="AE133" i="3" s="1"/>
  <c r="V115" i="3"/>
  <c r="W115" i="3" s="1"/>
  <c r="X115" i="3" s="1"/>
  <c r="Y115" i="3" s="1"/>
  <c r="AC115" i="3" s="1"/>
  <c r="AE115" i="3" s="1"/>
  <c r="V253" i="3"/>
  <c r="W253" i="3" s="1"/>
  <c r="X253" i="3" s="1"/>
  <c r="Y253" i="3" s="1"/>
  <c r="AC253" i="3" s="1"/>
  <c r="AE253" i="3" s="1"/>
  <c r="V195" i="3"/>
  <c r="W195" i="3" s="1"/>
  <c r="V172" i="3"/>
  <c r="W172" i="3" s="1"/>
  <c r="V325" i="3"/>
  <c r="W325" i="3" s="1"/>
  <c r="X325" i="3" s="1"/>
  <c r="Y325" i="3" s="1"/>
  <c r="AC325" i="3" s="1"/>
  <c r="AE325" i="3" s="1"/>
  <c r="V244" i="3"/>
  <c r="W244" i="3" s="1"/>
  <c r="X244" i="3" s="1"/>
  <c r="Y244" i="3" s="1"/>
  <c r="AC244" i="3" s="1"/>
  <c r="AE244" i="3" s="1"/>
  <c r="V375" i="3"/>
  <c r="W375" i="3" s="1"/>
  <c r="X375" i="3" s="1"/>
  <c r="Y375" i="3" s="1"/>
  <c r="AC375" i="3" s="1"/>
  <c r="AE375" i="3" s="1"/>
  <c r="V167" i="3"/>
  <c r="W167" i="3" s="1"/>
  <c r="X167" i="3" s="1"/>
  <c r="Y167" i="3" s="1"/>
  <c r="AC167" i="3" s="1"/>
  <c r="AE167" i="3" s="1"/>
  <c r="V243" i="3"/>
  <c r="W243" i="3" s="1"/>
  <c r="M243" i="3" s="1"/>
  <c r="V147" i="3"/>
  <c r="W147" i="3" s="1"/>
  <c r="V374" i="3"/>
  <c r="W374" i="3" s="1"/>
  <c r="M374" i="3" s="1"/>
  <c r="V323" i="3"/>
  <c r="W323" i="3" s="1"/>
  <c r="X323" i="3" s="1"/>
  <c r="Y323" i="3" s="1"/>
  <c r="AC323" i="3" s="1"/>
  <c r="AE323" i="3" s="1"/>
  <c r="V211" i="3"/>
  <c r="W211" i="3" s="1"/>
  <c r="V234" i="3"/>
  <c r="W234" i="3" s="1"/>
  <c r="X234" i="3" s="1"/>
  <c r="Y234" i="3" s="1"/>
  <c r="AC234" i="3" s="1"/>
  <c r="AE234" i="3" s="1"/>
  <c r="V255" i="3"/>
  <c r="W255" i="3" s="1"/>
  <c r="M255" i="3" s="1"/>
  <c r="V372" i="3"/>
  <c r="W372" i="3" s="1"/>
  <c r="X372" i="3" s="1"/>
  <c r="Y372" i="3" s="1"/>
  <c r="AC372" i="3" s="1"/>
  <c r="AE372" i="3" s="1"/>
  <c r="V209" i="3"/>
  <c r="W209" i="3" s="1"/>
  <c r="V201" i="3"/>
  <c r="W201" i="3" s="1"/>
  <c r="V186" i="3"/>
  <c r="W186" i="3" s="1"/>
  <c r="V396" i="3"/>
  <c r="W396" i="3" s="1"/>
  <c r="X396" i="3" s="1"/>
  <c r="Y396" i="3" s="1"/>
  <c r="AC396" i="3" s="1"/>
  <c r="AE396" i="3" s="1"/>
  <c r="V247" i="3"/>
  <c r="W247" i="3" s="1"/>
  <c r="X247" i="3" s="1"/>
  <c r="Y247" i="3" s="1"/>
  <c r="AC247" i="3" s="1"/>
  <c r="AE247" i="3" s="1"/>
  <c r="V240" i="3"/>
  <c r="W240" i="3" s="1"/>
  <c r="V144" i="3"/>
  <c r="W144" i="3" s="1"/>
  <c r="X144" i="3" s="1"/>
  <c r="Y144" i="3" s="1"/>
  <c r="AC144" i="3" s="1"/>
  <c r="AE144" i="3" s="1"/>
  <c r="V212" i="3"/>
  <c r="W212" i="3" s="1"/>
  <c r="V398" i="3"/>
  <c r="W398" i="3" s="1"/>
  <c r="M398" i="3" s="1"/>
  <c r="V271" i="3"/>
  <c r="W271" i="3" s="1"/>
  <c r="V257" i="3"/>
  <c r="W257" i="3" s="1"/>
  <c r="X257" i="3" s="1"/>
  <c r="Y257" i="3" s="1"/>
  <c r="AC257" i="3" s="1"/>
  <c r="AE257" i="3" s="1"/>
  <c r="V136" i="3"/>
  <c r="W136" i="3" s="1"/>
  <c r="V302" i="3"/>
  <c r="W302" i="3" s="1"/>
  <c r="V361" i="3"/>
  <c r="W361" i="3" s="1"/>
  <c r="V336" i="3"/>
  <c r="W336" i="3" s="1"/>
  <c r="V120" i="3"/>
  <c r="W120" i="3" s="1"/>
  <c r="V388" i="3"/>
  <c r="W388" i="3" s="1"/>
  <c r="V348" i="3"/>
  <c r="W348" i="3" s="1"/>
  <c r="V197" i="3"/>
  <c r="W197" i="3" s="1"/>
  <c r="V164" i="3"/>
  <c r="W164" i="3" s="1"/>
  <c r="V289" i="3"/>
  <c r="W289" i="3" s="1"/>
  <c r="V382" i="3"/>
  <c r="W382" i="3" s="1"/>
  <c r="V275" i="3"/>
  <c r="W275" i="3" s="1"/>
  <c r="V193" i="3"/>
  <c r="W193" i="3" s="1"/>
  <c r="V230" i="3"/>
  <c r="W230" i="3" s="1"/>
  <c r="V310" i="3"/>
  <c r="W310" i="3" s="1"/>
  <c r="V341" i="3"/>
  <c r="W341" i="3" s="1"/>
  <c r="V225" i="3"/>
  <c r="W225" i="3" s="1"/>
  <c r="V192" i="3"/>
  <c r="W192" i="3" s="1"/>
  <c r="V383" i="3"/>
  <c r="W383" i="3" s="1"/>
  <c r="V214" i="3"/>
  <c r="W214" i="3" s="1"/>
  <c r="V334" i="3"/>
  <c r="W334" i="3" s="1"/>
  <c r="V121" i="3"/>
  <c r="W121" i="3" s="1"/>
  <c r="V216" i="3"/>
  <c r="W216" i="3" s="1"/>
  <c r="V202" i="3"/>
  <c r="W202" i="3" s="1"/>
  <c r="V322" i="3"/>
  <c r="W322" i="3" s="1"/>
  <c r="V178" i="3"/>
  <c r="W178" i="3" s="1"/>
  <c r="V312" i="3"/>
  <c r="W312" i="3" s="1"/>
  <c r="V298" i="3"/>
  <c r="W298" i="3" s="1"/>
  <c r="V168" i="3"/>
  <c r="W168" i="3" s="1"/>
  <c r="V154" i="3"/>
  <c r="W154" i="3" s="1"/>
  <c r="V274" i="3"/>
  <c r="W274" i="3" s="1"/>
  <c r="V360" i="3"/>
  <c r="W360" i="3" s="1"/>
  <c r="V264" i="3"/>
  <c r="W264" i="3" s="1"/>
  <c r="V250" i="3"/>
  <c r="W250" i="3" s="1"/>
  <c r="V130" i="3"/>
  <c r="W130" i="3" s="1"/>
  <c r="V64" i="3"/>
  <c r="W64" i="3" s="1"/>
  <c r="X64" i="3" s="1"/>
  <c r="Y64" i="3" s="1"/>
  <c r="AC64" i="3" s="1"/>
  <c r="AE64" i="3" s="1"/>
  <c r="V88" i="3"/>
  <c r="W88" i="3" s="1"/>
  <c r="X88" i="3" s="1"/>
  <c r="Y88" i="3" s="1"/>
  <c r="AC88" i="3" s="1"/>
  <c r="AE88" i="3" s="1"/>
  <c r="V99" i="3"/>
  <c r="V61" i="3"/>
  <c r="W61" i="3" s="1"/>
  <c r="X61" i="3" s="1"/>
  <c r="Y61" i="3" s="1"/>
  <c r="AC61" i="3" s="1"/>
  <c r="AE61" i="3" s="1"/>
  <c r="V44" i="3"/>
  <c r="W44" i="3" s="1"/>
  <c r="X44" i="3" s="1"/>
  <c r="Y44" i="3" s="1"/>
  <c r="AC44" i="3" s="1"/>
  <c r="AE44" i="3" s="1"/>
  <c r="V33" i="3"/>
  <c r="W33" i="3" s="1"/>
  <c r="X33" i="3" s="1"/>
  <c r="Y33" i="3" s="1"/>
  <c r="AC33" i="3" s="1"/>
  <c r="AE33" i="3" s="1"/>
  <c r="V95" i="3"/>
  <c r="W95" i="3" s="1"/>
  <c r="X95" i="3" s="1"/>
  <c r="Y95" i="3" s="1"/>
  <c r="AC95" i="3" s="1"/>
  <c r="AE95" i="3" s="1"/>
  <c r="V14" i="3"/>
  <c r="W14" i="3" s="1"/>
  <c r="X14" i="3" s="1"/>
  <c r="Y14" i="3" s="1"/>
  <c r="AC14" i="3" s="1"/>
  <c r="AE14" i="3" s="1"/>
  <c r="V35" i="3"/>
  <c r="W35" i="3" s="1"/>
  <c r="X35" i="3" s="1"/>
  <c r="Y35" i="3" s="1"/>
  <c r="AC35" i="3" s="1"/>
  <c r="AE35" i="3" s="1"/>
  <c r="V23" i="3"/>
  <c r="W23" i="3" s="1"/>
  <c r="X23" i="3" s="1"/>
  <c r="Y23" i="3" s="1"/>
  <c r="AC23" i="3" s="1"/>
  <c r="AE23" i="3" s="1"/>
  <c r="V63" i="3"/>
  <c r="W63" i="3" s="1"/>
  <c r="X63" i="3" s="1"/>
  <c r="Y63" i="3" s="1"/>
  <c r="AC63" i="3" s="1"/>
  <c r="AE63" i="3" s="1"/>
  <c r="V94" i="3"/>
  <c r="W94" i="3" s="1"/>
  <c r="X94" i="3" s="1"/>
  <c r="Y94" i="3" s="1"/>
  <c r="AC94" i="3" s="1"/>
  <c r="AE94" i="3" s="1"/>
  <c r="V28" i="3"/>
  <c r="W28" i="3" s="1"/>
  <c r="X28" i="3" s="1"/>
  <c r="Y28" i="3" s="1"/>
  <c r="AC28" i="3" s="1"/>
  <c r="AE28" i="3" s="1"/>
  <c r="V38" i="3"/>
  <c r="W38" i="3" s="1"/>
  <c r="X38" i="3" s="1"/>
  <c r="Y38" i="3" s="1"/>
  <c r="AC38" i="3" s="1"/>
  <c r="AE38" i="3" s="1"/>
  <c r="V15" i="3"/>
  <c r="W15" i="3" s="1"/>
  <c r="X15" i="3" s="1"/>
  <c r="Y15" i="3" s="1"/>
  <c r="AC15" i="3" s="1"/>
  <c r="AE15" i="3" s="1"/>
  <c r="V91" i="3"/>
  <c r="W91" i="3" s="1"/>
  <c r="X91" i="3" s="1"/>
  <c r="Y91" i="3" s="1"/>
  <c r="AC91" i="3" s="1"/>
  <c r="AE91" i="3" s="1"/>
  <c r="V32" i="3"/>
  <c r="W32" i="3" s="1"/>
  <c r="X32" i="3" s="1"/>
  <c r="Y32" i="3" s="1"/>
  <c r="AC32" i="3" s="1"/>
  <c r="AE32" i="3" s="1"/>
  <c r="V43" i="3"/>
  <c r="W43" i="3" s="1"/>
  <c r="X43" i="3" s="1"/>
  <c r="Y43" i="3" s="1"/>
  <c r="AC43" i="3" s="1"/>
  <c r="AE43" i="3" s="1"/>
  <c r="V78" i="3"/>
  <c r="W78" i="3" s="1"/>
  <c r="X78" i="3" s="1"/>
  <c r="Y78" i="3" s="1"/>
  <c r="AC78" i="3" s="1"/>
  <c r="AE78" i="3" s="1"/>
  <c r="V7" i="3"/>
  <c r="V53" i="3"/>
  <c r="W53" i="3" s="1"/>
  <c r="X53" i="3" s="1"/>
  <c r="Y53" i="3" s="1"/>
  <c r="AC53" i="3" s="1"/>
  <c r="AE53" i="3" s="1"/>
  <c r="V41" i="3"/>
  <c r="W41" i="3" s="1"/>
  <c r="X41" i="3" s="1"/>
  <c r="Y41" i="3" s="1"/>
  <c r="AC41" i="3" s="1"/>
  <c r="AE41" i="3" s="1"/>
  <c r="V75" i="3"/>
  <c r="W75" i="3" s="1"/>
  <c r="X75" i="3" s="1"/>
  <c r="Y75" i="3" s="1"/>
  <c r="AC75" i="3" s="1"/>
  <c r="AE75" i="3" s="1"/>
  <c r="V30" i="3"/>
  <c r="W30" i="3" s="1"/>
  <c r="X30" i="3" s="1"/>
  <c r="Y30" i="3" s="1"/>
  <c r="AC30" i="3" s="1"/>
  <c r="AE30" i="3" s="1"/>
  <c r="V51" i="3"/>
  <c r="W51" i="3" s="1"/>
  <c r="X51" i="3" s="1"/>
  <c r="Y51" i="3" s="1"/>
  <c r="AC51" i="3" s="1"/>
  <c r="AE51" i="3" s="1"/>
  <c r="V74" i="3"/>
  <c r="W74" i="3" s="1"/>
  <c r="X74" i="3" s="1"/>
  <c r="Y74" i="3" s="1"/>
  <c r="AC74" i="3" s="1"/>
  <c r="AE74" i="3" s="1"/>
  <c r="V49" i="3"/>
  <c r="W49" i="3" s="1"/>
  <c r="X49" i="3" s="1"/>
  <c r="Y49" i="3" s="1"/>
  <c r="AC49" i="3" s="1"/>
  <c r="AE49" i="3" s="1"/>
  <c r="V96" i="3"/>
  <c r="W96" i="3" s="1"/>
  <c r="X96" i="3" s="1"/>
  <c r="Y96" i="3" s="1"/>
  <c r="AC96" i="3" s="1"/>
  <c r="AE96" i="3" s="1"/>
  <c r="V70" i="3"/>
  <c r="W70" i="3" s="1"/>
  <c r="X70" i="3" s="1"/>
  <c r="Y70" i="3" s="1"/>
  <c r="AC70" i="3" s="1"/>
  <c r="AE70" i="3" s="1"/>
  <c r="V79" i="3"/>
  <c r="W79" i="3" s="1"/>
  <c r="X79" i="3" s="1"/>
  <c r="Y79" i="3" s="1"/>
  <c r="AC79" i="3" s="1"/>
  <c r="AE79" i="3" s="1"/>
  <c r="V68" i="3"/>
  <c r="W68" i="3" s="1"/>
  <c r="X68" i="3" s="1"/>
  <c r="Y68" i="3" s="1"/>
  <c r="AC68" i="3" s="1"/>
  <c r="AE68" i="3" s="1"/>
  <c r="V89" i="3"/>
  <c r="W89" i="3" s="1"/>
  <c r="X89" i="3" s="1"/>
  <c r="Y89" i="3" s="1"/>
  <c r="AC89" i="3" s="1"/>
  <c r="AE89" i="3" s="1"/>
  <c r="V62" i="3"/>
  <c r="W62" i="3" s="1"/>
  <c r="X62" i="3" s="1"/>
  <c r="Y62" i="3" s="1"/>
  <c r="AC62" i="3" s="1"/>
  <c r="AE62" i="3" s="1"/>
  <c r="V84" i="3"/>
  <c r="W84" i="3" s="1"/>
  <c r="X84" i="3" s="1"/>
  <c r="Y84" i="3" s="1"/>
  <c r="AC84" i="3" s="1"/>
  <c r="AE84" i="3" s="1"/>
  <c r="V60" i="3"/>
  <c r="W60" i="3" s="1"/>
  <c r="X60" i="3" s="1"/>
  <c r="Y60" i="3" s="1"/>
  <c r="AC60" i="3" s="1"/>
  <c r="AE60" i="3" s="1"/>
  <c r="V72" i="3"/>
  <c r="W72" i="3" s="1"/>
  <c r="X72" i="3" s="1"/>
  <c r="Y72" i="3" s="1"/>
  <c r="AC72" i="3" s="1"/>
  <c r="AE72" i="3" s="1"/>
  <c r="V47" i="3"/>
  <c r="W47" i="3" s="1"/>
  <c r="X47" i="3" s="1"/>
  <c r="Y47" i="3" s="1"/>
  <c r="AC47" i="3" s="1"/>
  <c r="AE47" i="3" s="1"/>
  <c r="V93" i="3"/>
  <c r="W93" i="3" s="1"/>
  <c r="X93" i="3" s="1"/>
  <c r="Y93" i="3" s="1"/>
  <c r="AC93" i="3" s="1"/>
  <c r="AE93" i="3" s="1"/>
  <c r="V59" i="3"/>
  <c r="W59" i="3" s="1"/>
  <c r="X59" i="3" s="1"/>
  <c r="Y59" i="3" s="1"/>
  <c r="AC59" i="3" s="1"/>
  <c r="AE59" i="3" s="1"/>
  <c r="V13" i="3"/>
  <c r="W13" i="3" s="1"/>
  <c r="X13" i="3" s="1"/>
  <c r="Y13" i="3" s="1"/>
  <c r="AC13" i="3" s="1"/>
  <c r="AE13" i="3" s="1"/>
  <c r="V58" i="3"/>
  <c r="W58" i="3" s="1"/>
  <c r="X58" i="3" s="1"/>
  <c r="Y58" i="3" s="1"/>
  <c r="AC58" i="3" s="1"/>
  <c r="AE58" i="3" s="1"/>
  <c r="V46" i="3"/>
  <c r="W46" i="3" s="1"/>
  <c r="X46" i="3" s="1"/>
  <c r="Y46" i="3" s="1"/>
  <c r="AC46" i="3" s="1"/>
  <c r="AE46" i="3" s="1"/>
  <c r="V90" i="3"/>
  <c r="W90" i="3" s="1"/>
  <c r="X90" i="3" s="1"/>
  <c r="Y90" i="3" s="1"/>
  <c r="AC90" i="3" s="1"/>
  <c r="AE90" i="3" s="1"/>
  <c r="V69" i="3"/>
  <c r="W69" i="3" s="1"/>
  <c r="X69" i="3" s="1"/>
  <c r="Y69" i="3" s="1"/>
  <c r="AC69" i="3" s="1"/>
  <c r="AE69" i="3" s="1"/>
  <c r="V48" i="3"/>
  <c r="W48" i="3" s="1"/>
  <c r="X48" i="3" s="1"/>
  <c r="Y48" i="3" s="1"/>
  <c r="AC48" i="3" s="1"/>
  <c r="AE48" i="3" s="1"/>
  <c r="V5" i="3"/>
  <c r="V27" i="3"/>
  <c r="W27" i="3" s="1"/>
  <c r="X27" i="3" s="1"/>
  <c r="Y27" i="3" s="1"/>
  <c r="AC27" i="3" s="1"/>
  <c r="AE27" i="3" s="1"/>
  <c r="V4" i="3"/>
  <c r="W4" i="3" s="1"/>
  <c r="X4" i="3" s="1"/>
  <c r="Y4" i="3" s="1"/>
  <c r="AC4" i="3" s="1"/>
  <c r="AE4" i="3" s="1"/>
  <c r="V82" i="3"/>
  <c r="W82" i="3" s="1"/>
  <c r="X82" i="3" s="1"/>
  <c r="Y82" i="3" s="1"/>
  <c r="AC82" i="3" s="1"/>
  <c r="AE82" i="3" s="1"/>
  <c r="V40" i="3"/>
  <c r="W40" i="3" s="1"/>
  <c r="X40" i="3" s="1"/>
  <c r="Y40" i="3" s="1"/>
  <c r="AC40" i="3" s="1"/>
  <c r="AE40" i="3" s="1"/>
  <c r="V26" i="3"/>
  <c r="W26" i="3" s="1"/>
  <c r="X26" i="3" s="1"/>
  <c r="Y26" i="3" s="1"/>
  <c r="AC26" i="3" s="1"/>
  <c r="AE26" i="3" s="1"/>
  <c r="V92" i="3"/>
  <c r="W92" i="3" s="1"/>
  <c r="X92" i="3" s="1"/>
  <c r="Y92" i="3" s="1"/>
  <c r="AC92" i="3" s="1"/>
  <c r="AE92" i="3" s="1"/>
  <c r="V97" i="3"/>
  <c r="W97" i="3" s="1"/>
  <c r="X97" i="3" s="1"/>
  <c r="Y97" i="3" s="1"/>
  <c r="AC97" i="3" s="1"/>
  <c r="AE97" i="3" s="1"/>
  <c r="V56" i="3"/>
  <c r="W56" i="3" s="1"/>
  <c r="X56" i="3" s="1"/>
  <c r="Y56" i="3" s="1"/>
  <c r="AC56" i="3" s="1"/>
  <c r="AE56" i="3" s="1"/>
  <c r="V87" i="3"/>
  <c r="W87" i="3" s="1"/>
  <c r="X87" i="3" s="1"/>
  <c r="Y87" i="3" s="1"/>
  <c r="AC87" i="3" s="1"/>
  <c r="AE87" i="3" s="1"/>
  <c r="V55" i="3"/>
  <c r="W55" i="3" s="1"/>
  <c r="X55" i="3" s="1"/>
  <c r="Y55" i="3" s="1"/>
  <c r="AC55" i="3" s="1"/>
  <c r="AE55" i="3" s="1"/>
  <c r="V34" i="3"/>
  <c r="W34" i="3" s="1"/>
  <c r="X34" i="3" s="1"/>
  <c r="Y34" i="3" s="1"/>
  <c r="AC34" i="3" s="1"/>
  <c r="AE34" i="3" s="1"/>
  <c r="V85" i="3"/>
  <c r="W85" i="3" s="1"/>
  <c r="X85" i="3" s="1"/>
  <c r="Y85" i="3" s="1"/>
  <c r="AC85" i="3" s="1"/>
  <c r="AE85" i="3" s="1"/>
  <c r="V22" i="3"/>
  <c r="W22" i="3" s="1"/>
  <c r="X22" i="3" s="1"/>
  <c r="Y22" i="3" s="1"/>
  <c r="AC22" i="3" s="1"/>
  <c r="AE22" i="3" s="1"/>
  <c r="V10" i="3"/>
  <c r="W10" i="3" s="1"/>
  <c r="X10" i="3" s="1"/>
  <c r="Y10" i="3" s="1"/>
  <c r="AC10" i="3" s="1"/>
  <c r="AE10" i="3" s="1"/>
  <c r="V12" i="3"/>
  <c r="W12" i="3" s="1"/>
  <c r="X12" i="3" s="1"/>
  <c r="Y12" i="3" s="1"/>
  <c r="AC12" i="3" s="1"/>
  <c r="AE12" i="3" s="1"/>
  <c r="V65" i="3"/>
  <c r="W65" i="3" s="1"/>
  <c r="X65" i="3" s="1"/>
  <c r="Y65" i="3" s="1"/>
  <c r="AC65" i="3" s="1"/>
  <c r="AE65" i="3" s="1"/>
  <c r="V52" i="3"/>
  <c r="W52" i="3" s="1"/>
  <c r="X52" i="3" s="1"/>
  <c r="Y52" i="3" s="1"/>
  <c r="AC52" i="3" s="1"/>
  <c r="AE52" i="3" s="1"/>
  <c r="V42" i="3"/>
  <c r="W42" i="3" s="1"/>
  <c r="X42" i="3" s="1"/>
  <c r="Y42" i="3" s="1"/>
  <c r="AC42" i="3" s="1"/>
  <c r="AE42" i="3" s="1"/>
  <c r="V81" i="3"/>
  <c r="W81" i="3" s="1"/>
  <c r="X81" i="3" s="1"/>
  <c r="Y81" i="3" s="1"/>
  <c r="AC81" i="3" s="1"/>
  <c r="AE81" i="3" s="1"/>
  <c r="V18" i="3"/>
  <c r="W18" i="3" s="1"/>
  <c r="X18" i="3" s="1"/>
  <c r="Y18" i="3" s="1"/>
  <c r="AC18" i="3" s="1"/>
  <c r="AE18" i="3" s="1"/>
  <c r="V39" i="3"/>
  <c r="W39" i="3" s="1"/>
  <c r="X39" i="3" s="1"/>
  <c r="Y39" i="3" s="1"/>
  <c r="AC39" i="3" s="1"/>
  <c r="AE39" i="3" s="1"/>
  <c r="V17" i="3"/>
  <c r="W17" i="3" s="1"/>
  <c r="X17" i="3" s="1"/>
  <c r="Y17" i="3" s="1"/>
  <c r="AC17" i="3" s="1"/>
  <c r="AE17" i="3" s="1"/>
  <c r="V29" i="3"/>
  <c r="W29" i="3" s="1"/>
  <c r="X29" i="3" s="1"/>
  <c r="Y29" i="3" s="1"/>
  <c r="AC29" i="3" s="1"/>
  <c r="AE29" i="3" s="1"/>
  <c r="V80" i="3"/>
  <c r="W80" i="3" s="1"/>
  <c r="X80" i="3" s="1"/>
  <c r="Y80" i="3" s="1"/>
  <c r="AC80" i="3" s="1"/>
  <c r="AE80" i="3" s="1"/>
  <c r="V71" i="3"/>
  <c r="W71" i="3" s="1"/>
  <c r="X71" i="3" s="1"/>
  <c r="Y71" i="3" s="1"/>
  <c r="AC71" i="3" s="1"/>
  <c r="AE71" i="3" s="1"/>
  <c r="V11" i="3"/>
  <c r="W11" i="3" s="1"/>
  <c r="X11" i="3" s="1"/>
  <c r="Y11" i="3" s="1"/>
  <c r="AC11" i="3" s="1"/>
  <c r="AE11" i="3" s="1"/>
  <c r="V20" i="3"/>
  <c r="W20" i="3" s="1"/>
  <c r="X20" i="3" s="1"/>
  <c r="Y20" i="3" s="1"/>
  <c r="AC20" i="3" s="1"/>
  <c r="AE20" i="3" s="1"/>
  <c r="V37" i="3"/>
  <c r="W37" i="3" s="1"/>
  <c r="X37" i="3" s="1"/>
  <c r="Y37" i="3" s="1"/>
  <c r="AC37" i="3" s="1"/>
  <c r="AE37" i="3" s="1"/>
  <c r="V19" i="3"/>
  <c r="W19" i="3" s="1"/>
  <c r="X19" i="3" s="1"/>
  <c r="Y19" i="3" s="1"/>
  <c r="AC19" i="3" s="1"/>
  <c r="AE19" i="3" s="1"/>
  <c r="V21" i="3"/>
  <c r="W21" i="3" s="1"/>
  <c r="X21" i="3" s="1"/>
  <c r="Y21" i="3" s="1"/>
  <c r="AC21" i="3" s="1"/>
  <c r="AE21" i="3" s="1"/>
  <c r="V45" i="3"/>
  <c r="W45" i="3" s="1"/>
  <c r="X45" i="3" s="1"/>
  <c r="Y45" i="3" s="1"/>
  <c r="AC45" i="3" s="1"/>
  <c r="AE45" i="3" s="1"/>
  <c r="V36" i="3"/>
  <c r="W36" i="3" s="1"/>
  <c r="X36" i="3" s="1"/>
  <c r="Y36" i="3" s="1"/>
  <c r="AC36" i="3" s="1"/>
  <c r="AE36" i="3" s="1"/>
  <c r="V9" i="3"/>
  <c r="W9" i="3" s="1"/>
  <c r="V8" i="3"/>
  <c r="W8" i="3" s="1"/>
  <c r="V86" i="3"/>
  <c r="W86" i="3" s="1"/>
  <c r="X86" i="3" s="1"/>
  <c r="Y86" i="3" s="1"/>
  <c r="AC86" i="3" s="1"/>
  <c r="AE86" i="3" s="1"/>
  <c r="V77" i="3"/>
  <c r="W77" i="3" s="1"/>
  <c r="X77" i="3" s="1"/>
  <c r="Y77" i="3" s="1"/>
  <c r="AC77" i="3" s="1"/>
  <c r="AE77" i="3" s="1"/>
  <c r="V76" i="3"/>
  <c r="W76" i="3" s="1"/>
  <c r="X76" i="3" s="1"/>
  <c r="Y76" i="3" s="1"/>
  <c r="AC76" i="3" s="1"/>
  <c r="AE76" i="3" s="1"/>
  <c r="V6" i="3"/>
  <c r="V25" i="3"/>
  <c r="W25" i="3" s="1"/>
  <c r="X25" i="3" s="1"/>
  <c r="Y25" i="3" s="1"/>
  <c r="AC25" i="3" s="1"/>
  <c r="AE25" i="3" s="1"/>
  <c r="V16" i="3"/>
  <c r="W16" i="3" s="1"/>
  <c r="X16" i="3" s="1"/>
  <c r="Y16" i="3" s="1"/>
  <c r="AC16" i="3" s="1"/>
  <c r="AE16" i="3" s="1"/>
  <c r="V24" i="3"/>
  <c r="W24" i="3" s="1"/>
  <c r="X24" i="3" s="1"/>
  <c r="Y24" i="3" s="1"/>
  <c r="AC24" i="3" s="1"/>
  <c r="AE24" i="3" s="1"/>
  <c r="V67" i="3"/>
  <c r="W67" i="3" s="1"/>
  <c r="X67" i="3" s="1"/>
  <c r="Y67" i="3" s="1"/>
  <c r="AC67" i="3" s="1"/>
  <c r="AE67" i="3" s="1"/>
  <c r="V50" i="3"/>
  <c r="W50" i="3" s="1"/>
  <c r="X50" i="3" s="1"/>
  <c r="Y50" i="3" s="1"/>
  <c r="AC50" i="3" s="1"/>
  <c r="AE50" i="3" s="1"/>
  <c r="V66" i="3"/>
  <c r="W66" i="3" s="1"/>
  <c r="X66" i="3" s="1"/>
  <c r="Y66" i="3" s="1"/>
  <c r="AC66" i="3" s="1"/>
  <c r="AE66" i="3" s="1"/>
  <c r="V98" i="3"/>
  <c r="W98" i="3" s="1"/>
  <c r="X98" i="3" s="1"/>
  <c r="Y98" i="3" s="1"/>
  <c r="AC98" i="3" s="1"/>
  <c r="AE98" i="3" s="1"/>
  <c r="V83" i="3"/>
  <c r="W83" i="3" s="1"/>
  <c r="X83" i="3" s="1"/>
  <c r="Y83" i="3" s="1"/>
  <c r="AC83" i="3" s="1"/>
  <c r="AE83" i="3" s="1"/>
  <c r="V73" i="3"/>
  <c r="W73" i="3" s="1"/>
  <c r="X73" i="3" s="1"/>
  <c r="Y73" i="3" s="1"/>
  <c r="AC73" i="3" s="1"/>
  <c r="AE73" i="3" s="1"/>
  <c r="V57" i="3"/>
  <c r="W57" i="3" s="1"/>
  <c r="X57" i="3" s="1"/>
  <c r="Y57" i="3" s="1"/>
  <c r="AC57" i="3" s="1"/>
  <c r="AE57" i="3" s="1"/>
  <c r="V31" i="3"/>
  <c r="W31" i="3" s="1"/>
  <c r="X31" i="3" s="1"/>
  <c r="Y31" i="3" s="1"/>
  <c r="AC31" i="3" s="1"/>
  <c r="AE31" i="3" s="1"/>
  <c r="V3" i="3"/>
  <c r="W3" i="3" s="1"/>
  <c r="X3" i="3" s="1"/>
  <c r="Y3" i="3" s="1"/>
  <c r="AC3" i="3" s="1"/>
  <c r="AE3" i="3" s="1"/>
  <c r="V2" i="3"/>
  <c r="W2" i="3" s="1"/>
  <c r="X357" i="3" l="1"/>
  <c r="Y357" i="3" s="1"/>
  <c r="AC357" i="3" s="1"/>
  <c r="AE357" i="3" s="1"/>
  <c r="M359" i="3"/>
  <c r="X330" i="3"/>
  <c r="Y330" i="3" s="1"/>
  <c r="AC330" i="3" s="1"/>
  <c r="AE330" i="3" s="1"/>
  <c r="X114" i="3"/>
  <c r="Y114" i="3" s="1"/>
  <c r="AC114" i="3" s="1"/>
  <c r="AE114" i="3" s="1"/>
  <c r="X142" i="3"/>
  <c r="Y142" i="3" s="1"/>
  <c r="AC142" i="3" s="1"/>
  <c r="AE142" i="3" s="1"/>
  <c r="X319" i="3"/>
  <c r="Y319" i="3" s="1"/>
  <c r="AC319" i="3" s="1"/>
  <c r="AE319" i="3" s="1"/>
  <c r="X320" i="3"/>
  <c r="Y320" i="3" s="1"/>
  <c r="AC320" i="3" s="1"/>
  <c r="AE320" i="3" s="1"/>
  <c r="X222" i="3"/>
  <c r="Y222" i="3" s="1"/>
  <c r="AC222" i="3" s="1"/>
  <c r="AE222" i="3" s="1"/>
  <c r="M299" i="3"/>
  <c r="M314" i="3"/>
  <c r="X151" i="3"/>
  <c r="Y151" i="3" s="1"/>
  <c r="AC151" i="3" s="1"/>
  <c r="AE151" i="3" s="1"/>
  <c r="X116" i="3"/>
  <c r="Y116" i="3" s="1"/>
  <c r="AC116" i="3" s="1"/>
  <c r="AE116" i="3" s="1"/>
  <c r="X204" i="3"/>
  <c r="Y204" i="3" s="1"/>
  <c r="AC204" i="3" s="1"/>
  <c r="AE204" i="3" s="1"/>
  <c r="X291" i="3"/>
  <c r="Y291" i="3" s="1"/>
  <c r="AC291" i="3" s="1"/>
  <c r="AE291" i="3" s="1"/>
  <c r="X332" i="3"/>
  <c r="Y332" i="3" s="1"/>
  <c r="AC332" i="3" s="1"/>
  <c r="AE332" i="3" s="1"/>
  <c r="M356" i="3"/>
  <c r="X379" i="3"/>
  <c r="Y379" i="3" s="1"/>
  <c r="AC379" i="3" s="1"/>
  <c r="AE379" i="3" s="1"/>
  <c r="X259" i="3"/>
  <c r="Y259" i="3" s="1"/>
  <c r="AC259" i="3" s="1"/>
  <c r="AE259" i="3" s="1"/>
  <c r="X329" i="3"/>
  <c r="Y329" i="3" s="1"/>
  <c r="AC329" i="3" s="1"/>
  <c r="AE329" i="3" s="1"/>
  <c r="X131" i="3"/>
  <c r="Y131" i="3" s="1"/>
  <c r="AC131" i="3" s="1"/>
  <c r="AE131" i="3" s="1"/>
  <c r="M399" i="3"/>
  <c r="X324" i="3"/>
  <c r="Y324" i="3" s="1"/>
  <c r="AC324" i="3" s="1"/>
  <c r="AE324" i="3" s="1"/>
  <c r="X368" i="3"/>
  <c r="Y368" i="3" s="1"/>
  <c r="AC368" i="3" s="1"/>
  <c r="AE368" i="3" s="1"/>
  <c r="X258" i="3"/>
  <c r="Y258" i="3" s="1"/>
  <c r="AC258" i="3" s="1"/>
  <c r="AE258" i="3" s="1"/>
  <c r="X176" i="3"/>
  <c r="Y176" i="3" s="1"/>
  <c r="AC176" i="3" s="1"/>
  <c r="AE176" i="3" s="1"/>
  <c r="M350" i="3"/>
  <c r="X132" i="3"/>
  <c r="Y132" i="3" s="1"/>
  <c r="AC132" i="3" s="1"/>
  <c r="AE132" i="3" s="1"/>
  <c r="X256" i="3"/>
  <c r="Y256" i="3" s="1"/>
  <c r="AC256" i="3" s="1"/>
  <c r="AE256" i="3" s="1"/>
  <c r="X313" i="3"/>
  <c r="Y313" i="3" s="1"/>
  <c r="AC313" i="3" s="1"/>
  <c r="AE313" i="3" s="1"/>
  <c r="M397" i="3"/>
  <c r="M386" i="3"/>
  <c r="X174" i="3"/>
  <c r="Y174" i="3" s="1"/>
  <c r="AC174" i="3" s="1"/>
  <c r="AE174" i="3" s="1"/>
  <c r="X123" i="3"/>
  <c r="Y123" i="3" s="1"/>
  <c r="AC123" i="3" s="1"/>
  <c r="AE123" i="3" s="1"/>
  <c r="X308" i="3"/>
  <c r="Y308" i="3" s="1"/>
  <c r="AC308" i="3" s="1"/>
  <c r="AE308" i="3" s="1"/>
  <c r="X241" i="3"/>
  <c r="Y241" i="3" s="1"/>
  <c r="AC241" i="3" s="1"/>
  <c r="AE241" i="3" s="1"/>
  <c r="X282" i="3"/>
  <c r="Y282" i="3" s="1"/>
  <c r="AC282" i="3" s="1"/>
  <c r="AE282" i="3" s="1"/>
  <c r="M254" i="3"/>
  <c r="X196" i="3"/>
  <c r="Y196" i="3" s="1"/>
  <c r="AC196" i="3" s="1"/>
  <c r="AE196" i="3" s="1"/>
  <c r="X351" i="3"/>
  <c r="Y351" i="3" s="1"/>
  <c r="AC351" i="3" s="1"/>
  <c r="AE351" i="3" s="1"/>
  <c r="X352" i="3"/>
  <c r="Y352" i="3" s="1"/>
  <c r="AC352" i="3" s="1"/>
  <c r="AE352" i="3" s="1"/>
  <c r="X119" i="3"/>
  <c r="Y119" i="3" s="1"/>
  <c r="AC119" i="3" s="1"/>
  <c r="AE119" i="3" s="1"/>
  <c r="X296" i="3"/>
  <c r="Y296" i="3" s="1"/>
  <c r="AC296" i="3" s="1"/>
  <c r="AE296" i="3" s="1"/>
  <c r="X394" i="3"/>
  <c r="Y394" i="3" s="1"/>
  <c r="AC394" i="3" s="1"/>
  <c r="AE394" i="3" s="1"/>
  <c r="X381" i="3"/>
  <c r="Y381" i="3" s="1"/>
  <c r="AC381" i="3" s="1"/>
  <c r="AE381" i="3" s="1"/>
  <c r="M377" i="3"/>
  <c r="X269" i="3"/>
  <c r="Y269" i="3" s="1"/>
  <c r="AC269" i="3" s="1"/>
  <c r="AE269" i="3" s="1"/>
  <c r="M385" i="3"/>
  <c r="X135" i="3"/>
  <c r="Y135" i="3" s="1"/>
  <c r="AC135" i="3" s="1"/>
  <c r="AE135" i="3" s="1"/>
  <c r="X373" i="3"/>
  <c r="Y373" i="3" s="1"/>
  <c r="AC373" i="3" s="1"/>
  <c r="AE373" i="3" s="1"/>
  <c r="M260" i="3"/>
  <c r="X284" i="3"/>
  <c r="Y284" i="3" s="1"/>
  <c r="AC284" i="3" s="1"/>
  <c r="AE284" i="3" s="1"/>
  <c r="X315" i="3"/>
  <c r="Y315" i="3" s="1"/>
  <c r="AC315" i="3" s="1"/>
  <c r="AE315" i="3" s="1"/>
  <c r="M297" i="3"/>
  <c r="M223" i="3"/>
  <c r="X137" i="3"/>
  <c r="Y137" i="3" s="1"/>
  <c r="AC137" i="3" s="1"/>
  <c r="AE137" i="3" s="1"/>
  <c r="M224" i="3"/>
  <c r="X344" i="3"/>
  <c r="Y344" i="3" s="1"/>
  <c r="AC344" i="3" s="1"/>
  <c r="AE344" i="3" s="1"/>
  <c r="M265" i="3"/>
  <c r="X398" i="3"/>
  <c r="Y398" i="3" s="1"/>
  <c r="AC398" i="3" s="1"/>
  <c r="AE398" i="3" s="1"/>
  <c r="X113" i="3"/>
  <c r="Y113" i="3" s="1"/>
  <c r="AC113" i="3" s="1"/>
  <c r="AE113" i="3" s="1"/>
  <c r="X182" i="3"/>
  <c r="Y182" i="3" s="1"/>
  <c r="AC182" i="3" s="1"/>
  <c r="AE182" i="3" s="1"/>
  <c r="X371" i="3"/>
  <c r="Y371" i="3" s="1"/>
  <c r="AC371" i="3" s="1"/>
  <c r="AE371" i="3" s="1"/>
  <c r="X342" i="3"/>
  <c r="Y342" i="3" s="1"/>
  <c r="AC342" i="3" s="1"/>
  <c r="AE342" i="3" s="1"/>
  <c r="X346" i="3"/>
  <c r="Y346" i="3" s="1"/>
  <c r="AC346" i="3" s="1"/>
  <c r="AE346" i="3" s="1"/>
  <c r="X303" i="3"/>
  <c r="Y303" i="3" s="1"/>
  <c r="AC303" i="3" s="1"/>
  <c r="AE303" i="3" s="1"/>
  <c r="X177" i="3"/>
  <c r="Y177" i="3" s="1"/>
  <c r="AC177" i="3" s="1"/>
  <c r="AE177" i="3" s="1"/>
  <c r="X165" i="3"/>
  <c r="Y165" i="3" s="1"/>
  <c r="AC165" i="3" s="1"/>
  <c r="AE165" i="3" s="1"/>
  <c r="M286" i="3"/>
  <c r="X270" i="3"/>
  <c r="Y270" i="3" s="1"/>
  <c r="AC270" i="3" s="1"/>
  <c r="AE270" i="3" s="1"/>
  <c r="X278" i="3"/>
  <c r="Y278" i="3" s="1"/>
  <c r="AC278" i="3" s="1"/>
  <c r="AE278" i="3" s="1"/>
  <c r="X268" i="3"/>
  <c r="Y268" i="3" s="1"/>
  <c r="AC268" i="3" s="1"/>
  <c r="AE268" i="3" s="1"/>
  <c r="X392" i="3"/>
  <c r="Y392" i="3" s="1"/>
  <c r="AC392" i="3" s="1"/>
  <c r="AE392" i="3" s="1"/>
  <c r="M231" i="3"/>
  <c r="X276" i="3"/>
  <c r="Y276" i="3" s="1"/>
  <c r="AC276" i="3" s="1"/>
  <c r="AE276" i="3" s="1"/>
  <c r="X369" i="3"/>
  <c r="Y369" i="3" s="1"/>
  <c r="AC369" i="3" s="1"/>
  <c r="AE369" i="3" s="1"/>
  <c r="X198" i="3"/>
  <c r="Y198" i="3" s="1"/>
  <c r="AC198" i="3" s="1"/>
  <c r="AE198" i="3" s="1"/>
  <c r="X283" i="3"/>
  <c r="Y283" i="3" s="1"/>
  <c r="AC283" i="3" s="1"/>
  <c r="AE283" i="3" s="1"/>
  <c r="X219" i="3"/>
  <c r="Y219" i="3" s="1"/>
  <c r="AC219" i="3" s="1"/>
  <c r="AE219" i="3" s="1"/>
  <c r="X105" i="3"/>
  <c r="Y105" i="3" s="1"/>
  <c r="AC105" i="3" s="1"/>
  <c r="AE105" i="3" s="1"/>
  <c r="X294" i="3"/>
  <c r="Y294" i="3" s="1"/>
  <c r="AC294" i="3" s="1"/>
  <c r="AE294" i="3" s="1"/>
  <c r="M287" i="3"/>
  <c r="M355" i="3"/>
  <c r="M372" i="3"/>
  <c r="M227" i="3"/>
  <c r="M384" i="3"/>
  <c r="X339" i="3"/>
  <c r="Y339" i="3" s="1"/>
  <c r="AC339" i="3" s="1"/>
  <c r="AE339" i="3" s="1"/>
  <c r="M380" i="3"/>
  <c r="M333" i="3"/>
  <c r="X158" i="3"/>
  <c r="Y158" i="3" s="1"/>
  <c r="AC158" i="3" s="1"/>
  <c r="AE158" i="3" s="1"/>
  <c r="X233" i="3"/>
  <c r="Y233" i="3" s="1"/>
  <c r="AC233" i="3" s="1"/>
  <c r="AE233" i="3" s="1"/>
  <c r="X111" i="3"/>
  <c r="Y111" i="3" s="1"/>
  <c r="AC111" i="3" s="1"/>
  <c r="AE111" i="3" s="1"/>
  <c r="M273" i="3"/>
  <c r="M285" i="3"/>
  <c r="M295" i="3"/>
  <c r="X126" i="3"/>
  <c r="Y126" i="3" s="1"/>
  <c r="AC126" i="3" s="1"/>
  <c r="AE126" i="3" s="1"/>
  <c r="X391" i="3"/>
  <c r="Y391" i="3" s="1"/>
  <c r="AC391" i="3" s="1"/>
  <c r="AE391" i="3" s="1"/>
  <c r="M272" i="3"/>
  <c r="M306" i="3"/>
  <c r="X309" i="3"/>
  <c r="Y309" i="3" s="1"/>
  <c r="AC309" i="3" s="1"/>
  <c r="AE309" i="3" s="1"/>
  <c r="X387" i="3"/>
  <c r="Y387" i="3" s="1"/>
  <c r="AC387" i="3" s="1"/>
  <c r="AE387" i="3" s="1"/>
  <c r="X180" i="3"/>
  <c r="Y180" i="3" s="1"/>
  <c r="AC180" i="3" s="1"/>
  <c r="AE180" i="3" s="1"/>
  <c r="X217" i="3"/>
  <c r="Y217" i="3" s="1"/>
  <c r="AC217" i="3" s="1"/>
  <c r="AE217" i="3" s="1"/>
  <c r="M376" i="3"/>
  <c r="M228" i="3"/>
  <c r="X207" i="3"/>
  <c r="Y207" i="3" s="1"/>
  <c r="AC207" i="3" s="1"/>
  <c r="AE207" i="3" s="1"/>
  <c r="M370" i="3"/>
  <c r="X100" i="3"/>
  <c r="Y100" i="3" s="1"/>
  <c r="AC100" i="3" s="1"/>
  <c r="AE100" i="3" s="1"/>
  <c r="M317" i="3"/>
  <c r="M396" i="3"/>
  <c r="X248" i="3"/>
  <c r="Y248" i="3" s="1"/>
  <c r="AC248" i="3" s="1"/>
  <c r="AE248" i="3" s="1"/>
  <c r="M340" i="3"/>
  <c r="X206" i="3"/>
  <c r="Y206" i="3" s="1"/>
  <c r="AC206" i="3" s="1"/>
  <c r="AE206" i="3" s="1"/>
  <c r="X215" i="3"/>
  <c r="Y215" i="3" s="1"/>
  <c r="AC215" i="3" s="1"/>
  <c r="AE215" i="3" s="1"/>
  <c r="M261" i="3"/>
  <c r="M325" i="3"/>
  <c r="X305" i="3"/>
  <c r="Y305" i="3" s="1"/>
  <c r="AC305" i="3" s="1"/>
  <c r="AE305" i="3" s="1"/>
  <c r="X279" i="3"/>
  <c r="Y279" i="3" s="1"/>
  <c r="AC279" i="3" s="1"/>
  <c r="AE279" i="3" s="1"/>
  <c r="M326" i="3"/>
  <c r="X106" i="3"/>
  <c r="Y106" i="3" s="1"/>
  <c r="AC106" i="3" s="1"/>
  <c r="AE106" i="3" s="1"/>
  <c r="M390" i="3"/>
  <c r="M331" i="3"/>
  <c r="X252" i="3"/>
  <c r="Y252" i="3" s="1"/>
  <c r="AC252" i="3" s="1"/>
  <c r="AE252" i="3" s="1"/>
  <c r="M335" i="3"/>
  <c r="X354" i="3"/>
  <c r="Y354" i="3" s="1"/>
  <c r="AC354" i="3" s="1"/>
  <c r="AE354" i="3" s="1"/>
  <c r="M266" i="3"/>
  <c r="M301" i="3"/>
  <c r="M353" i="3"/>
  <c r="X195" i="3"/>
  <c r="Y195" i="3" s="1"/>
  <c r="AC195" i="3" s="1"/>
  <c r="AE195" i="3" s="1"/>
  <c r="X345" i="3"/>
  <c r="Y345" i="3" s="1"/>
  <c r="AC345" i="3" s="1"/>
  <c r="AE345" i="3" s="1"/>
  <c r="X237" i="3"/>
  <c r="Y237" i="3" s="1"/>
  <c r="AC237" i="3" s="1"/>
  <c r="AE237" i="3" s="1"/>
  <c r="X209" i="3"/>
  <c r="Y209" i="3" s="1"/>
  <c r="AC209" i="3" s="1"/>
  <c r="AE209" i="3" s="1"/>
  <c r="X316" i="3"/>
  <c r="Y316" i="3" s="1"/>
  <c r="AC316" i="3" s="1"/>
  <c r="AE316" i="3" s="1"/>
  <c r="X145" i="3"/>
  <c r="Y145" i="3" s="1"/>
  <c r="AC145" i="3" s="1"/>
  <c r="AE145" i="3" s="1"/>
  <c r="M364" i="3"/>
  <c r="X128" i="3"/>
  <c r="Y128" i="3" s="1"/>
  <c r="AC128" i="3" s="1"/>
  <c r="AE128" i="3" s="1"/>
  <c r="M238" i="3"/>
  <c r="X318" i="3"/>
  <c r="Y318" i="3" s="1"/>
  <c r="AC318" i="3" s="1"/>
  <c r="AE318" i="3" s="1"/>
  <c r="M362" i="3"/>
  <c r="X172" i="3"/>
  <c r="Y172" i="3" s="1"/>
  <c r="AC172" i="3" s="1"/>
  <c r="AE172" i="3" s="1"/>
  <c r="X183" i="3"/>
  <c r="Y183" i="3" s="1"/>
  <c r="AC183" i="3" s="1"/>
  <c r="AE183" i="3" s="1"/>
  <c r="X101" i="3"/>
  <c r="Y101" i="3" s="1"/>
  <c r="AC101" i="3" s="1"/>
  <c r="AE101" i="3" s="1"/>
  <c r="M349" i="3"/>
  <c r="M338" i="3"/>
  <c r="X337" i="3"/>
  <c r="Y337" i="3" s="1"/>
  <c r="AC337" i="3" s="1"/>
  <c r="AE337" i="3" s="1"/>
  <c r="X199" i="3"/>
  <c r="Y199" i="3" s="1"/>
  <c r="AC199" i="3" s="1"/>
  <c r="AE199" i="3" s="1"/>
  <c r="X103" i="3"/>
  <c r="Y103" i="3" s="1"/>
  <c r="AC103" i="3" s="1"/>
  <c r="AE103" i="3" s="1"/>
  <c r="X201" i="3"/>
  <c r="Y201" i="3" s="1"/>
  <c r="AC201" i="3" s="1"/>
  <c r="AE201" i="3" s="1"/>
  <c r="X108" i="3"/>
  <c r="Y108" i="3" s="1"/>
  <c r="AC108" i="3" s="1"/>
  <c r="AE108" i="3" s="1"/>
  <c r="M253" i="3"/>
  <c r="M347" i="3"/>
  <c r="M358" i="3"/>
  <c r="X327" i="3"/>
  <c r="Y327" i="3" s="1"/>
  <c r="AC327" i="3" s="1"/>
  <c r="AE327" i="3" s="1"/>
  <c r="X245" i="3"/>
  <c r="Y245" i="3" s="1"/>
  <c r="AC245" i="3" s="1"/>
  <c r="AE245" i="3" s="1"/>
  <c r="X393" i="3"/>
  <c r="Y393" i="3" s="1"/>
  <c r="AC393" i="3" s="1"/>
  <c r="AE393" i="3" s="1"/>
  <c r="X246" i="3"/>
  <c r="Y246" i="3" s="1"/>
  <c r="AC246" i="3" s="1"/>
  <c r="AE246" i="3" s="1"/>
  <c r="X110" i="3"/>
  <c r="Y110" i="3" s="1"/>
  <c r="AC110" i="3" s="1"/>
  <c r="AE110" i="3" s="1"/>
  <c r="M244" i="3"/>
  <c r="X102" i="3"/>
  <c r="Y102" i="3" s="1"/>
  <c r="AC102" i="3" s="1"/>
  <c r="AE102" i="3" s="1"/>
  <c r="M321" i="3"/>
  <c r="X378" i="3"/>
  <c r="Y378" i="3" s="1"/>
  <c r="AC378" i="3" s="1"/>
  <c r="AE378" i="3" s="1"/>
  <c r="X343" i="3"/>
  <c r="Y343" i="3" s="1"/>
  <c r="AC343" i="3" s="1"/>
  <c r="AE343" i="3" s="1"/>
  <c r="M293" i="3"/>
  <c r="X213" i="3"/>
  <c r="Y213" i="3" s="1"/>
  <c r="AC213" i="3" s="1"/>
  <c r="AE213" i="3" s="1"/>
  <c r="X189" i="3"/>
  <c r="Y189" i="3" s="1"/>
  <c r="AC189" i="3" s="1"/>
  <c r="AE189" i="3" s="1"/>
  <c r="X136" i="3"/>
  <c r="Y136" i="3" s="1"/>
  <c r="AC136" i="3" s="1"/>
  <c r="AE136" i="3" s="1"/>
  <c r="M249" i="3"/>
  <c r="X304" i="3"/>
  <c r="Y304" i="3" s="1"/>
  <c r="AC304" i="3" s="1"/>
  <c r="AE304" i="3" s="1"/>
  <c r="X210" i="3"/>
  <c r="Y210" i="3" s="1"/>
  <c r="AC210" i="3" s="1"/>
  <c r="AE210" i="3" s="1"/>
  <c r="M262" i="3"/>
  <c r="X153" i="3"/>
  <c r="Y153" i="3" s="1"/>
  <c r="AC153" i="3" s="1"/>
  <c r="AE153" i="3" s="1"/>
  <c r="X235" i="3"/>
  <c r="Y235" i="3" s="1"/>
  <c r="AC235" i="3" s="1"/>
  <c r="AE235" i="3" s="1"/>
  <c r="X288" i="3"/>
  <c r="Y288" i="3" s="1"/>
  <c r="AC288" i="3" s="1"/>
  <c r="AE288" i="3" s="1"/>
  <c r="M367" i="3"/>
  <c r="X239" i="3"/>
  <c r="Y239" i="3" s="1"/>
  <c r="AC239" i="3" s="1"/>
  <c r="AE239" i="3" s="1"/>
  <c r="X292" i="3"/>
  <c r="Y292" i="3" s="1"/>
  <c r="AC292" i="3" s="1"/>
  <c r="AE292" i="3" s="1"/>
  <c r="X311" i="3"/>
  <c r="Y311" i="3" s="1"/>
  <c r="AC311" i="3" s="1"/>
  <c r="AE311" i="3" s="1"/>
  <c r="X300" i="3"/>
  <c r="Y300" i="3" s="1"/>
  <c r="AC300" i="3" s="1"/>
  <c r="AE300" i="3" s="1"/>
  <c r="M251" i="3"/>
  <c r="X161" i="3"/>
  <c r="Y161" i="3" s="1"/>
  <c r="AC161" i="3" s="1"/>
  <c r="AE161" i="3" s="1"/>
  <c r="M271" i="3"/>
  <c r="X271" i="3"/>
  <c r="Y271" i="3" s="1"/>
  <c r="AC271" i="3" s="1"/>
  <c r="AE271" i="3" s="1"/>
  <c r="X139" i="3"/>
  <c r="Y139" i="3" s="1"/>
  <c r="AC139" i="3" s="1"/>
  <c r="AE139" i="3" s="1"/>
  <c r="M395" i="3"/>
  <c r="X212" i="3"/>
  <c r="Y212" i="3" s="1"/>
  <c r="AC212" i="3" s="1"/>
  <c r="AE212" i="3" s="1"/>
  <c r="M307" i="3"/>
  <c r="X307" i="3"/>
  <c r="Y307" i="3" s="1"/>
  <c r="AC307" i="3" s="1"/>
  <c r="AE307" i="3" s="1"/>
  <c r="X147" i="3"/>
  <c r="Y147" i="3" s="1"/>
  <c r="AC147" i="3" s="1"/>
  <c r="AE147" i="3" s="1"/>
  <c r="X255" i="3"/>
  <c r="Y255" i="3" s="1"/>
  <c r="AC255" i="3" s="1"/>
  <c r="AE255" i="3" s="1"/>
  <c r="X236" i="3"/>
  <c r="Y236" i="3" s="1"/>
  <c r="AC236" i="3" s="1"/>
  <c r="AE236" i="3" s="1"/>
  <c r="X148" i="3"/>
  <c r="Y148" i="3" s="1"/>
  <c r="AC148" i="3" s="1"/>
  <c r="AE148" i="3" s="1"/>
  <c r="X155" i="3"/>
  <c r="Y155" i="3" s="1"/>
  <c r="AC155" i="3" s="1"/>
  <c r="AE155" i="3" s="1"/>
  <c r="X211" i="3"/>
  <c r="Y211" i="3" s="1"/>
  <c r="AC211" i="3" s="1"/>
  <c r="AE211" i="3" s="1"/>
  <c r="X290" i="3"/>
  <c r="Y290" i="3" s="1"/>
  <c r="AC290" i="3" s="1"/>
  <c r="AE290" i="3" s="1"/>
  <c r="M290" i="3"/>
  <c r="M232" i="3"/>
  <c r="X232" i="3"/>
  <c r="Y232" i="3" s="1"/>
  <c r="AC232" i="3" s="1"/>
  <c r="AE232" i="3" s="1"/>
  <c r="M389" i="3"/>
  <c r="X389" i="3"/>
  <c r="Y389" i="3" s="1"/>
  <c r="AC389" i="3" s="1"/>
  <c r="AE389" i="3" s="1"/>
  <c r="X229" i="3"/>
  <c r="Y229" i="3" s="1"/>
  <c r="AC229" i="3" s="1"/>
  <c r="AE229" i="3" s="1"/>
  <c r="M263" i="3"/>
  <c r="X280" i="3"/>
  <c r="Y280" i="3" s="1"/>
  <c r="AC280" i="3" s="1"/>
  <c r="AE280" i="3" s="1"/>
  <c r="M280" i="3"/>
  <c r="M281" i="3"/>
  <c r="M234" i="3"/>
  <c r="X157" i="3"/>
  <c r="Y157" i="3" s="1"/>
  <c r="AC157" i="3" s="1"/>
  <c r="AE157" i="3" s="1"/>
  <c r="M365" i="3"/>
  <c r="X365" i="3"/>
  <c r="Y365" i="3" s="1"/>
  <c r="AC365" i="3" s="1"/>
  <c r="AE365" i="3" s="1"/>
  <c r="X242" i="3"/>
  <c r="Y242" i="3" s="1"/>
  <c r="AC242" i="3" s="1"/>
  <c r="AE242" i="3" s="1"/>
  <c r="M375" i="3"/>
  <c r="X240" i="3"/>
  <c r="Y240" i="3" s="1"/>
  <c r="AC240" i="3" s="1"/>
  <c r="AE240" i="3" s="1"/>
  <c r="M240" i="3"/>
  <c r="M366" i="3"/>
  <c r="X226" i="3"/>
  <c r="Y226" i="3" s="1"/>
  <c r="AC226" i="3" s="1"/>
  <c r="AE226" i="3" s="1"/>
  <c r="X171" i="3"/>
  <c r="Y171" i="3" s="1"/>
  <c r="AC171" i="3" s="1"/>
  <c r="AE171" i="3" s="1"/>
  <c r="M257" i="3"/>
  <c r="X374" i="3"/>
  <c r="Y374" i="3" s="1"/>
  <c r="AC374" i="3" s="1"/>
  <c r="AE374" i="3" s="1"/>
  <c r="X243" i="3"/>
  <c r="Y243" i="3" s="1"/>
  <c r="AC243" i="3" s="1"/>
  <c r="AE243" i="3" s="1"/>
  <c r="X328" i="3"/>
  <c r="Y328" i="3" s="1"/>
  <c r="AC328" i="3" s="1"/>
  <c r="AE328" i="3" s="1"/>
  <c r="M267" i="3"/>
  <c r="X267" i="3"/>
  <c r="Y267" i="3" s="1"/>
  <c r="AC267" i="3" s="1"/>
  <c r="AE267" i="3" s="1"/>
  <c r="X186" i="3"/>
  <c r="Y186" i="3" s="1"/>
  <c r="AC186" i="3" s="1"/>
  <c r="AE186" i="3" s="1"/>
  <c r="M400" i="3"/>
  <c r="M323" i="3"/>
  <c r="X363" i="3"/>
  <c r="Y363" i="3" s="1"/>
  <c r="AC363" i="3" s="1"/>
  <c r="AE363" i="3" s="1"/>
  <c r="M247" i="3"/>
  <c r="M277" i="3"/>
  <c r="X9" i="3"/>
  <c r="Y9" i="3" s="1"/>
  <c r="AC9" i="3" s="1"/>
  <c r="AE9" i="3" s="1"/>
  <c r="X8" i="3"/>
  <c r="Y8" i="3" s="1"/>
  <c r="AC8" i="3" s="1"/>
  <c r="AE8" i="3" s="1"/>
  <c r="X121" i="3"/>
  <c r="Y121" i="3" s="1"/>
  <c r="AC121" i="3" s="1"/>
  <c r="AE121" i="3" s="1"/>
  <c r="M225" i="3"/>
  <c r="X225" i="3"/>
  <c r="Y225" i="3" s="1"/>
  <c r="AC225" i="3" s="1"/>
  <c r="AE225" i="3" s="1"/>
  <c r="X361" i="3"/>
  <c r="Y361" i="3" s="1"/>
  <c r="AC361" i="3" s="1"/>
  <c r="AE361" i="3" s="1"/>
  <c r="M361" i="3"/>
  <c r="M274" i="3"/>
  <c r="X274" i="3"/>
  <c r="Y274" i="3" s="1"/>
  <c r="AC274" i="3" s="1"/>
  <c r="AE274" i="3" s="1"/>
  <c r="M322" i="3"/>
  <c r="X322" i="3"/>
  <c r="Y322" i="3" s="1"/>
  <c r="AC322" i="3" s="1"/>
  <c r="AE322" i="3" s="1"/>
  <c r="X388" i="3"/>
  <c r="Y388" i="3" s="1"/>
  <c r="AC388" i="3" s="1"/>
  <c r="AE388" i="3" s="1"/>
  <c r="M388" i="3"/>
  <c r="X334" i="3"/>
  <c r="Y334" i="3" s="1"/>
  <c r="AC334" i="3" s="1"/>
  <c r="AE334" i="3" s="1"/>
  <c r="M334" i="3"/>
  <c r="X154" i="3"/>
  <c r="Y154" i="3" s="1"/>
  <c r="AC154" i="3" s="1"/>
  <c r="AE154" i="3" s="1"/>
  <c r="X341" i="3"/>
  <c r="Y341" i="3" s="1"/>
  <c r="AC341" i="3" s="1"/>
  <c r="AE341" i="3" s="1"/>
  <c r="M341" i="3"/>
  <c r="X193" i="3"/>
  <c r="Y193" i="3" s="1"/>
  <c r="AC193" i="3" s="1"/>
  <c r="AE193" i="3" s="1"/>
  <c r="M302" i="3"/>
  <c r="X302" i="3"/>
  <c r="Y302" i="3" s="1"/>
  <c r="AC302" i="3" s="1"/>
  <c r="AE302" i="3" s="1"/>
  <c r="X168" i="3"/>
  <c r="Y168" i="3" s="1"/>
  <c r="AC168" i="3" s="1"/>
  <c r="AE168" i="3" s="1"/>
  <c r="X275" i="3"/>
  <c r="Y275" i="3" s="1"/>
  <c r="AC275" i="3" s="1"/>
  <c r="AE275" i="3" s="1"/>
  <c r="M275" i="3"/>
  <c r="X202" i="3"/>
  <c r="Y202" i="3" s="1"/>
  <c r="AC202" i="3" s="1"/>
  <c r="AE202" i="3" s="1"/>
  <c r="X120" i="3"/>
  <c r="Y120" i="3" s="1"/>
  <c r="AC120" i="3" s="1"/>
  <c r="AE120" i="3" s="1"/>
  <c r="X312" i="3"/>
  <c r="Y312" i="3" s="1"/>
  <c r="AC312" i="3" s="1"/>
  <c r="AE312" i="3" s="1"/>
  <c r="M312" i="3"/>
  <c r="X216" i="3"/>
  <c r="Y216" i="3" s="1"/>
  <c r="AC216" i="3" s="1"/>
  <c r="AE216" i="3" s="1"/>
  <c r="X197" i="3"/>
  <c r="Y197" i="3" s="1"/>
  <c r="AC197" i="3" s="1"/>
  <c r="AE197" i="3" s="1"/>
  <c r="X130" i="3"/>
  <c r="Y130" i="3" s="1"/>
  <c r="AC130" i="3" s="1"/>
  <c r="AE130" i="3" s="1"/>
  <c r="X360" i="3"/>
  <c r="Y360" i="3" s="1"/>
  <c r="AC360" i="3" s="1"/>
  <c r="AE360" i="3" s="1"/>
  <c r="M360" i="3"/>
  <c r="X310" i="3"/>
  <c r="Y310" i="3" s="1"/>
  <c r="AC310" i="3" s="1"/>
  <c r="AE310" i="3" s="1"/>
  <c r="M310" i="3"/>
  <c r="X230" i="3"/>
  <c r="Y230" i="3" s="1"/>
  <c r="AC230" i="3" s="1"/>
  <c r="AE230" i="3" s="1"/>
  <c r="M230" i="3"/>
  <c r="X178" i="3"/>
  <c r="Y178" i="3" s="1"/>
  <c r="AC178" i="3" s="1"/>
  <c r="AE178" i="3" s="1"/>
  <c r="M382" i="3"/>
  <c r="X382" i="3"/>
  <c r="Y382" i="3" s="1"/>
  <c r="AC382" i="3" s="1"/>
  <c r="AE382" i="3" s="1"/>
  <c r="X192" i="3"/>
  <c r="Y192" i="3" s="1"/>
  <c r="AC192" i="3" s="1"/>
  <c r="AE192" i="3" s="1"/>
  <c r="X164" i="3"/>
  <c r="Y164" i="3" s="1"/>
  <c r="AC164" i="3" s="1"/>
  <c r="AE164" i="3" s="1"/>
  <c r="M250" i="3"/>
  <c r="X250" i="3"/>
  <c r="Y250" i="3" s="1"/>
  <c r="AC250" i="3" s="1"/>
  <c r="AE250" i="3" s="1"/>
  <c r="M298" i="3"/>
  <c r="X298" i="3"/>
  <c r="Y298" i="3" s="1"/>
  <c r="AC298" i="3" s="1"/>
  <c r="AE298" i="3" s="1"/>
  <c r="M289" i="3"/>
  <c r="X289" i="3"/>
  <c r="Y289" i="3" s="1"/>
  <c r="AC289" i="3" s="1"/>
  <c r="AE289" i="3" s="1"/>
  <c r="X348" i="3"/>
  <c r="Y348" i="3" s="1"/>
  <c r="AC348" i="3" s="1"/>
  <c r="AE348" i="3" s="1"/>
  <c r="M348" i="3"/>
  <c r="X214" i="3"/>
  <c r="Y214" i="3" s="1"/>
  <c r="AC214" i="3" s="1"/>
  <c r="AE214" i="3" s="1"/>
  <c r="X264" i="3"/>
  <c r="Y264" i="3" s="1"/>
  <c r="AC264" i="3" s="1"/>
  <c r="AE264" i="3" s="1"/>
  <c r="M264" i="3"/>
  <c r="M383" i="3"/>
  <c r="X383" i="3"/>
  <c r="Y383" i="3" s="1"/>
  <c r="AC383" i="3" s="1"/>
  <c r="AE383" i="3" s="1"/>
  <c r="X336" i="3"/>
  <c r="Y336" i="3" s="1"/>
  <c r="AC336" i="3" s="1"/>
  <c r="AE336" i="3" s="1"/>
  <c r="M336" i="3"/>
  <c r="W5" i="3"/>
  <c r="W7" i="3"/>
  <c r="W6" i="3"/>
  <c r="X2" i="3"/>
  <c r="Y2" i="3" s="1"/>
  <c r="W99" i="3"/>
  <c r="X99" i="3" s="1"/>
  <c r="Y99" i="3" s="1"/>
  <c r="AC99" i="3" s="1"/>
  <c r="AE99" i="3" s="1"/>
  <c r="X7" i="3" l="1"/>
  <c r="Y7" i="3" s="1"/>
  <c r="AC7" i="3" s="1"/>
  <c r="AE7" i="3" s="1"/>
  <c r="X6" i="3"/>
  <c r="Y6" i="3" s="1"/>
  <c r="AC6" i="3" s="1"/>
  <c r="AE6" i="3" s="1"/>
  <c r="X5" i="3"/>
  <c r="Y5" i="3" s="1"/>
  <c r="AC5" i="3" s="1"/>
  <c r="AE5" i="3" s="1"/>
  <c r="Z2" i="3"/>
  <c r="AA2" i="3"/>
  <c r="AB2" i="3" s="1"/>
  <c r="AC2" i="3" l="1"/>
  <c r="AE2" i="3" s="1"/>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alcChain>
</file>

<file path=xl/sharedStrings.xml><?xml version="1.0" encoding="utf-8"?>
<sst xmlns="http://schemas.openxmlformats.org/spreadsheetml/2006/main" count="5085" uniqueCount="3394">
  <si>
    <t>File1</t>
    <phoneticPr fontId="1"/>
  </si>
  <si>
    <t>File2</t>
    <phoneticPr fontId="1"/>
  </si>
  <si>
    <t>File3</t>
  </si>
  <si>
    <t>File4</t>
  </si>
  <si>
    <t>File5</t>
  </si>
  <si>
    <t>File6</t>
  </si>
  <si>
    <t>File7</t>
  </si>
  <si>
    <t>Item title</t>
    <phoneticPr fontId="1"/>
  </si>
  <si>
    <t>Custom label (SKU)</t>
  </si>
  <si>
    <t>Fedex 1.0kg</t>
  </si>
  <si>
    <t>Fedex 1.5kg</t>
  </si>
  <si>
    <t>Fedex 2.0kg</t>
  </si>
  <si>
    <t>Fedex 2.5kg</t>
  </si>
  <si>
    <t>Fedex 3.0kg</t>
  </si>
  <si>
    <t>Fedex 3.5kg</t>
  </si>
  <si>
    <t>Fedex 4.0kg</t>
  </si>
  <si>
    <t>Fedex 4.5kg</t>
  </si>
  <si>
    <t>Fedex 5.0kg</t>
  </si>
  <si>
    <t>Fedex 5.5kg</t>
  </si>
  <si>
    <t>Fedex 6.0kg</t>
  </si>
  <si>
    <t>Fedex 6.5kg</t>
  </si>
  <si>
    <t>Fedex 7.0kg</t>
  </si>
  <si>
    <t>Fedex 7.5kg</t>
  </si>
  <si>
    <t>Fedex 8.0kg</t>
  </si>
  <si>
    <t>Fedex 8.5kg</t>
  </si>
  <si>
    <t>Fedex 9.0kg</t>
  </si>
  <si>
    <t>Fedex 9.5kg</t>
  </si>
  <si>
    <t>Fedex 10.0kg</t>
  </si>
  <si>
    <t>Fedex 10.5kg</t>
  </si>
  <si>
    <t>Fedex 11.0kg</t>
  </si>
  <si>
    <t>Fedex 11.5kg</t>
  </si>
  <si>
    <t>Fedex 12.0kg</t>
  </si>
  <si>
    <t>Fedex 12.5kg</t>
  </si>
  <si>
    <t>Fedex 13.0kg</t>
  </si>
  <si>
    <t>Fedex 13.5kg</t>
  </si>
  <si>
    <t>Fedex 14.0kg</t>
  </si>
  <si>
    <t>Fedex 14.5kg</t>
  </si>
  <si>
    <t>Fedex 15.0kg</t>
  </si>
  <si>
    <t>Fedex 15.5kg</t>
  </si>
  <si>
    <t>Fedex 16.0kg</t>
  </si>
  <si>
    <t>Fedex 16.5kg</t>
  </si>
  <si>
    <t>Fedex 17.0kg</t>
  </si>
  <si>
    <t>Fedex 17.5kg</t>
  </si>
  <si>
    <t>Fedex 18.0kg</t>
  </si>
  <si>
    <t>Fedex 18.5kg</t>
  </si>
  <si>
    <t>Fedex 19.0kg</t>
  </si>
  <si>
    <t>Fedex 19.5kg</t>
  </si>
  <si>
    <t>Fedex 20.0kg</t>
  </si>
  <si>
    <t>画像</t>
    <rPh sb="0" eb="2">
      <t>ガゾウ</t>
    </rPh>
    <phoneticPr fontId="1"/>
  </si>
  <si>
    <t>Shipping Policy</t>
    <phoneticPr fontId="1"/>
  </si>
  <si>
    <t>仕入れ先</t>
    <rPh sb="0" eb="2">
      <t>シイ</t>
    </rPh>
    <rPh sb="3" eb="4">
      <t>サキ</t>
    </rPh>
    <phoneticPr fontId="1"/>
  </si>
  <si>
    <t>カテゴリ（出品テンプレート参照）</t>
    <rPh sb="5" eb="7">
      <t>シュッピン</t>
    </rPh>
    <rPh sb="13" eb="15">
      <t>サンショウ</t>
    </rPh>
    <phoneticPr fontId="1"/>
  </si>
  <si>
    <t>出品テンプレート　リスト</t>
    <rPh sb="0" eb="2">
      <t>シュッピン</t>
    </rPh>
    <phoneticPr fontId="1"/>
  </si>
  <si>
    <t>Other Animation Merchandise</t>
  </si>
  <si>
    <t>CCG Individual Cards</t>
  </si>
  <si>
    <t>Dolls &amp; Dolls playsets</t>
  </si>
  <si>
    <t>Plush Item</t>
  </si>
  <si>
    <t>DVD &amp; Blu-ray</t>
  </si>
  <si>
    <t>CDs</t>
  </si>
  <si>
    <t>Vinyl</t>
  </si>
  <si>
    <t>Books</t>
  </si>
  <si>
    <t>出品価格</t>
    <rPh sb="0" eb="4">
      <t>シュッピンカカク</t>
    </rPh>
    <phoneticPr fontId="1"/>
  </si>
  <si>
    <t>仕入れ先候補</t>
    <rPh sb="0" eb="2">
      <t>シイ</t>
    </rPh>
    <rPh sb="3" eb="6">
      <t>サキコウホ</t>
    </rPh>
    <phoneticPr fontId="1"/>
  </si>
  <si>
    <t>英語タイトル</t>
    <rPh sb="0" eb="2">
      <t>エイゴ</t>
    </rPh>
    <phoneticPr fontId="1"/>
  </si>
  <si>
    <t>抽出URL</t>
    <rPh sb="0" eb="2">
      <t>チュウシュツ</t>
    </rPh>
    <phoneticPr fontId="1"/>
  </si>
  <si>
    <t>https://www.ebay.com/sch/i.html?_nkw=test&amp;_sacat=0&amp;_from=R40&amp;_sop=15&amp;rt=nc&amp;_udlo=20000</t>
  </si>
  <si>
    <t>実重量</t>
    <rPh sb="0" eb="3">
      <t>ジツジュウリョウ</t>
    </rPh>
    <phoneticPr fontId="1"/>
  </si>
  <si>
    <t>容積重量</t>
    <rPh sb="0" eb="4">
      <t>ヨウセキジュウリョウ</t>
    </rPh>
    <phoneticPr fontId="1"/>
  </si>
  <si>
    <t>大きい方</t>
    <rPh sb="0" eb="1">
      <t>オオ</t>
    </rPh>
    <rPh sb="3" eb="4">
      <t>ホウ</t>
    </rPh>
    <phoneticPr fontId="1"/>
  </si>
  <si>
    <t>繰り上げ</t>
    <rPh sb="0" eb="1">
      <t>ク</t>
    </rPh>
    <rPh sb="2" eb="3">
      <t>ア</t>
    </rPh>
    <phoneticPr fontId="1"/>
  </si>
  <si>
    <t>結果</t>
    <rPh sb="0" eb="2">
      <t>ケッカ</t>
    </rPh>
    <phoneticPr fontId="1"/>
  </si>
  <si>
    <t>繰り上げ判定</t>
    <rPh sb="0" eb="1">
      <t>ク</t>
    </rPh>
    <rPh sb="2" eb="3">
      <t>ア</t>
    </rPh>
    <rPh sb="4" eb="6">
      <t>ハンテイ</t>
    </rPh>
    <phoneticPr fontId="1"/>
  </si>
  <si>
    <t>予想送料</t>
    <rPh sb="0" eb="4">
      <t>ヨソウソウリョウ</t>
    </rPh>
    <phoneticPr fontId="1"/>
  </si>
  <si>
    <t>予想関税1</t>
    <rPh sb="0" eb="2">
      <t>ヨソウ</t>
    </rPh>
    <rPh sb="2" eb="4">
      <t>カンゼイ</t>
    </rPh>
    <phoneticPr fontId="1"/>
  </si>
  <si>
    <t>予想関税2</t>
    <rPh sb="0" eb="4">
      <t>ヨソウカンゼイ</t>
    </rPh>
    <phoneticPr fontId="1"/>
  </si>
  <si>
    <t>予想手数料</t>
    <rPh sb="0" eb="2">
      <t>ヨソウ</t>
    </rPh>
    <rPh sb="2" eb="5">
      <t>テスウリョウ</t>
    </rPh>
    <phoneticPr fontId="1"/>
  </si>
  <si>
    <t>予想
最安値($)</t>
    <rPh sb="0" eb="2">
      <t>ヨソウ</t>
    </rPh>
    <rPh sb="3" eb="6">
      <t>サイヤスネ</t>
    </rPh>
    <phoneticPr fontId="1"/>
  </si>
  <si>
    <t>商品
重量(kg)</t>
    <rPh sb="0" eb="2">
      <t>ショウヒン</t>
    </rPh>
    <rPh sb="3" eb="5">
      <t>ジュウリョウ</t>
    </rPh>
    <phoneticPr fontId="1"/>
  </si>
  <si>
    <t>商品の
長さ(cm)</t>
    <rPh sb="0" eb="2">
      <t>ショウヒン</t>
    </rPh>
    <rPh sb="4" eb="5">
      <t>ナガ</t>
    </rPh>
    <phoneticPr fontId="1"/>
  </si>
  <si>
    <t>商品の
幅(cm)</t>
    <rPh sb="0" eb="2">
      <t>ショウヒン</t>
    </rPh>
    <rPh sb="4" eb="5">
      <t>ハバ</t>
    </rPh>
    <phoneticPr fontId="1"/>
  </si>
  <si>
    <t>商品の
高さ(cm)</t>
    <rPh sb="0" eb="2">
      <t>ショウヒン</t>
    </rPh>
    <rPh sb="4" eb="5">
      <t>タカ</t>
    </rPh>
    <phoneticPr fontId="1"/>
  </si>
  <si>
    <t>現在の米ドル円
為替($)</t>
    <rPh sb="0" eb="2">
      <t>ゲンザイ</t>
    </rPh>
    <rPh sb="3" eb="4">
      <t>ベイ</t>
    </rPh>
    <rPh sb="6" eb="7">
      <t>エン</t>
    </rPh>
    <rPh sb="8" eb="10">
      <t>カワセ</t>
    </rPh>
    <phoneticPr fontId="1"/>
  </si>
  <si>
    <t>File8</t>
  </si>
  <si>
    <t>File9</t>
  </si>
  <si>
    <t>File10</t>
  </si>
  <si>
    <t>Radio Control</t>
  </si>
  <si>
    <t>日本語タイトル</t>
    <rPh sb="0" eb="3">
      <t>ニホンゴ</t>
    </rPh>
    <phoneticPr fontId="1"/>
  </si>
  <si>
    <t>メルカリ</t>
    <phoneticPr fontId="1"/>
  </si>
  <si>
    <t>ラクマ</t>
    <phoneticPr fontId="1"/>
  </si>
  <si>
    <t>楽天市場</t>
    <rPh sb="0" eb="4">
      <t>ラクテンイチバ</t>
    </rPh>
    <phoneticPr fontId="1"/>
  </si>
  <si>
    <t>ヤフオク</t>
    <phoneticPr fontId="1"/>
  </si>
  <si>
    <t>Fedex 0.5kg</t>
  </si>
  <si>
    <t>Fedex 0.5kg</t>
    <phoneticPr fontId="1"/>
  </si>
  <si>
    <t>ヤフーショッピング</t>
  </si>
  <si>
    <t>ヤフーショッピング</t>
    <phoneticPr fontId="1"/>
  </si>
  <si>
    <t>https://jp.mercari.com/search?keyword=test&amp;price_min=10000&amp;sort=price&amp;order=asc&amp;status=on_sale</t>
  </si>
  <si>
    <t>https://fril.jp/s?query=test&amp;min=10000&amp;transaction=selling</t>
  </si>
  <si>
    <t>https://search.rakuten.co.jp/search/mall/test/?min=10000</t>
  </si>
  <si>
    <t>https://auctions.yahoo.co.jp/search/search/test/0/?aucminprice=10000</t>
  </si>
  <si>
    <t>https://shopping.yahoo.co.jp/search/test/0/?pf=10000</t>
  </si>
  <si>
    <t>メルカリ</t>
  </si>
  <si>
    <t>ラクマ</t>
  </si>
  <si>
    <t>ヤフオク</t>
  </si>
  <si>
    <t>フリマサイト一覧</t>
    <rPh sb="6" eb="8">
      <t>イチラン</t>
    </rPh>
    <phoneticPr fontId="1"/>
  </si>
  <si>
    <t>File11</t>
  </si>
  <si>
    <t>File12</t>
  </si>
  <si>
    <t>File13</t>
  </si>
  <si>
    <t>File14</t>
  </si>
  <si>
    <t>File15</t>
  </si>
  <si>
    <t>仕入れ先価格</t>
    <rPh sb="0" eb="2">
      <t>シイ</t>
    </rPh>
    <rPh sb="3" eb="4">
      <t>サキ</t>
    </rPh>
    <rPh sb="4" eb="6">
      <t>カカク</t>
    </rPh>
    <phoneticPr fontId="1"/>
  </si>
  <si>
    <t>仕入値+
送料+
関税+
手数料</t>
    <rPh sb="0" eb="2">
      <t>シイ</t>
    </rPh>
    <rPh sb="2" eb="3">
      <t>ネ</t>
    </rPh>
    <rPh sb="5" eb="7">
      <t>ソウリョウ</t>
    </rPh>
    <rPh sb="9" eb="11">
      <t>カンゼイ</t>
    </rPh>
    <rPh sb="13" eb="16">
      <t>テスウリョウ</t>
    </rPh>
    <phoneticPr fontId="1"/>
  </si>
  <si>
    <t>予想最安値*為替</t>
    <rPh sb="0" eb="5">
      <t>ヨソウサイヤスネ</t>
    </rPh>
    <rPh sb="6" eb="8">
      <t>カワセ</t>
    </rPh>
    <phoneticPr fontId="1"/>
  </si>
  <si>
    <t>利益
（8500～9500円）</t>
    <rPh sb="0" eb="2">
      <t>リエキ</t>
    </rPh>
    <rPh sb="13" eb="14">
      <t>エン</t>
    </rPh>
    <phoneticPr fontId="1"/>
  </si>
  <si>
    <t>タイトル</t>
  </si>
  <si>
    <t>件数</t>
  </si>
  <si>
    <t>全コピー</t>
  </si>
  <si>
    <t>Snail Shell 三猿 見ざる・聞かざる・言わざる</t>
  </si>
  <si>
    <t>YES HIGH VIBRATION SACD BOX</t>
  </si>
  <si>
    <t>チェンソーマン レゼ篇 特装盤</t>
  </si>
  <si>
    <t>ビッパ　スツール　オス</t>
  </si>
  <si>
    <t>ポケモンスクラッチ 第1弾</t>
  </si>
  <si>
    <t>春日野穹 ふもふもそら</t>
  </si>
  <si>
    <t>PS ガンナーズヘヴン</t>
  </si>
  <si>
    <t>RAH ジーン・シモンズ</t>
  </si>
  <si>
    <t>Siltech Ruby Hill II 1.5m</t>
  </si>
  <si>
    <t>ねんどろいど ウマ娘 オグリキャップ</t>
  </si>
  <si>
    <t>QWER Beyond the Discord</t>
  </si>
  <si>
    <t>Charlotte プレミアムフィギュア　友利奈緒</t>
  </si>
  <si>
    <t>スーパーファミコン　HAGANE</t>
  </si>
  <si>
    <t>DAVID BOWIE FIVE YEARS 1969-1973 CD</t>
  </si>
  <si>
    <t>精神壊しの罠 foil</t>
  </si>
  <si>
    <t>ノワール 寝起きフィギュア</t>
  </si>
  <si>
    <t>ワンピース カードダス C07 ゾロ</t>
  </si>
  <si>
    <t>ねんどろいど　ラルセイ</t>
  </si>
  <si>
    <t>バナナフィッシュ　サウンドトラック　レコード</t>
  </si>
  <si>
    <t>大久保篤画集 SOUL EATER SOUL ART</t>
  </si>
  <si>
    <t>刀装具 町彫 名品聚成</t>
  </si>
  <si>
    <t>ヴァリエイブルヒーローズ　ナミ</t>
  </si>
  <si>
    <t>ねんどろいど デスストランディング　クリフ　DX</t>
  </si>
  <si>
    <t>三日月閑　フィギュア</t>
  </si>
  <si>
    <t>Williams FW14 SENNA</t>
  </si>
  <si>
    <t>Ultimate Breaks Complete Collection CD</t>
  </si>
  <si>
    <t>SHODO SUPER　五星戦隊ダイレンジャー</t>
  </si>
  <si>
    <t>ラビュリンス デュエルセット</t>
  </si>
  <si>
    <t>デビルっちのたまごっち ピンク</t>
  </si>
  <si>
    <t>小澤征爾　グラモフォン録音全集</t>
  </si>
  <si>
    <t>U.S.S.　NCC-1701-D</t>
  </si>
  <si>
    <t>IsatPhone Pro</t>
  </si>
  <si>
    <t>HUNTER×HUNTER グリードアイランド パーフェクトコレクタブル</t>
  </si>
  <si>
    <t>トイストーリー ラウンドアップ絵皿</t>
  </si>
  <si>
    <t>リンチェイス　ジャガージャングル プレート</t>
  </si>
  <si>
    <t>ワンピース ハイパーバトル ルフィの帽子</t>
  </si>
  <si>
    <t>ミュウツーの逆襲　ピカチュウ　プロも</t>
  </si>
  <si>
    <t>暁月のフィナーレ コレクターズ（アルミボトルも）</t>
  </si>
  <si>
    <t>デジモンテイマーズ くたキャラ　ギルモン ぬいぐるみ</t>
  </si>
  <si>
    <t>ケナー ロストワールド レックス</t>
  </si>
  <si>
    <t>スキャンティ ニーソックス</t>
  </si>
  <si>
    <t>スタートレック コレクション ボーグキューブ</t>
  </si>
  <si>
    <t>THE BLUE HEARTS レコード</t>
  </si>
  <si>
    <t>ハリーポッター レプリカ 教科書</t>
  </si>
  <si>
    <t>セガサターン ストリートファイター</t>
  </si>
  <si>
    <t>星のカービィ　ぬいぐるみ</t>
  </si>
  <si>
    <t>大久保篤画集</t>
  </si>
  <si>
    <t>ANA フライングホヌ</t>
  </si>
  <si>
    <t>ポケモンジム ヤマブキシティ</t>
  </si>
  <si>
    <t>過去キーワード一覧</t>
  </si>
  <si>
    <t>キーワード</t>
  </si>
  <si>
    <t>https://paypayfleamarket.yahoo.co.jp/search/test?minPrice=10000&amp;maxPrice=100000&amp;open=1&amp;withSpeller=0&amp;sort=price&amp;order=desc</t>
  </si>
  <si>
    <t>Yahoo!フリマ</t>
  </si>
  <si>
    <t>https://auctions.yahoo.co.jp/search/search?p=test&amp;va=test&amp;aucminprice=10000&amp;aucmaxprice=100000&amp;price_type=currentprice&amp;min=10000&amp;max=100000&amp;is_postage_mode=1&amp;dest_pref_code=40&amp;b=1&amp;n=50&amp;s1=tbids&amp;o1=d&amp;mode=1</t>
  </si>
  <si>
    <t>Yahoo!オークション</t>
  </si>
  <si>
    <t>https://fril.jp/s?query=test&amp;min=10000&amp;max=100000&amp;transaction=selling&amp;sort=sell_price&amp;order=desc</t>
  </si>
  <si>
    <t>https://jp.mercari.com/search?keyword=test&amp;price_min=10000&amp;sort=price&amp;order=desc&amp;status=on_sale&amp;price_max=100000</t>
  </si>
  <si>
    <t>URL</t>
  </si>
  <si>
    <t>サイト名</t>
  </si>
  <si>
    <t>ゴジラ生誕70周年記念 4KリマスターBOX</t>
  </si>
  <si>
    <t>PRISMA WING Flower Imitation. Flower</t>
  </si>
  <si>
    <t>レゴ ハリーポッター コカコーラ</t>
  </si>
  <si>
    <t>figma UMP45</t>
  </si>
  <si>
    <t>イーグレットツー ミニ アーケードメモリーズVOL.2</t>
  </si>
  <si>
    <t>Charles Munch Complete RCA</t>
  </si>
  <si>
    <t>PREMIUM DX レイジングソード</t>
  </si>
  <si>
    <t>ゴーカイサーベル　ゴーカイガン MEMORIAL EDITION</t>
  </si>
  <si>
    <t>S.H.フィギュアーツ 天道あかね</t>
  </si>
  <si>
    <t>ショドウフォン memorial edition</t>
  </si>
  <si>
    <t>1-1</t>
    <phoneticPr fontId="1"/>
  </si>
  <si>
    <t>1-2</t>
    <phoneticPr fontId="1"/>
  </si>
  <si>
    <t>1-4</t>
  </si>
  <si>
    <t>1-5</t>
  </si>
  <si>
    <t>1-3</t>
    <phoneticPr fontId="1"/>
  </si>
  <si>
    <t>1-6</t>
  </si>
  <si>
    <t>1-7</t>
  </si>
  <si>
    <t>1-8</t>
  </si>
  <si>
    <t>1-9</t>
  </si>
  <si>
    <t>1-10</t>
  </si>
  <si>
    <t>1-11</t>
  </si>
  <si>
    <t>1-12</t>
  </si>
  <si>
    <t>1-13</t>
  </si>
  <si>
    <t>1-14</t>
  </si>
  <si>
    <t>1-15</t>
  </si>
  <si>
    <t>1-16</t>
  </si>
  <si>
    <t>1-17</t>
  </si>
  <si>
    <t>1-18</t>
  </si>
  <si>
    <t>1-19</t>
  </si>
  <si>
    <t>1-20</t>
  </si>
  <si>
    <t>2-1</t>
    <phoneticPr fontId="1"/>
  </si>
  <si>
    <t>2-2</t>
    <phoneticPr fontId="1"/>
  </si>
  <si>
    <t>2-3</t>
  </si>
  <si>
    <t>2-4</t>
  </si>
  <si>
    <t>2-5</t>
  </si>
  <si>
    <t>2-6</t>
  </si>
  <si>
    <t>2-7</t>
  </si>
  <si>
    <t>2-8</t>
  </si>
  <si>
    <t>2-9</t>
  </si>
  <si>
    <t>2-10</t>
  </si>
  <si>
    <t>2-11</t>
  </si>
  <si>
    <t>2-12</t>
  </si>
  <si>
    <t>2-13</t>
  </si>
  <si>
    <t>2-14</t>
  </si>
  <si>
    <t>2-15</t>
  </si>
  <si>
    <t>2-16</t>
  </si>
  <si>
    <t>2-17</t>
  </si>
  <si>
    <t>2-18</t>
  </si>
  <si>
    <t>2-19</t>
  </si>
  <si>
    <t>2-20</t>
  </si>
  <si>
    <t>3-1</t>
    <phoneticPr fontId="1"/>
  </si>
  <si>
    <t>3-2</t>
    <phoneticPr fontId="1"/>
  </si>
  <si>
    <t>3-3</t>
  </si>
  <si>
    <t>3-4</t>
  </si>
  <si>
    <t>3-5</t>
  </si>
  <si>
    <t>3-6</t>
  </si>
  <si>
    <t>3-7</t>
  </si>
  <si>
    <t>3-8</t>
  </si>
  <si>
    <t>3-9</t>
  </si>
  <si>
    <t>3-10</t>
  </si>
  <si>
    <t>3-11</t>
  </si>
  <si>
    <t>3-12</t>
  </si>
  <si>
    <t>3-13</t>
  </si>
  <si>
    <t>3-14</t>
  </si>
  <si>
    <t>3-15</t>
  </si>
  <si>
    <t>3-16</t>
  </si>
  <si>
    <t>3-17</t>
  </si>
  <si>
    <t>3-18</t>
  </si>
  <si>
    <t>3-19</t>
  </si>
  <si>
    <t>3-20</t>
  </si>
  <si>
    <t>4-1</t>
    <phoneticPr fontId="1"/>
  </si>
  <si>
    <t>4-2</t>
    <phoneticPr fontId="1"/>
  </si>
  <si>
    <t>4-3</t>
  </si>
  <si>
    <t>4-4</t>
  </si>
  <si>
    <t>4-5</t>
  </si>
  <si>
    <t>4-6</t>
  </si>
  <si>
    <t>4-7</t>
  </si>
  <si>
    <t>4-8</t>
  </si>
  <si>
    <t>4-9</t>
  </si>
  <si>
    <t>4-10</t>
  </si>
  <si>
    <t>4-11</t>
  </si>
  <si>
    <t>4-12</t>
  </si>
  <si>
    <t>4-13</t>
  </si>
  <si>
    <t>4-14</t>
  </si>
  <si>
    <t>4-15</t>
  </si>
  <si>
    <t>4-16</t>
  </si>
  <si>
    <t>4-17</t>
  </si>
  <si>
    <t>4-18</t>
  </si>
  <si>
    <t>4-19</t>
  </si>
  <si>
    <t>4-20</t>
  </si>
  <si>
    <t>5-1</t>
    <phoneticPr fontId="1"/>
  </si>
  <si>
    <t>5-2</t>
    <phoneticPr fontId="1"/>
  </si>
  <si>
    <t>5-3</t>
  </si>
  <si>
    <t>5-4</t>
  </si>
  <si>
    <t>5-5</t>
  </si>
  <si>
    <t>5-6</t>
  </si>
  <si>
    <t>5-7</t>
  </si>
  <si>
    <t>5-8</t>
  </si>
  <si>
    <t>5-9</t>
  </si>
  <si>
    <t>5-10</t>
  </si>
  <si>
    <t>5-11</t>
  </si>
  <si>
    <t>5-12</t>
  </si>
  <si>
    <t>5-13</t>
  </si>
  <si>
    <t>5-14</t>
  </si>
  <si>
    <t>5-15</t>
  </si>
  <si>
    <t>5-16</t>
  </si>
  <si>
    <t>5-17</t>
  </si>
  <si>
    <t>5-18</t>
  </si>
  <si>
    <t>5-19</t>
  </si>
  <si>
    <t>5-20</t>
  </si>
  <si>
    <t>6-1</t>
    <phoneticPr fontId="1"/>
  </si>
  <si>
    <t>6-2</t>
    <phoneticPr fontId="1"/>
  </si>
  <si>
    <t>6-3</t>
  </si>
  <si>
    <t>6-4</t>
  </si>
  <si>
    <t>6-5</t>
  </si>
  <si>
    <t>6-6</t>
  </si>
  <si>
    <t>6-7</t>
  </si>
  <si>
    <t>6-8</t>
  </si>
  <si>
    <t>6-9</t>
  </si>
  <si>
    <t>6-10</t>
  </si>
  <si>
    <t>6-11</t>
  </si>
  <si>
    <t>6-12</t>
  </si>
  <si>
    <t>6-13</t>
  </si>
  <si>
    <t>6-14</t>
  </si>
  <si>
    <t>6-15</t>
  </si>
  <si>
    <t>6-16</t>
  </si>
  <si>
    <t>6-17</t>
  </si>
  <si>
    <t>6-18</t>
  </si>
  <si>
    <t>6-19</t>
  </si>
  <si>
    <t>6-20</t>
  </si>
  <si>
    <t>7-1</t>
    <phoneticPr fontId="1"/>
  </si>
  <si>
    <t>7-2</t>
    <phoneticPr fontId="1"/>
  </si>
  <si>
    <t>7-3</t>
  </si>
  <si>
    <t>7-4</t>
  </si>
  <si>
    <t>7-5</t>
  </si>
  <si>
    <t>7-6</t>
  </si>
  <si>
    <t>7-7</t>
  </si>
  <si>
    <t>7-8</t>
  </si>
  <si>
    <t>7-9</t>
  </si>
  <si>
    <t>7-10</t>
  </si>
  <si>
    <t>7-11</t>
  </si>
  <si>
    <t>7-12</t>
  </si>
  <si>
    <t>7-13</t>
  </si>
  <si>
    <t>7-14</t>
  </si>
  <si>
    <t>7-15</t>
  </si>
  <si>
    <t>7-16</t>
  </si>
  <si>
    <t>7-17</t>
  </si>
  <si>
    <t>7-18</t>
  </si>
  <si>
    <t>7-19</t>
  </si>
  <si>
    <t>7-20</t>
  </si>
  <si>
    <t>8-1</t>
    <phoneticPr fontId="1"/>
  </si>
  <si>
    <t>8-2</t>
    <phoneticPr fontId="1"/>
  </si>
  <si>
    <t>8-3</t>
  </si>
  <si>
    <t>8-4</t>
  </si>
  <si>
    <t>8-5</t>
  </si>
  <si>
    <t>8-6</t>
  </si>
  <si>
    <t>8-7</t>
  </si>
  <si>
    <t>8-8</t>
  </si>
  <si>
    <t>8-9</t>
  </si>
  <si>
    <t>8-10</t>
  </si>
  <si>
    <t>8-11</t>
  </si>
  <si>
    <t>8-12</t>
  </si>
  <si>
    <t>8-13</t>
  </si>
  <si>
    <t>8-14</t>
  </si>
  <si>
    <t>8-15</t>
  </si>
  <si>
    <t>8-16</t>
  </si>
  <si>
    <t>8-17</t>
  </si>
  <si>
    <t>8-18</t>
  </si>
  <si>
    <t>8-19</t>
  </si>
  <si>
    <t>8-20</t>
  </si>
  <si>
    <t>9-1</t>
    <phoneticPr fontId="1"/>
  </si>
  <si>
    <t>9-2</t>
    <phoneticPr fontId="1"/>
  </si>
  <si>
    <t>9-3</t>
  </si>
  <si>
    <t>9-4</t>
  </si>
  <si>
    <t>9-5</t>
  </si>
  <si>
    <t>9-6</t>
  </si>
  <si>
    <t>9-7</t>
  </si>
  <si>
    <t>9-8</t>
  </si>
  <si>
    <t>9-9</t>
  </si>
  <si>
    <t>9-10</t>
  </si>
  <si>
    <t>9-11</t>
  </si>
  <si>
    <t>9-12</t>
  </si>
  <si>
    <t>9-13</t>
  </si>
  <si>
    <t>9-14</t>
  </si>
  <si>
    <t>9-15</t>
  </si>
  <si>
    <t>9-16</t>
  </si>
  <si>
    <t>9-17</t>
  </si>
  <si>
    <t>9-18</t>
  </si>
  <si>
    <t>9-19</t>
  </si>
  <si>
    <t>9-20</t>
  </si>
  <si>
    <t>10-1</t>
    <phoneticPr fontId="1"/>
  </si>
  <si>
    <t>10-2</t>
    <phoneticPr fontId="1"/>
  </si>
  <si>
    <t>10-3</t>
  </si>
  <si>
    <t>10-4</t>
  </si>
  <si>
    <t>10-5</t>
  </si>
  <si>
    <t>10-6</t>
  </si>
  <si>
    <t>10-7</t>
  </si>
  <si>
    <t>10-8</t>
  </si>
  <si>
    <t>10-9</t>
  </si>
  <si>
    <t>10-10</t>
  </si>
  <si>
    <t>10-11</t>
  </si>
  <si>
    <t>10-12</t>
  </si>
  <si>
    <t>10-13</t>
  </si>
  <si>
    <t>10-14</t>
  </si>
  <si>
    <t>10-15</t>
  </si>
  <si>
    <t>10-16</t>
  </si>
  <si>
    <t>10-17</t>
  </si>
  <si>
    <t>10-18</t>
  </si>
  <si>
    <t>10-19</t>
  </si>
  <si>
    <t>10-20</t>
  </si>
  <si>
    <t>11-1</t>
    <phoneticPr fontId="1"/>
  </si>
  <si>
    <t>11-2</t>
    <phoneticPr fontId="1"/>
  </si>
  <si>
    <t>11-3</t>
  </si>
  <si>
    <t>11-4</t>
  </si>
  <si>
    <t>11-5</t>
  </si>
  <si>
    <t>11-6</t>
  </si>
  <si>
    <t>11-7</t>
  </si>
  <si>
    <t>11-8</t>
  </si>
  <si>
    <t>11-9</t>
  </si>
  <si>
    <t>11-10</t>
  </si>
  <si>
    <t>11-11</t>
  </si>
  <si>
    <t>11-12</t>
  </si>
  <si>
    <t>11-13</t>
  </si>
  <si>
    <t>11-14</t>
  </si>
  <si>
    <t>11-15</t>
  </si>
  <si>
    <t>11-16</t>
  </si>
  <si>
    <t>11-17</t>
  </si>
  <si>
    <t>11-18</t>
  </si>
  <si>
    <t>11-19</t>
  </si>
  <si>
    <t>11-20</t>
  </si>
  <si>
    <t>12-1</t>
    <phoneticPr fontId="1"/>
  </si>
  <si>
    <t>12-2</t>
    <phoneticPr fontId="1"/>
  </si>
  <si>
    <t>12-3</t>
  </si>
  <si>
    <t>12-4</t>
  </si>
  <si>
    <t>12-5</t>
  </si>
  <si>
    <t>12-6</t>
  </si>
  <si>
    <t>12-7</t>
  </si>
  <si>
    <t>12-8</t>
  </si>
  <si>
    <t>12-9</t>
  </si>
  <si>
    <t>12-10</t>
  </si>
  <si>
    <t>12-11</t>
  </si>
  <si>
    <t>12-12</t>
  </si>
  <si>
    <t>12-13</t>
  </si>
  <si>
    <t>12-14</t>
  </si>
  <si>
    <t>12-15</t>
  </si>
  <si>
    <t>12-16</t>
  </si>
  <si>
    <t>12-17</t>
  </si>
  <si>
    <t>12-18</t>
  </si>
  <si>
    <t>12-19</t>
  </si>
  <si>
    <t>12-20</t>
  </si>
  <si>
    <t>13-1</t>
    <phoneticPr fontId="1"/>
  </si>
  <si>
    <t>13-2</t>
    <phoneticPr fontId="1"/>
  </si>
  <si>
    <t>13-3</t>
  </si>
  <si>
    <t>13-4</t>
  </si>
  <si>
    <t>13-5</t>
  </si>
  <si>
    <t>13-6</t>
  </si>
  <si>
    <t>13-7</t>
  </si>
  <si>
    <t>13-8</t>
  </si>
  <si>
    <t>13-9</t>
  </si>
  <si>
    <t>13-10</t>
  </si>
  <si>
    <t>13-11</t>
  </si>
  <si>
    <t>13-12</t>
  </si>
  <si>
    <t>13-13</t>
  </si>
  <si>
    <t>13-14</t>
  </si>
  <si>
    <t>13-15</t>
  </si>
  <si>
    <t>13-16</t>
  </si>
  <si>
    <t>13-17</t>
  </si>
  <si>
    <t>13-18</t>
  </si>
  <si>
    <t>13-19</t>
  </si>
  <si>
    <t>13-20</t>
  </si>
  <si>
    <t>14-1</t>
    <phoneticPr fontId="1"/>
  </si>
  <si>
    <t>14-2</t>
    <phoneticPr fontId="1"/>
  </si>
  <si>
    <t>14-3</t>
  </si>
  <si>
    <t>14-4</t>
  </si>
  <si>
    <t>14-5</t>
  </si>
  <si>
    <t>14-6</t>
  </si>
  <si>
    <t>14-7</t>
  </si>
  <si>
    <t>14-8</t>
  </si>
  <si>
    <t>14-9</t>
  </si>
  <si>
    <t>14-10</t>
  </si>
  <si>
    <t>14-11</t>
  </si>
  <si>
    <t>14-12</t>
  </si>
  <si>
    <t>14-13</t>
  </si>
  <si>
    <t>14-14</t>
  </si>
  <si>
    <t>14-15</t>
  </si>
  <si>
    <t>14-16</t>
  </si>
  <si>
    <t>14-17</t>
  </si>
  <si>
    <t>14-18</t>
  </si>
  <si>
    <t>14-19</t>
  </si>
  <si>
    <t>14-20</t>
  </si>
  <si>
    <t>15-1</t>
    <phoneticPr fontId="1"/>
  </si>
  <si>
    <t>15-2</t>
    <phoneticPr fontId="1"/>
  </si>
  <si>
    <t>15-3</t>
  </si>
  <si>
    <t>15-4</t>
  </si>
  <si>
    <t>15-5</t>
  </si>
  <si>
    <t>15-6</t>
  </si>
  <si>
    <t>15-7</t>
  </si>
  <si>
    <t>15-8</t>
  </si>
  <si>
    <t>15-9</t>
  </si>
  <si>
    <t>15-10</t>
  </si>
  <si>
    <t>15-11</t>
  </si>
  <si>
    <t>15-12</t>
  </si>
  <si>
    <t>15-13</t>
  </si>
  <si>
    <t>15-14</t>
  </si>
  <si>
    <t>15-15</t>
  </si>
  <si>
    <t>15-16</t>
  </si>
  <si>
    <t>15-17</t>
  </si>
  <si>
    <t>15-18</t>
  </si>
  <si>
    <t>15-19</t>
  </si>
  <si>
    <t>15-20</t>
  </si>
  <si>
    <t>16-1</t>
    <phoneticPr fontId="1"/>
  </si>
  <si>
    <t>16-2</t>
    <phoneticPr fontId="1"/>
  </si>
  <si>
    <t>16-3</t>
  </si>
  <si>
    <t>16-4</t>
  </si>
  <si>
    <t>16-5</t>
  </si>
  <si>
    <t>16-6</t>
  </si>
  <si>
    <t>16-7</t>
  </si>
  <si>
    <t>16-8</t>
  </si>
  <si>
    <t>16-9</t>
  </si>
  <si>
    <t>16-10</t>
  </si>
  <si>
    <t>16-11</t>
  </si>
  <si>
    <t>16-12</t>
  </si>
  <si>
    <t>16-13</t>
  </si>
  <si>
    <t>16-14</t>
  </si>
  <si>
    <t>16-15</t>
  </si>
  <si>
    <t>16-16</t>
  </si>
  <si>
    <t>16-17</t>
  </si>
  <si>
    <t>16-18</t>
  </si>
  <si>
    <t>16-19</t>
  </si>
  <si>
    <t>16-20</t>
  </si>
  <si>
    <t>17-1</t>
    <phoneticPr fontId="1"/>
  </si>
  <si>
    <t>17-2</t>
    <phoneticPr fontId="1"/>
  </si>
  <si>
    <t>17-3</t>
  </si>
  <si>
    <t>17-4</t>
  </si>
  <si>
    <t>17-5</t>
  </si>
  <si>
    <t>17-6</t>
  </si>
  <si>
    <t>17-7</t>
  </si>
  <si>
    <t>17-8</t>
  </si>
  <si>
    <t>17-9</t>
  </si>
  <si>
    <t>17-10</t>
  </si>
  <si>
    <t>17-11</t>
  </si>
  <si>
    <t>17-12</t>
  </si>
  <si>
    <t>17-13</t>
  </si>
  <si>
    <t>17-14</t>
  </si>
  <si>
    <t>17-15</t>
  </si>
  <si>
    <t>17-16</t>
  </si>
  <si>
    <t>17-17</t>
  </si>
  <si>
    <t>17-18</t>
  </si>
  <si>
    <t>17-19</t>
  </si>
  <si>
    <t>17-20</t>
  </si>
  <si>
    <t>18-1</t>
    <phoneticPr fontId="1"/>
  </si>
  <si>
    <t>18-2</t>
    <phoneticPr fontId="1"/>
  </si>
  <si>
    <t>18-3</t>
  </si>
  <si>
    <t>18-4</t>
  </si>
  <si>
    <t>18-5</t>
  </si>
  <si>
    <t>18-6</t>
  </si>
  <si>
    <t>18-7</t>
  </si>
  <si>
    <t>18-8</t>
  </si>
  <si>
    <t>18-9</t>
  </si>
  <si>
    <t>18-10</t>
  </si>
  <si>
    <t>18-11</t>
  </si>
  <si>
    <t>18-12</t>
  </si>
  <si>
    <t>18-13</t>
  </si>
  <si>
    <t>18-14</t>
  </si>
  <si>
    <t>18-15</t>
  </si>
  <si>
    <t>18-16</t>
  </si>
  <si>
    <t>18-17</t>
  </si>
  <si>
    <t>18-18</t>
  </si>
  <si>
    <t>18-19</t>
  </si>
  <si>
    <t>18-20</t>
  </si>
  <si>
    <t>19-1</t>
    <phoneticPr fontId="1"/>
  </si>
  <si>
    <t>19-2</t>
    <phoneticPr fontId="1"/>
  </si>
  <si>
    <t>19-3</t>
  </si>
  <si>
    <t>19-4</t>
  </si>
  <si>
    <t>19-5</t>
  </si>
  <si>
    <t>19-6</t>
  </si>
  <si>
    <t>19-7</t>
  </si>
  <si>
    <t>19-8</t>
  </si>
  <si>
    <t>19-9</t>
  </si>
  <si>
    <t>19-10</t>
  </si>
  <si>
    <t>19-11</t>
  </si>
  <si>
    <t>19-12</t>
  </si>
  <si>
    <t>19-13</t>
  </si>
  <si>
    <t>19-14</t>
  </si>
  <si>
    <t>19-15</t>
  </si>
  <si>
    <t>19-16</t>
  </si>
  <si>
    <t>19-17</t>
  </si>
  <si>
    <t>19-18</t>
  </si>
  <si>
    <t>19-19</t>
  </si>
  <si>
    <t>19-20</t>
  </si>
  <si>
    <t>20-1</t>
    <phoneticPr fontId="1"/>
  </si>
  <si>
    <t>20-2</t>
    <phoneticPr fontId="1"/>
  </si>
  <si>
    <t>20-3</t>
  </si>
  <si>
    <t>20-4</t>
  </si>
  <si>
    <t>20-5</t>
  </si>
  <si>
    <t>20-6</t>
  </si>
  <si>
    <t>20-7</t>
  </si>
  <si>
    <t>20-8</t>
  </si>
  <si>
    <t>20-9</t>
  </si>
  <si>
    <t>20-10</t>
  </si>
  <si>
    <t>20-11</t>
  </si>
  <si>
    <t>20-12</t>
  </si>
  <si>
    <t>20-13</t>
  </si>
  <si>
    <t>20-14</t>
  </si>
  <si>
    <t>20-15</t>
  </si>
  <si>
    <t>20-16</t>
  </si>
  <si>
    <t>20-17</t>
  </si>
  <si>
    <t>20-18</t>
  </si>
  <si>
    <t>20-19</t>
  </si>
  <si>
    <t>File16</t>
  </si>
  <si>
    <t>File17</t>
  </si>
  <si>
    <t>File18</t>
  </si>
  <si>
    <t>File19</t>
  </si>
  <si>
    <t>File20</t>
  </si>
  <si>
    <t>File21</t>
  </si>
  <si>
    <t>File22</t>
  </si>
  <si>
    <t>File23</t>
  </si>
  <si>
    <t>File24</t>
  </si>
  <si>
    <t>File25</t>
  </si>
  <si>
    <t>File26</t>
  </si>
  <si>
    <t>File27</t>
  </si>
  <si>
    <t>File28</t>
  </si>
  <si>
    <t>File29</t>
  </si>
  <si>
    <t>File30</t>
  </si>
  <si>
    <t>File31</t>
  </si>
  <si>
    <t>File32</t>
  </si>
  <si>
    <t>File33</t>
  </si>
  <si>
    <t>File34</t>
  </si>
  <si>
    <t>File35</t>
  </si>
  <si>
    <t>File36</t>
  </si>
  <si>
    <t>File37</t>
  </si>
  <si>
    <t>File38</t>
  </si>
  <si>
    <t>File39</t>
  </si>
  <si>
    <t>File40</t>
  </si>
  <si>
    <t>File41</t>
  </si>
  <si>
    <t>File42</t>
  </si>
  <si>
    <t>File43</t>
  </si>
  <si>
    <t>File44</t>
  </si>
  <si>
    <t>File45</t>
  </si>
  <si>
    <t>File46</t>
  </si>
  <si>
    <t>File47</t>
  </si>
  <si>
    <t>File48</t>
  </si>
  <si>
    <t>File49</t>
  </si>
  <si>
    <t>File50</t>
  </si>
  <si>
    <t>File51</t>
  </si>
  <si>
    <t>File52</t>
  </si>
  <si>
    <t>File53</t>
  </si>
  <si>
    <t>File54</t>
  </si>
  <si>
    <t>File55</t>
  </si>
  <si>
    <t>File56</t>
  </si>
  <si>
    <t>File57</t>
  </si>
  <si>
    <t>File58</t>
  </si>
  <si>
    <t>File59</t>
  </si>
  <si>
    <t>File60</t>
  </si>
  <si>
    <t>File61</t>
  </si>
  <si>
    <t>File62</t>
  </si>
  <si>
    <t>File63</t>
  </si>
  <si>
    <t>File64</t>
  </si>
  <si>
    <t>File65</t>
  </si>
  <si>
    <t>File66</t>
  </si>
  <si>
    <t>File67</t>
  </si>
  <si>
    <t>File68</t>
  </si>
  <si>
    <t>File69</t>
  </si>
  <si>
    <t>File70</t>
  </si>
  <si>
    <t>File71</t>
  </si>
  <si>
    <t>File72</t>
  </si>
  <si>
    <t>File73</t>
  </si>
  <si>
    <t>File74</t>
  </si>
  <si>
    <t>File75</t>
  </si>
  <si>
    <t>File76</t>
  </si>
  <si>
    <t>File77</t>
  </si>
  <si>
    <t>File78</t>
  </si>
  <si>
    <t>File79</t>
  </si>
  <si>
    <t>File80</t>
  </si>
  <si>
    <t>File81</t>
  </si>
  <si>
    <t>File82</t>
  </si>
  <si>
    <t>File83</t>
  </si>
  <si>
    <t>File84</t>
  </si>
  <si>
    <t>File85</t>
  </si>
  <si>
    <t>File86</t>
  </si>
  <si>
    <t>File87</t>
  </si>
  <si>
    <t>File88</t>
  </si>
  <si>
    <t>File89</t>
  </si>
  <si>
    <t>File90</t>
  </si>
  <si>
    <t>File91</t>
  </si>
  <si>
    <t>File92</t>
  </si>
  <si>
    <t>File93</t>
  </si>
  <si>
    <t>File94</t>
  </si>
  <si>
    <t>File95</t>
  </si>
  <si>
    <t>File96</t>
  </si>
  <si>
    <t>File97</t>
  </si>
  <si>
    <t>File98</t>
  </si>
  <si>
    <t>File99</t>
  </si>
  <si>
    <t>File100</t>
  </si>
  <si>
    <t>File101</t>
  </si>
  <si>
    <t>File102</t>
  </si>
  <si>
    <t>File103</t>
  </si>
  <si>
    <t>File104</t>
  </si>
  <si>
    <t>File105</t>
  </si>
  <si>
    <t>File106</t>
  </si>
  <si>
    <t>File107</t>
  </si>
  <si>
    <t>File108</t>
  </si>
  <si>
    <t>File109</t>
  </si>
  <si>
    <t>File110</t>
  </si>
  <si>
    <t>File111</t>
  </si>
  <si>
    <t>File112</t>
  </si>
  <si>
    <t>File113</t>
  </si>
  <si>
    <t>File114</t>
  </si>
  <si>
    <t>File115</t>
  </si>
  <si>
    <t>File116</t>
  </si>
  <si>
    <t>File117</t>
  </si>
  <si>
    <t>File118</t>
  </si>
  <si>
    <t>File119</t>
  </si>
  <si>
    <t>File120</t>
  </si>
  <si>
    <t>File121</t>
  </si>
  <si>
    <t>File122</t>
  </si>
  <si>
    <t>File123</t>
  </si>
  <si>
    <t>File124</t>
  </si>
  <si>
    <t>File125</t>
  </si>
  <si>
    <t>File126</t>
  </si>
  <si>
    <t>File127</t>
  </si>
  <si>
    <t>File128</t>
  </si>
  <si>
    <t>File129</t>
  </si>
  <si>
    <t>File130</t>
  </si>
  <si>
    <t>File131</t>
  </si>
  <si>
    <t>File132</t>
  </si>
  <si>
    <t>File133</t>
  </si>
  <si>
    <t>File134</t>
  </si>
  <si>
    <t>File135</t>
  </si>
  <si>
    <t>File136</t>
  </si>
  <si>
    <t>File137</t>
  </si>
  <si>
    <t>File138</t>
  </si>
  <si>
    <t>File139</t>
  </si>
  <si>
    <t>File140</t>
  </si>
  <si>
    <t>File141</t>
  </si>
  <si>
    <t>File142</t>
  </si>
  <si>
    <t>File143</t>
  </si>
  <si>
    <t>File144</t>
  </si>
  <si>
    <t>File145</t>
  </si>
  <si>
    <t>File146</t>
  </si>
  <si>
    <t>File147</t>
  </si>
  <si>
    <t>File148</t>
  </si>
  <si>
    <t>商品番号</t>
  </si>
  <si>
    <t>チェック</t>
    <phoneticPr fontId="1"/>
  </si>
  <si>
    <t>https://www.ebay.com/sch/i.html?_nkw=Galaxy+Express+999+The+Movie+4K+Remaster+Box+Blu-ray+First+Limited&amp;_sacat=0&amp;_from=R40&amp;_sop=15&amp;rt=nc&amp;_udlo=20000</t>
  </si>
  <si>
    <t>https://jp.mercari.com/search?keyword=%E9%8A%80%E6%B2%B3%E9%89%84%E9%81%93999%204K%E3%83%AA%E3%83%9E%E3%82%B9%E3%82%BF%E3%83%BCBOX&amp;price_min=10000&amp;sort=price&amp;order=asc&amp;status=on_sale</t>
  </si>
  <si>
    <t>https://fril.jp/s?query=%E9%8A%80%E6%B2%B3%E9%89%84%E9%81%93999%204K%E3%83%AA%E3%83%9E%E3%82%B9%E3%82%BF%E3%83%BCBOX&amp;min=10000&amp;transaction=selling</t>
  </si>
  <si>
    <t>https://search.rakuten.co.jp/search/mall/%E9%8A%80%E6%B2%B3%E9%89%84%E9%81%93999%204K%E3%83%AA%E3%83%9E%E3%82%B9%E3%82%BF%E3%83%BCBOX/?min=10000</t>
  </si>
  <si>
    <t>https://auctions.yahoo.co.jp/search/search?p=%E9%8A%80%E6%B2%B3%E9%89%84%E9%81%93999%204K%E3%83%AA%E3%83%9E%E3%82%B9%E3%82%BF%E3%83%BCBOX&amp;aucminprice=10000</t>
  </si>
  <si>
    <t>https://shopping.yahoo.co.jp/search/%E9%8A%80%E6%B2%B3%E9%89%84%E9%81%93999%204K%E3%83%AA%E3%83%9E%E3%82%B9%E3%82%BF%E3%83%BCBOX/0/?pf=10000</t>
  </si>
  <si>
    <t>Video Game Console</t>
  </si>
  <si>
    <t>Video Games</t>
  </si>
  <si>
    <t>仕入れ先からダウンロードしてください</t>
    <rPh sb="0" eb="2">
      <t>シイ</t>
    </rPh>
    <rPh sb="3" eb="4">
      <t>サキ</t>
    </rPh>
    <phoneticPr fontId="1"/>
  </si>
  <si>
    <t>安仕入れ先１</t>
    <rPh sb="0" eb="1">
      <t>ヤス</t>
    </rPh>
    <rPh sb="1" eb="3">
      <t>シイ</t>
    </rPh>
    <rPh sb="4" eb="5">
      <t>サキ</t>
    </rPh>
    <phoneticPr fontId="1"/>
  </si>
  <si>
    <t>安仕入れ先２</t>
    <rPh sb="0" eb="1">
      <t>ヤス</t>
    </rPh>
    <rPh sb="1" eb="3">
      <t>シイ</t>
    </rPh>
    <rPh sb="4" eb="5">
      <t>サキ</t>
    </rPh>
    <phoneticPr fontId="1"/>
  </si>
  <si>
    <t>安仕入れ先３</t>
    <rPh sb="0" eb="1">
      <t>ヤス</t>
    </rPh>
    <rPh sb="1" eb="3">
      <t>シイ</t>
    </rPh>
    <rPh sb="4" eb="5">
      <t>サキ</t>
    </rPh>
    <phoneticPr fontId="1"/>
  </si>
  <si>
    <t>https://jp.mercari.com/item/m27984414731</t>
  </si>
  <si>
    <t>https://jp.mercari.com/item/m58252217206</t>
  </si>
  <si>
    <t>結果（Fedex）</t>
    <rPh sb="0" eb="2">
      <t>ケッカ</t>
    </rPh>
    <phoneticPr fontId="1"/>
  </si>
  <si>
    <t>Galaxy Express 999 The Movie 4K UHD Blu-ray Box Set Leiji Matsumoto Anime Japan</t>
  </si>
  <si>
    <t>商品名</t>
  </si>
  <si>
    <t>在庫数</t>
  </si>
  <si>
    <t>仕入価格</t>
  </si>
  <si>
    <t>販売価格</t>
  </si>
  <si>
    <t>見込送料</t>
    <phoneticPr fontId="1"/>
  </si>
  <si>
    <t>ebay相場</t>
    <rPh sb="4" eb="6">
      <t>ソウバ</t>
    </rPh>
    <phoneticPr fontId="1"/>
  </si>
  <si>
    <t>最安値1</t>
    <rPh sb="0" eb="3">
      <t>サイヤスネ</t>
    </rPh>
    <phoneticPr fontId="1"/>
  </si>
  <si>
    <t>最安値2</t>
    <rPh sb="0" eb="3">
      <t>サイヤスネ</t>
    </rPh>
    <phoneticPr fontId="1"/>
  </si>
  <si>
    <t>最安値3</t>
    <rPh sb="0" eb="3">
      <t>サイヤスネ</t>
    </rPh>
    <phoneticPr fontId="1"/>
  </si>
  <si>
    <t>最安値4</t>
    <rPh sb="0" eb="3">
      <t>サイヤスネ</t>
    </rPh>
    <phoneticPr fontId="1"/>
  </si>
  <si>
    <t>最安値5</t>
    <rPh sb="0" eb="3">
      <t>サイヤスネ</t>
    </rPh>
    <phoneticPr fontId="1"/>
  </si>
  <si>
    <t>安仕入れ先４</t>
    <rPh sb="0" eb="1">
      <t>ヤス</t>
    </rPh>
    <rPh sb="1" eb="3">
      <t>シイ</t>
    </rPh>
    <rPh sb="4" eb="5">
      <t>サキ</t>
    </rPh>
    <phoneticPr fontId="1"/>
  </si>
  <si>
    <t>安仕入れ先５</t>
    <rPh sb="0" eb="1">
      <t>ヤス</t>
    </rPh>
    <rPh sb="1" eb="3">
      <t>シイ</t>
    </rPh>
    <rPh sb="4" eb="5">
      <t>サキ</t>
    </rPh>
    <phoneticPr fontId="1"/>
  </si>
  <si>
    <t>銀河鉄道999 THE MOVIE 4KリマスターBOX</t>
  </si>
  <si>
    <t>キングダムハーツ 20th プレート</t>
  </si>
  <si>
    <t>超像可動　ディエゴ・ブランドー　セカンド</t>
  </si>
  <si>
    <t>Dollfie アリゼー</t>
  </si>
  <si>
    <t>幕之内一歩　fighting pose フィギュア</t>
  </si>
  <si>
    <t>吉田遠志　Black panther</t>
  </si>
  <si>
    <t>https://jp.mercari.com/item/m80942673010</t>
  </si>
  <si>
    <t>https://page.auctions.yahoo.co.jp/jp/auction/p1231976907</t>
  </si>
  <si>
    <t>https://page.auctions.yahoo.co.jp/jp/auction/d516061039</t>
  </si>
  <si>
    <t>https://page.auctions.yahoo.co.jp/jp/auction/p1231857857</t>
  </si>
  <si>
    <t>キングダムハーツ プレートコレクション 全16種 フルコンプ</t>
  </si>
  <si>
    <t>https://www.ebay.com/sch/i.html?_nkw=Kingdom%20Hearts%20Plate%20Collection%20Complete%2016%20Set&amp;_sacat=0&amp;_from=R40&amp;_sop=15&amp;rt=nc&amp;_udlo=20000</t>
  </si>
  <si>
    <t>https://jp.mercari.com/search?keyword=%E3%82%AD%E3%83%B3%E3%82%B0%E3%83%80%E3%83%A0%E3%83%8F%E3%83%BC%E3%83%84%20%E3%83%97%E3%83%AC%E3%83%BC%E3%83%88%E3%82%B3%E3%83%AC%E3%82%AF%E3%82%B7%E3%83%A7%E3%83%B3&amp;price_min=10000&amp;sort=price&amp;order=asc&amp;status=on_sale</t>
  </si>
  <si>
    <t>https://fril.jp/s?query=%E3%82%AD%E3%83%B3%E3%82%B0%E3%83%80%E3%83%A0%E3%83%8F%E3%83%BC%E3%83%84%20%E3%83%97%E3%83%AC%E3%83%BC%E3%83%88%E3%82%B3%E3%83%AC%E3%82%AF%E3%82%B7%E3%83%A7%E3%83%B3&amp;min=10000&amp;transaction=selling</t>
  </si>
  <si>
    <t>https://search.rakuten.co.jp/search/mall/%E3%82%AD%E3%83%B3%E3%82%B0%E3%83%80%E3%83%A0%E3%83%8F%E3%83%BC%E3%83%84%20%E3%83%97%E3%83%AC%E3%83%BC%E3%83%88%E3%82%B3%E3%83%AC%E3%82%AF%E3%82%B7%E3%83%A7%E3%83%B3/?min=10000</t>
  </si>
  <si>
    <t>https://auctions.yahoo.co.jp/search/search?p=%E3%82%AD%E3%83%B3%E3%82%B0%E3%83%80%E3%83%A0%E3%83%8F%E3%83%BC%E3%83%84%20%E3%83%97%E3%83%AC%E3%83%BC%E3%83%88%E3%82%B3%E3%83%AC%E3%82%AF%E3%82%B7%E3%83%A7%E3%83%B3&amp;aucminprice=10000</t>
  </si>
  <si>
    <t>https://shopping.yahoo.co.jp/search/%E3%82%AD%E3%83%B3%E3%82%B0%E3%83%80%E3%83%A0%E3%83%8F%E3%83%BC%E3%83%84%20%E3%83%97%E3%83%AC%E3%83%BC%E3%83%88%E3%82%B3%E3%83%AC%E3%82%AF%E3%82%B7%E3%83%A7%E3%83%B3/0/?pf=10000</t>
  </si>
  <si>
    <t>サマンサタバサ キングダムハーツ 20周年 ラウンドジップ財布</t>
  </si>
  <si>
    <t>https://www.ebay.com/sch/i.html?_nkw=Samantha%20Thavasa%20Kingdom%20Hearts%2020th%20Round%20Zip%20Wallet&amp;_sacat=0&amp;_from=R40&amp;_sop=15&amp;rt=nc&amp;_udlo=20000</t>
  </si>
  <si>
    <t>https://jp.mercari.com/search?keyword=%E3%82%B5%E3%83%9E%E3%83%B3%E3%82%B5%E3%82%BF%E3%83%90%E3%82%B5%20%E3%82%AD%E3%83%B3%E3%82%B0%E3%83%80%E3%83%A0%E3%83%8F%E3%83%BC%E3%83%84%20%E8%B2%A1%E5%B8%83&amp;price_min=10000&amp;sort=price&amp;order=asc&amp;status=on_sale</t>
  </si>
  <si>
    <t>https://fril.jp/s?query=%E3%82%B5%E3%83%9E%E3%83%B3%E3%82%B5%E3%82%BF%E3%83%90%E3%82%B5%20%E3%82%AD%E3%83%B3%E3%82%B0%E3%83%80%E3%83%A0%E3%83%8F%E3%83%BC%E3%83%84%20%E8%B2%A1%E5%B8%83&amp;min=10000&amp;transaction=selling</t>
  </si>
  <si>
    <t>https://search.rakuten.co.jp/search/mall/%E3%82%B5%E3%83%9E%E3%83%B3%E3%82%B5%E3%82%BF%E3%83%90%E3%82%B5%20%E3%82%AD%E3%83%B3%E3%82%B0%E3%83%80%E3%83%A0%E3%83%8F%E3%83%BC%E3%83%84%20%E8%B2%A1%E5%B8%83/?min=10000</t>
  </si>
  <si>
    <t>https://auctions.yahoo.co.jp/search/search?p=%E3%82%B5%E3%83%9E%E3%83%B3%E3%82%B5%E3%82%BF%E3%83%90%E3%82%B5%20%E3%82%AD%E3%83%B3%E3%82%B0%E3%83%80%E3%83%A0%E3%83%8F%E3%83%BC%E3%83%84%20%E8%B2%A1%E5%B8%83&amp;aucminprice=10000</t>
  </si>
  <si>
    <t>https://shopping.yahoo.co.jp/search/%E3%82%B5%E3%83%9E%E3%83%B3%E3%82%B5%E3%82%BF%E3%83%90%E3%82%B5%20%E3%82%AD%E3%83%B3%E3%82%B0%E3%83%80%E3%83%A0%E3%83%8F%E3%83%BC%E3%83%84%20%E8%B2%A1%E5%B8%83/0/?pf=10000</t>
  </si>
  <si>
    <t>スーパードルフィー 星間学寮 エリック</t>
  </si>
  <si>
    <t>https://www.ebay.com/sch/i.html?_nkw=Volks%20Super%20Dollfie%20Seikan%20Gakuryo%20Eric%20Doll&amp;_sacat=0&amp;_from=R40&amp;_sop=15&amp;rt=nc&amp;_udlo=20000</t>
  </si>
  <si>
    <t>https://jp.mercari.com/search?keyword=%E3%82%B9%E3%83%BC%E3%83%91%E3%83%BC%E3%83%89%E3%83%AB%E3%83%95%E3%82%A3%E3%83%BC%20%E3%82%A8%E3%83%AA%E3%83%83%E3%82%AF&amp;price_min=10000&amp;sort=price&amp;order=asc&amp;status=on_sale</t>
  </si>
  <si>
    <t>https://fril.jp/s?query=%E3%82%B9%E3%83%BC%E3%83%91%E3%83%BC%E3%83%89%E3%83%AB%E3%83%95%E3%82%A3%E3%83%BC%20%E3%82%A8%E3%83%AA%E3%83%83%E3%82%AF&amp;min=10000&amp;transaction=selling</t>
  </si>
  <si>
    <t>https://search.rakuten.co.jp/search/mall/%E3%82%B9%E3%83%BC%E3%83%91%E3%83%BC%E3%83%89%E3%83%AB%E3%83%95%E3%82%A3%E3%83%BC%20%E3%82%A8%E3%83%AA%E3%83%83%E3%82%AF/?min=10000</t>
  </si>
  <si>
    <t>https://auctions.yahoo.co.jp/search/search?p=%E3%82%B9%E3%83%BC%E3%83%91%E3%83%BC%E3%83%89%E3%83%AB%E3%83%95%E3%82%A3%E3%83%BC%20%E3%82%A8%E3%83%AA%E3%83%83%E3%82%AF&amp;aucminprice=10000</t>
  </si>
  <si>
    <t>https://shopping.yahoo.co.jp/search/%E3%82%B9%E3%83%BC%E3%83%91%E3%83%BC%E3%83%89%E3%83%AB%E3%83%95%E3%82%A3%E3%83%BC%20%E3%82%A8%E3%83%AA%E3%83%83%E3%82%AF/0/?pf=10000</t>
  </si>
  <si>
    <t>ボークス ドルフィードリーム DDS マクロスF ランカ・リー</t>
  </si>
  <si>
    <t>https://www.ebay.com/sch/i.html?_nkw=Volks%20Dollfie%20Dream%20DDS%20Macross%20F%20Ranka%20Lee&amp;_sacat=0&amp;_from=R40&amp;_sop=15&amp;rt=nc&amp;_udlo=20000</t>
  </si>
  <si>
    <t>https://jp.mercari.com/search?keyword=%E3%83%89%E3%83%AB%E3%83%95%E3%82%A3%E3%83%BC%E3%83%89%E3%83%AA%E3%83%BC%E3%83%A0%20%E3%83%A9%E3%83%B3%E3%82%AB&amp;price_min=10000&amp;sort=price&amp;order=asc&amp;status=on_sale</t>
  </si>
  <si>
    <t>https://fril.jp/s?query=%E3%83%89%E3%83%AB%E3%83%95%E3%82%A3%E3%83%BC%E3%83%89%E3%83%AA%E3%83%BC%E3%83%A0%20%E3%83%A9%E3%83%B3%E3%82%AB&amp;min=10000&amp;transaction=selling</t>
  </si>
  <si>
    <t>https://search.rakuten.co.jp/search/mall/%E3%83%89%E3%83%AB%E3%83%95%E3%82%A3%E3%83%BC%E3%83%89%E3%83%AA%E3%83%BC%E3%83%A0%20%E3%83%A9%E3%83%B3%E3%82%AB/?min=10000</t>
  </si>
  <si>
    <t>https://auctions.yahoo.co.jp/search/search?p=%E3%83%89%E3%83%AB%E3%83%95%E3%82%A3%E3%83%BC%E3%83%89%E3%83%AA%E3%83%BC%E3%83%A0%20%E3%83%A9%E3%83%B3%E3%82%AB&amp;aucminprice=10000</t>
  </si>
  <si>
    <t>https://shopping.yahoo.co.jp/search/%E3%83%89%E3%83%AB%E3%83%95%E3%82%A3%E3%83%BC%E3%83%89%E3%83%AA%E3%83%BC%E3%83%A0%20%E3%83%A9%E3%83%B3%E3%82%AB/0/?pf=10000</t>
  </si>
  <si>
    <t>吉田遠志 モニュメント・バレー 木版画</t>
  </si>
  <si>
    <t>https://www.ebay.com/sch/i.html?_nkw=Toshi%20Yoshida%20Monument%20Valley%20Woodblock%20Print&amp;_sacat=0&amp;_from=R40&amp;_sop=15&amp;rt=nc&amp;_udlo=20000</t>
  </si>
  <si>
    <t>https://jp.mercari.com/search?keyword=%E5%90%89%E7%94%B0%E9%81%A0%E5%BF%97%20%E3%83%A2%E3%83%8B%E3%83%A5%E3%83%A1%E3%83%B3%E3%83%88%E3%83%BB%E3%83%90%E3%83%AC%E3%83%BC%20%E6%9C%A8%E7%89%88%E7%94%BB&amp;price_min=10000&amp;sort=price&amp;order=asc&amp;status=on_sale</t>
  </si>
  <si>
    <t>https://fril.jp/s?query=%E5%90%89%E7%94%B0%E9%81%A0%E5%BF%97%20%E3%83%A2%E3%83%8B%E3%83%A5%E3%83%A1%E3%83%B3%E3%83%88%E3%83%BB%E3%83%90%E3%83%AC%E3%83%BC%20%E6%9C%A8%E7%89%88%E7%94%BB&amp;min=10000&amp;transaction=selling</t>
  </si>
  <si>
    <t>https://search.rakuten.co.jp/search/mall/%E5%90%89%E7%94%B0%E9%81%A0%E5%BF%97%20%E3%83%A2%E3%83%8B%E3%83%A5%E3%83%A1%E3%83%B3%E3%83%88%E3%83%BB%E3%83%90%E3%83%AC%E3%83%BC%20%E6%9C%A8%E7%89%88%E7%94%BB/?min=10000</t>
  </si>
  <si>
    <t>https://auctions.yahoo.co.jp/search/search?p=%E5%90%89%E7%94%B0%E9%81%A0%E5%BF%97%20%E3%83%A2%E3%83%8B%E3%83%A5%E3%83%A1%E3%83%B3%E3%83%88%E3%83%BB%E3%83%90%E3%83%AC%E3%83%BC%20%E6%9C%A8%E7%89%88%E7%94%BB&amp;aucminprice=10000</t>
  </si>
  <si>
    <t>https://shopping.yahoo.co.jp/search/%E5%90%89%E7%94%B0%E9%81%A0%E5%BF%97%20%E3%83%A2%E3%83%8B%E3%83%A5%E3%83%A1%E3%83%B3%E3%83%88%E3%83%BB%E3%83%90%E3%83%AC%E3%83%BC%20%E6%9C%A8%E7%89%88%E7%94%BB/0/?pf=10000</t>
  </si>
  <si>
    <t>https://auctions.yahoo.co.jp/jp/auction/r1175870416</t>
  </si>
  <si>
    <t>https://auctions.yahoo.co.jp/jp/auction/l1236140065</t>
  </si>
  <si>
    <t>Kingdom Hearts 20th Anniversary Plate Collection Complete Set 16 Types Japan</t>
  </si>
  <si>
    <t>Kingdom Hearts x Samantha Thavasa 20th Round Zip Leather Long Wallet Japan</t>
  </si>
  <si>
    <t>Volks Super Dollfie Seikan Gakuryo Eric SD17 Boy Doll Full Set Japan</t>
  </si>
  <si>
    <t>Volks Dollfie Dream Sister DDS Macross F Ranka Lee Doll New Sealed Japan</t>
  </si>
  <si>
    <t>Toshi Yoshida Monument Valley Woodblock Print 1971 Framed Shin-hanga Japan</t>
  </si>
  <si>
    <t>数式</t>
    <rPh sb="0" eb="2">
      <t>スウシキ</t>
    </rPh>
    <phoneticPr fontId="1"/>
  </si>
  <si>
    <t>●</t>
  </si>
  <si>
    <t>●</t>
    <phoneticPr fontId="1"/>
  </si>
  <si>
    <t>　　　●　　　各種数字→</t>
    <phoneticPr fontId="1"/>
  </si>
  <si>
    <t>Devil May Cry Visions of Ⅴ</t>
  </si>
  <si>
    <t>Mad Max 2　The Road Warrior</t>
  </si>
  <si>
    <t>Bloodborne TORCH TORCH　カインの証</t>
  </si>
  <si>
    <t>swatch MOMA ゴッホ</t>
  </si>
  <si>
    <t>s.h.figuarts　うちはオビト</t>
  </si>
  <si>
    <t>ナルニア国物語 ワードローブ ミニチュア</t>
  </si>
  <si>
    <t>メモリアルヴィジョンドライバー</t>
  </si>
  <si>
    <t>宮本麗 フィギュア</t>
  </si>
  <si>
    <t>スタートレック・スターシップコレクション ボーグキューブ</t>
  </si>
  <si>
    <t>Roland　EDIROL　P-10</t>
  </si>
  <si>
    <t>https://jp.mercari.com/item/m24175944612</t>
  </si>
  <si>
    <t>https://jp.mercari.com/item/m64753601502</t>
  </si>
  <si>
    <t>https://paypayfleamarket.yahoo.co.jp/item/z623953652</t>
  </si>
  <si>
    <t>https://jp.mercari.com/item/m50698842813</t>
  </si>
  <si>
    <t>https://jp.mercari.com/item/m27046971593</t>
  </si>
  <si>
    <t>https://jp.mercari.com/item/m29601124354</t>
  </si>
  <si>
    <t>https://paypayfleamarket.yahoo.co.jp/item/z628302812</t>
  </si>
  <si>
    <t>https://jp.mercari.com/item/m39552034255</t>
  </si>
  <si>
    <t>https://jp.mercari.com/item/m39133500111</t>
  </si>
  <si>
    <t>https://page.auctions.yahoo.co.jp/jp/auction/u1237001539</t>
  </si>
  <si>
    <t>https://jp.mercari.com/item/m67981041003</t>
  </si>
  <si>
    <t>https://jp.mercari.com/search?keyword=AUTOart%20%E3%83%9E%E3%83%83%E3%83%89%E3%83%9E%E3%83%83%E3%82%AF%E3%82%B9%20%E3%82%A4%E3%83%B3%E3%82%BF%E3%83%BC%E3%82%BB%E3%83%97%E3%82%BF%E3%83%BC%202%E5%8F%B0&amp;price_min=10000&amp;sort=price&amp;order=asc&amp;status=on_sale</t>
  </si>
  <si>
    <t>https://fril.jp/s?query=AUTOart%20%E3%83%9E%E3%83%83%E3%83%89%E3%83%9E%E3%83%83%E3%82%AF%E3%82%B9%20%E3%82%A4%E3%83%B3%E3%82%BF%E3%83%BC%E3%82%BB%E3%83%97%E3%82%BF%E3%83%BC%202%E5%8F%B0&amp;min=10000&amp;transaction=selling</t>
  </si>
  <si>
    <t>https://search.rakuten.co.jp/search/mall/AUTOart%20%E3%83%9E%E3%83%83%E3%83%89%E3%83%9E%E3%83%83%E3%82%AF%E3%82%B9%20%E3%82%A4%E3%83%B3%E3%82%BF%E3%83%BC%E3%82%BB%E3%83%97%E3%82%BF%E3%83%BC%202%E5%8F%B0/?min=10000</t>
  </si>
  <si>
    <t>https://auctions.yahoo.co.jp/search/search?p=AUTOart%20%E3%83%9E%E3%83%83%E3%83%89%E3%83%9E%E3%83%83%E3%82%AF%E3%82%B9%20%E3%82%A4%E3%83%B3%E3%82%BF%E3%83%BC%E3%82%BB%E3%83%97%E3%82%BF%E3%83%BC%202%E5%8F%B0&amp;aucminprice=10000</t>
  </si>
  <si>
    <t>https://shopping.yahoo.co.jp/search/AUTOart%20%E3%83%9E%E3%83%83%E3%83%89%E3%83%9E%E3%83%83%E3%82%AF%E3%82%B9%20%E3%82%A4%E3%83%B3%E3%82%BF%E3%83%BC%E3%82%BB%E3%83%97%E3%82%BF%E3%83%BC%202%E5%8F%B0/0/?pf=10000</t>
  </si>
  <si>
    <t>https://jp.mercari.com/search?keyword=%E3%83%9E%E3%83%83%E3%83%89%E3%83%9E%E3%83%83%E3%82%AF%E3%82%B9%20%E3%82%A4%E3%83%B3%E3%82%BF%E3%83%BC%E3%82%BB%E3%83%97%E3%82%BF%E3%83%BC%20%E3%83%95%E3%82%A3%E3%82%AE%E3%83%A5%E3%82%A2&amp;price_min=10000&amp;sort=price&amp;order=asc&amp;status=on_sale</t>
  </si>
  <si>
    <t>https://fril.jp/s?query=%E3%83%9E%E3%83%83%E3%83%89%E3%83%9E%E3%83%83%E3%82%AF%E3%82%B9%20%E3%82%A4%E3%83%B3%E3%82%BF%E3%83%BC%E3%82%BB%E3%83%97%E3%82%BF%E3%83%BC%20%E3%83%95%E3%82%A3%E3%82%AE%E3%83%A5%E3%82%A2&amp;min=10000&amp;transaction=selling</t>
  </si>
  <si>
    <t>https://search.rakuten.co.jp/search/mall/%E3%83%9E%E3%83%83%E3%83%89%E3%83%9E%E3%83%83%E3%82%AF%E3%82%B9%20%E3%82%A4%E3%83%B3%E3%82%BF%E3%83%BC%E3%82%BB%E3%83%97%E3%82%BF%E3%83%BC%20%E3%83%95%E3%82%A3%E3%82%AE%E3%83%A5%E3%82%A2/?min=10000</t>
  </si>
  <si>
    <t>https://auctions.yahoo.co.jp/search/search?p=%E3%83%9E%E3%83%83%E3%83%89%E3%83%9E%E3%83%83%E3%82%AF%E3%82%B9%20%E3%82%A4%E3%83%B3%E3%82%BF%E3%83%BC%E3%82%BB%E3%83%97%E3%82%BF%E3%83%BC%20%E3%83%95%E3%82%A3%E3%82%AE%E3%83%A5%E3%82%A2&amp;aucminprice=10000</t>
  </si>
  <si>
    <t>https://shopping.yahoo.co.jp/search/%E3%83%9E%E3%83%83%E3%83%89%E3%83%9E%E3%83%83%E3%82%AF%E3%82%B9%20%E3%82%A4%E3%83%B3%E3%82%BF%E3%83%BC%E3%82%BB%E3%83%97%E3%82%BF%E3%83%BC%20%E3%83%95%E3%82%A3%E3%82%AE%E3%83%A5%E3%82%A2/0/?pf=10000</t>
  </si>
  <si>
    <t>https://jp.mercari.com/search?keyword=%E3%83%9E%E3%83%83%E3%83%89%E3%83%9E%E3%83%83%E3%82%AF%E3%82%B9%20%E3%83%95%E3%82%A3%E3%82%AE%E3%83%A5%E3%82%A2%20%E3%83%97%E3%83%AC%E3%83%9F%E3%82%A2%E3%83%88%E3%82%A4%E3%82%BA%201%2F6&amp;price_min=10000&amp;sort=price&amp;order=asc&amp;status=on_sale</t>
  </si>
  <si>
    <t>https://fril.jp/s?query=%E3%83%9E%E3%83%83%E3%83%89%E3%83%9E%E3%83%83%E3%82%AF%E3%82%B9%20%E3%83%95%E3%82%A3%E3%82%AE%E3%83%A5%E3%82%A2%20%E3%83%97%E3%83%AC%E3%83%9F%E3%82%A2%E3%83%88%E3%82%A4%E3%82%BA%201%2F6&amp;min=10000&amp;transaction=selling</t>
  </si>
  <si>
    <t>https://search.rakuten.co.jp/search/mall/%E3%83%9E%E3%83%83%E3%83%89%E3%83%9E%E3%83%83%E3%82%AF%E3%82%B9%20%E3%83%95%E3%82%A3%E3%82%AE%E3%83%A5%E3%82%A2%20%E3%83%97%E3%83%AC%E3%83%9F%E3%82%A2%E3%83%88%E3%82%A4%E3%82%BA%201%2F6/?min=10000</t>
  </si>
  <si>
    <t>https://auctions.yahoo.co.jp/search/search?p=%E3%83%9E%E3%83%83%E3%83%89%E3%83%9E%E3%83%83%E3%82%AF%E3%82%B9%20%E3%83%95%E3%82%A3%E3%82%AE%E3%83%A5%E3%82%A2%20%E3%83%97%E3%83%AC%E3%83%9F%E3%82%A2%E3%83%88%E3%82%A4%E3%82%BA%201%2F6&amp;aucminprice=10000</t>
  </si>
  <si>
    <t>https://shopping.yahoo.co.jp/search/%E3%83%9E%E3%83%83%E3%83%89%E3%83%9E%E3%83%83%E3%82%AF%E3%82%B9%20%E3%83%95%E3%82%A3%E3%82%AE%E3%83%A5%E3%82%A2%20%E3%83%97%E3%83%AC%E3%83%9F%E3%82%A2%E3%83%88%E3%82%A4%E3%82%BA%201%2F6/0/?pf=10000</t>
  </si>
  <si>
    <t>https://jp.mercari.com/search?keyword=Bloodborne%20T%E3%82%B7%E3%83%A3%E3%83%84%20%E3%82%AC%E3%82%B9%E3%82%B3%E3%82%A4%E3%83%B3%20TORCH%20TORCH&amp;price_min=10000&amp;sort=price&amp;order=asc&amp;status=on_sale</t>
  </si>
  <si>
    <t>https://fril.jp/s?query=Bloodborne%20T%E3%82%B7%E3%83%A3%E3%83%84%20%E3%82%AC%E3%82%B9%E3%82%B3%E3%82%A4%E3%83%B3%20TORCH%20TORCH&amp;min=10000&amp;transaction=selling</t>
  </si>
  <si>
    <t>https://search.rakuten.co.jp/search/mall/Bloodborne%20T%E3%82%B7%E3%83%A3%E3%83%84%20%E3%82%AC%E3%82%B9%E3%82%B3%E3%82%A4%E3%83%B3%20TORCH%20TORCH/?min=10000</t>
  </si>
  <si>
    <t>https://auctions.yahoo.co.jp/search/search?p=Bloodborne%20T%E3%82%B7%E3%83%A3%E3%83%84%20%E3%82%AC%E3%82%B9%E3%82%B3%E3%82%A4%E3%83%B3%20TORCH%20TORCH&amp;aucminprice=10000</t>
  </si>
  <si>
    <t>https://shopping.yahoo.co.jp/search/Bloodborne%20T%E3%82%B7%E3%83%A3%E3%83%84%20%E3%82%AC%E3%82%B9%E3%82%B3%E3%82%A4%E3%83%B3%20TORCH%20TORCH/0/?pf=10000</t>
  </si>
  <si>
    <t>https://jp.mercari.com/search?keyword=Bloodborne%20T%E3%82%B7%E3%83%A3%E3%83%84%20%E3%83%9F%E3%82%B3%E3%83%A9%E3%83%BC%E3%82%B7%E3%83%A5%20TORCH%20TORCH&amp;price_min=10000&amp;sort=price&amp;order=asc&amp;status=on_sale</t>
  </si>
  <si>
    <t>https://fril.jp/s?query=Bloodborne%20T%E3%82%B7%E3%83%A3%E3%83%84%20%E3%83%9F%E3%82%B3%E3%83%A9%E3%83%BC%E3%82%B7%E3%83%A5%20TORCH%20TORCH&amp;min=10000&amp;transaction=selling</t>
  </si>
  <si>
    <t>https://search.rakuten.co.jp/search/mall/Bloodborne%20T%E3%82%B7%E3%83%A3%E3%83%84%20%E3%83%9F%E3%82%B3%E3%83%A9%E3%83%BC%E3%82%B7%E3%83%A5%20TORCH%20TORCH/?min=10000</t>
  </si>
  <si>
    <t>https://auctions.yahoo.co.jp/search/search?p=Bloodborne%20T%E3%82%B7%E3%83%A3%E3%83%84%20%E3%83%9F%E3%82%B3%E3%83%A9%E3%83%BC%E3%82%B7%E3%83%A5%20TORCH%20TORCH&amp;aucminprice=10000</t>
  </si>
  <si>
    <t>https://shopping.yahoo.co.jp/search/Bloodborne%20T%E3%82%B7%E3%83%A3%E3%83%84%20%E3%83%9F%E3%82%B3%E3%83%A9%E3%83%BC%E3%82%B7%E3%83%A5%20TORCH%20TORCH/0/?pf=10000</t>
  </si>
  <si>
    <t>https://jp.mercari.com/search?keyword=swatch%20MoMA%20%E6%A8%AA%E5%B0%BE%E5%BF%A0%E5%89%87%20SUOZ334&amp;price_min=10000&amp;sort=price&amp;order=asc&amp;status=on_sale</t>
  </si>
  <si>
    <t>https://fril.jp/s?query=swatch%20MoMA%20%E6%A8%AA%E5%B0%BE%E5%BF%A0%E5%89%87%20SUOZ334&amp;min=10000&amp;transaction=selling</t>
  </si>
  <si>
    <t>https://search.rakuten.co.jp/search/mall/swatch%20MoMA%20%E6%A8%AA%E5%B0%BE%E5%BF%A0%E5%89%87%20SUOZ334/?min=10000</t>
  </si>
  <si>
    <t>https://auctions.yahoo.co.jp/search/search?p=swatch%20MoMA%20%E6%A8%AA%E5%B0%BE%E5%BF%A0%E5%89%87%20SUOZ334&amp;aucminprice=10000</t>
  </si>
  <si>
    <t>https://shopping.yahoo.co.jp/search/swatch%20MoMA%20%E6%A8%AA%E5%B0%BE%E5%BF%A0%E5%89%87%20SUOZ334/0/?pf=10000</t>
  </si>
  <si>
    <t>https://jp.mercari.com/search?keyword=%E3%83%8A%E3%83%AB%E3%83%8B%E3%82%A2%E5%9B%BD%E7%89%A9%E8%AA%9E%20%E3%83%9F%E3%83%8B%E3%83%81%E3%83%A5%E3%82%A2%E3%83%9C%E3%83%83%E3%82%AF%E3%82%B9%20%E6%AD%A6%E5%99%A8&amp;price_min=10000&amp;sort=price&amp;order=asc&amp;status=on_sale</t>
  </si>
  <si>
    <t>https://fril.jp/s?query=%E3%83%8A%E3%83%AB%E3%83%8B%E3%82%A2%E5%9B%BD%E7%89%A9%E8%AA%9E%20%E3%83%9F%E3%83%8B%E3%83%81%E3%83%A5%E3%82%A2%E3%83%9C%E3%83%83%E3%82%AF%E3%82%B9%20%E6%AD%A6%E5%99%A8&amp;min=10000&amp;transaction=selling</t>
  </si>
  <si>
    <t>https://search.rakuten.co.jp/search/mall/%E3%83%8A%E3%83%AB%E3%83%8B%E3%82%A2%E5%9B%BD%E7%89%A9%E8%AA%9E%20%E3%83%9F%E3%83%8B%E3%83%81%E3%83%A5%E3%82%A2%E3%83%9C%E3%83%83%E3%82%AF%E3%82%B9%20%E6%AD%A6%E5%99%A8/?min=10000</t>
  </si>
  <si>
    <t>https://auctions.yahoo.co.jp/search/search?p=%E3%83%8A%E3%83%AB%E3%83%8B%E3%82%A2%E5%9B%BD%E7%89%A9%E8%AA%9E%20%E3%83%9F%E3%83%8B%E3%83%81%E3%83%A5%E3%82%A2%E3%83%9C%E3%83%83%E3%82%AF%E3%82%B9%20%E6%AD%A6%E5%99%A8&amp;aucminprice=10000</t>
  </si>
  <si>
    <t>https://shopping.yahoo.co.jp/search/%E3%83%8A%E3%83%AB%E3%83%8B%E3%82%A2%E5%9B%BD%E7%89%A9%E8%AA%9E%20%E3%83%9F%E3%83%8B%E3%83%81%E3%83%A5%E3%82%A2%E3%83%9C%E3%83%83%E3%82%AF%E3%82%B9%20%E6%AD%A6%E5%99%A8/0/?pf=10000</t>
  </si>
  <si>
    <t>https://jp.mercari.com/search?keyword=%E3%83%8A%E3%83%AB%E3%83%8B%E3%82%A2%E5%9B%BD%E7%89%A9%E8%AA%9E%20%E3%82%B8%E3%82%AA%E3%83%A9%E3%83%9E%20%E3%83%96%E3%83%83%E3%82%AF%E3%82%A8%E3%83%B3%E3%83%89%20%E8%A1%97%E7%81%AF&amp;price_min=10000&amp;sort=price&amp;order=asc&amp;status=on_sale</t>
  </si>
  <si>
    <t>https://fril.jp/s?query=%E3%83%8A%E3%83%AB%E3%83%8B%E3%82%A2%E5%9B%BD%E7%89%A9%E8%AA%9E%20%E3%82%B8%E3%82%AA%E3%83%A9%E3%83%9E%20%E3%83%96%E3%83%83%E3%82%AF%E3%82%A8%E3%83%B3%E3%83%89%20%E8%A1%97%E7%81%AF&amp;min=10000&amp;transaction=selling</t>
  </si>
  <si>
    <t>https://search.rakuten.co.jp/search/mall/%E3%83%8A%E3%83%AB%E3%83%8B%E3%82%A2%E5%9B%BD%E7%89%A9%E8%AA%9E%20%E3%82%B8%E3%82%AA%E3%83%A9%E3%83%9E%20%E3%83%96%E3%83%83%E3%82%AF%E3%82%A8%E3%83%B3%E3%83%89%20%E8%A1%97%E7%81%AF/?min=10000</t>
  </si>
  <si>
    <t>https://auctions.yahoo.co.jp/search/search?p=%E3%83%8A%E3%83%AB%E3%83%8B%E3%82%A2%E5%9B%BD%E7%89%A9%E8%AA%9E%20%E3%82%B8%E3%82%AA%E3%83%A9%E3%83%9E%20%E3%83%96%E3%83%83%E3%82%AF%E3%82%A8%E3%83%B3%E3%83%89%20%E8%A1%97%E7%81%AF&amp;aucminprice=10000</t>
  </si>
  <si>
    <t>https://shopping.yahoo.co.jp/search/%E3%83%8A%E3%83%AB%E3%83%8B%E3%82%A2%E5%9B%BD%E7%89%A9%E8%AA%9E%20%E3%82%B8%E3%82%AA%E3%83%A9%E3%83%9E%20%E3%83%96%E3%83%83%E3%82%AF%E3%82%A8%E3%83%B3%E3%83%89%20%E8%A1%97%E7%81%AF/0/?pf=10000</t>
  </si>
  <si>
    <t>https://jp.mercari.com/search?keyword=%E3%83%90%E3%83%B3%E3%83%80%E3%82%A4%20PREMIUM%20DX%20%E3%83%A1%E3%83%A2%E3%83%AA%E3%82%A2%E3%83%AB%E3%82%B8%E3%83%AA%E3%82%AA%E3%83%B3%E3%83%89%E3%83%A9%E3%82%A4%E3%83%90%E3%83%BC&amp;price_min=10000&amp;sort=price&amp;order=asc&amp;status=on_sale</t>
  </si>
  <si>
    <t>https://fril.jp/s?query=%E3%83%90%E3%83%B3%E3%83%80%E3%82%A4%20PREMIUM%20DX%20%E3%83%A1%E3%83%A2%E3%83%AA%E3%82%A2%E3%83%AB%E3%82%B8%E3%83%AA%E3%82%AA%E3%83%B3%E3%83%89%E3%83%A9%E3%82%A4%E3%83%90%E3%83%BC&amp;min=10000&amp;transaction=selling</t>
  </si>
  <si>
    <t>https://search.rakuten.co.jp/search/mall/%E3%83%90%E3%83%B3%E3%83%80%E3%82%A4%20PREMIUM%20DX%20%E3%83%A1%E3%83%A2%E3%83%AA%E3%82%A2%E3%83%AB%E3%82%B8%E3%83%AA%E3%82%AA%E3%83%B3%E3%83%89%E3%83%A9%E3%82%A4%E3%83%90%E3%83%BC/?min=10000</t>
  </si>
  <si>
    <t>https://auctions.yahoo.co.jp/search/search?p=%E3%83%90%E3%83%B3%E3%83%80%E3%82%A4%20PREMIUM%20DX%20%E3%83%A1%E3%83%A2%E3%83%AA%E3%82%A2%E3%83%AB%E3%82%B8%E3%83%AA%E3%82%AA%E3%83%B3%E3%83%89%E3%83%A9%E3%82%A4%E3%83%90%E3%83%BC&amp;aucminprice=10000</t>
  </si>
  <si>
    <t>https://shopping.yahoo.co.jp/search/%E3%83%90%E3%83%B3%E3%83%80%E3%82%A4%20PREMIUM%20DX%20%E3%83%A1%E3%83%A2%E3%83%AA%E3%82%A2%E3%83%AB%E3%82%B8%E3%83%AA%E3%82%AA%E3%83%B3%E3%83%89%E3%83%A9%E3%82%A4%E3%83%90%E3%83%BC/0/?pf=10000</t>
  </si>
  <si>
    <t>https://jp.mercari.com/search?keyword=Roland%20PG-800&amp;price_min=10000&amp;sort=price&amp;order=asc&amp;status=on_sale</t>
  </si>
  <si>
    <t>https://fril.jp/s?query=Roland%20PG-800&amp;min=10000&amp;transaction=selling</t>
  </si>
  <si>
    <t>https://search.rakuten.co.jp/search/mall/Roland%20PG-800/?min=10000</t>
  </si>
  <si>
    <t>https://auctions.yahoo.co.jp/search/search?p=Roland%20PG-800&amp;aucminprice=10000</t>
  </si>
  <si>
    <t>https://shopping.yahoo.co.jp/search/Roland%20PG-800/0/?pf=10000</t>
  </si>
  <si>
    <t>https://jp.mercari.com/search?keyword=Swatch%20Royal%20Pop%20%E3%82%AA%E3%83%BC%E3%83%87%E3%83%9E%E3%83%94%E3%82%B2&amp;price_min=10000&amp;sort=price&amp;order=asc&amp;status=on_sale</t>
  </si>
  <si>
    <t>https://fril.jp/s?query=Swatch%20Royal%20Pop%20%E3%82%AA%E3%83%BC%E3%83%87%E3%83%9E%E3%83%94%E3%82%B2&amp;min=10000&amp;transaction=selling</t>
  </si>
  <si>
    <t>https://search.rakuten.co.jp/search/mall/Swatch%20Royal%20Pop%20%E3%82%AA%E3%83%BC%E3%83%87%E3%83%9E%E3%83%94%E3%82%B2/?min=10000</t>
  </si>
  <si>
    <t>https://auctions.yahoo.co.jp/search/search?p=Swatch%20Royal%20Pop%20%E3%82%AA%E3%83%BC%E3%83%87%E3%83%9E%E3%83%94%E3%82%B2&amp;aucminprice=10000</t>
  </si>
  <si>
    <t>https://shopping.yahoo.co.jp/search/Swatch%20Royal%20Pop%20%E3%82%AA%E3%83%BC%E3%83%87%E3%83%9E%E3%83%94%E3%82%B2/0/?pf=10000</t>
  </si>
  <si>
    <t>https://jp.mercari.com/item/m35594640581</t>
  </si>
  <si>
    <t>https://jp.mercari.com/item/m92887806542</t>
  </si>
  <si>
    <t>https://jp.mercari.com/item/m89165612254</t>
  </si>
  <si>
    <t>https://auctions.yahoo.co.jp/jp/auction/r1236372915</t>
  </si>
  <si>
    <t>Aoshima 1/24 Mad Max 2 The Road Warrior Interceptor Model Kit Supercharger Japan</t>
  </si>
  <si>
    <t>Mad Max Interceptor Mel Gibson 1/6 Figure Premium Toys Westland Rare Japan</t>
  </si>
  <si>
    <t>Bloodborne T-Shirt Father Gascoigne TORCH TORCH Size WM Heather Grey New Japan</t>
  </si>
  <si>
    <t>Bloodborne T-Shirt Micolash Host of Nightmare TORCH TORCH Size WM Black Japan</t>
  </si>
  <si>
    <t>Swatch MoMA Tadanori Yokoo SUOZ334 The City and Design Art Wrist Watch Japan</t>
  </si>
  <si>
    <t>Swatch Royal Pop Pink Vintage Pop Swatch Wrist Watch Rare Collectible Japan</t>
  </si>
  <si>
    <t>Chronicles of Narnia Lion Witch Wardrobe Miniature Weapons Box Wall Art Japan</t>
  </si>
  <si>
    <t>Narnia Lion Witch Wardrobe Diorama Bookend Statue Set Lamppost Beavers Light-Up</t>
  </si>
  <si>
    <t>Kamen Rider Geats DX Memorial Vision Driver &amp; High Spec Belt Set Bandai Sealed</t>
  </si>
  <si>
    <t>Roland PG-800 Programmer for JX-8P JX-10 MKS-70 GR-77B Synth with DIN Cable</t>
  </si>
  <si>
    <t>Music Instrument</t>
  </si>
  <si>
    <t>AUTOart マッドマックス インターセプター 2台セット ウェザリング</t>
  </si>
  <si>
    <t>https://www.ebay.com/sch/i.html?_nkw=AUTOart%20Mad%20Max%20Interceptor&amp;_sacat=0&amp;_from=R40&amp;_sop=15&amp;rt=nc&amp;_udlo=20000</t>
  </si>
  <si>
    <t>アオシマ 1/24 マッドマックス2 インターセプター フィギュア</t>
  </si>
  <si>
    <t>https://www.ebay.com/sch/i.html?_nkw=Aoshima%20Mad%20Max%20Interceptor&amp;_sacat=0&amp;_from=R40&amp;_sop=15&amp;rt=nc&amp;_udlo=20000</t>
  </si>
  <si>
    <t>マッドマックス メルギブソン 1/6 フィギュア プレミアトイズ</t>
  </si>
  <si>
    <t>https://www.ebay.com/sch/i.html?_nkw=Mad%20Max%20Mel%20Gibson%20Figure&amp;_sacat=0&amp;_from=R40&amp;_sop=15&amp;rt=nc&amp;_udlo=20000</t>
  </si>
  <si>
    <t>Bloodborne Tシャツ ガスコイン神父 TORCH TORCH</t>
  </si>
  <si>
    <t>https://www.ebay.com/sch/i.html?_nkw=Bloodborne%20T-Shirt%20Gascoigne&amp;_sacat=0&amp;_from=R40&amp;_sop=15&amp;rt=nc&amp;_udlo=20000</t>
  </si>
  <si>
    <t>Bloodborne Tシャツ ミコラーシュ TORCH TORCH</t>
  </si>
  <si>
    <t>https://www.ebay.com/sch/i.html?_nkw=Bloodborne%20T-Shirt%20Micolash&amp;_sacat=0&amp;_from=R40&amp;_sop=15&amp;rt=nc&amp;_udlo=20000</t>
  </si>
  <si>
    <t>swatch MoMA 横尾忠則 SUOZ334 腕時計</t>
  </si>
  <si>
    <t>https://www.ebay.com/sch/i.html?_nkw=Swatch%20MoMA%20Yokoo%20SUOZ334&amp;_sacat=0&amp;_from=R40&amp;_sop=15&amp;rt=nc&amp;_udlo=20000</t>
  </si>
  <si>
    <t>Swatch ロイヤルポップ ピンク ヴィンテージ腕時計</t>
  </si>
  <si>
    <t>https://www.ebay.com/sch/i.html?_nkw=Swatch%20Royal%20Pop&amp;_sacat=0&amp;_from=R40&amp;_sop=15&amp;rt=nc&amp;_udlo=20000</t>
  </si>
  <si>
    <t>ナルニア国物語 ミニチュアボックス 武器 ウォールアート</t>
  </si>
  <si>
    <t>https://www.ebay.com/sch/i.html?_nkw=Narnia%20Miniature%20Weapons&amp;_sacat=0&amp;_from=R40&amp;_sop=15&amp;rt=nc&amp;_udlo=20000</t>
  </si>
  <si>
    <t>ナルニア国物語 ジオラマ ブックエンド 街灯&amp;ビーバー 2点</t>
  </si>
  <si>
    <t>https://www.ebay.com/sch/i.html?_nkw=Narnia%20Diorama%20Bookend&amp;_sacat=0&amp;_from=R40&amp;_sop=15&amp;rt=nc&amp;_udlo=20000</t>
  </si>
  <si>
    <t>仮面ライダーギーツ DXメモリアルヴィジョンドライバー&amp;ベルト帯セット</t>
  </si>
  <si>
    <t>https://www.ebay.com/sch/i.html?_nkw=Kamen%20Rider%20Geats%20Vision%20Driver&amp;_sacat=0&amp;_from=R40&amp;_sop=15&amp;rt=nc&amp;_udlo=20000</t>
  </si>
  <si>
    <t>Roland PG-800 プログラマー JX-8P/JX-10/MKS-70用</t>
  </si>
  <si>
    <t>https://www.ebay.com/sch/i.html?_nkw=Roland%20PG-800&amp;_sacat=0&amp;_from=R40&amp;_sop=15&amp;rt=nc&amp;_udlo=20000</t>
  </si>
  <si>
    <t>AUTOart 1/43 Mad Max 2 Interceptor &amp; Enemy Car Weathering Diecast Set Limited</t>
  </si>
  <si>
    <t>ポケモントランプ　Part2 銀</t>
  </si>
  <si>
    <t>魔女の宅急便 B2　ポスター　劇場</t>
  </si>
  <si>
    <t>RGB ソルスタンド</t>
  </si>
  <si>
    <t>ジブリパーク マグネット</t>
  </si>
  <si>
    <t>ARTFX J　緑谷出久 黒デク</t>
  </si>
  <si>
    <t>通常ぬいぐるみ　アグネスタキオン　ウマ娘</t>
  </si>
  <si>
    <t>スーパーファミコン　ファイアーエムブレム トラキア776</t>
  </si>
  <si>
    <t>弥海砂　フィギュア　RED</t>
  </si>
  <si>
    <t>https://jp.mercari.com/item/m90466462651</t>
  </si>
  <si>
    <t>https://page.auctions.yahoo.co.jp/jp/auction/h1227562797</t>
  </si>
  <si>
    <t>https://page.auctions.yahoo.co.jp/jp/auction/m1236970434</t>
  </si>
  <si>
    <t>https://jp.mercari.com/item/m30295800802</t>
  </si>
  <si>
    <t>https://page.auctions.yahoo.co.jp/jp/auction/s1091867531</t>
  </si>
  <si>
    <t>https://jp.mercari.com/item/m41727262239</t>
  </si>
  <si>
    <t>https://www.ebay.com/sch/i.html?_nkw=Pokemon%20Trump%20Part%202%20Gold&amp;_sacat=0&amp;_from=R40&amp;_sop=15&amp;rt=nc&amp;_udlo=20000</t>
  </si>
  <si>
    <t>https://jp.mercari.com/search?keyword=%E3%83%9D%E3%82%B1%E3%83%A2%E3%83%B3%E3%83%88%E3%83%A9%E3%83%B3%E3%83%97%20%E9%87%91%20Part2&amp;price_min=10000&amp;sort=price&amp;order=asc&amp;status=on_sale</t>
  </si>
  <si>
    <t>https://fril.jp/s?query=%E3%83%9D%E3%82%B1%E3%83%A2%E3%83%B3%E3%83%88%E3%83%A9%E3%83%B3%E3%83%97%20%E9%87%91%20Part2&amp;min=10000&amp;transaction=selling</t>
  </si>
  <si>
    <t>https://search.rakuten.co.jp/search/mall/%E3%83%9D%E3%82%B1%E3%83%A2%E3%83%B3%E3%83%88%E3%83%A9%E3%83%B3%E3%83%97%20%E9%87%91%20Part2/?min=10000</t>
  </si>
  <si>
    <t>https://auctions.yahoo.co.jp/search/search?p=%E3%83%9D%E3%82%B1%E3%83%A2%E3%83%B3%E3%83%88%E3%83%A9%E3%83%B3%E3%83%97%20%E9%87%91%20Part2&amp;aucminprice=10000</t>
  </si>
  <si>
    <t>https://shopping.yahoo.co.jp/search/%E3%83%9D%E3%82%B1%E3%83%A2%E3%83%B3%E3%83%88%E3%83%A9%E3%83%B3%E3%83%97%20%E9%87%91%20Part2/0/?pf=10000</t>
  </si>
  <si>
    <t>https://www.ebay.com/sch/i.html?_nkw=One%20Piece%20Carddass%20Luffy%20C565&amp;_sacat=0&amp;_from=R40&amp;_sop=15&amp;rt=nc&amp;_udlo=20000</t>
  </si>
  <si>
    <t>https://jp.mercari.com/search?keyword=%E3%83%AF%E3%83%B3%E3%83%94%E3%83%BC%E3%82%B9%20%E3%82%AB%E3%83%BC%E3%83%89%E3%83%80%E3%82%B9%20%E3%83%AB%E3%83%95%E3%82%A3%20C565&amp;price_min=10000&amp;sort=price&amp;order=asc&amp;status=on_sale</t>
  </si>
  <si>
    <t>https://fril.jp/s?query=%E3%83%AF%E3%83%B3%E3%83%94%E3%83%BC%E3%82%B9%20%E3%82%AB%E3%83%BC%E3%83%89%E3%83%80%E3%82%B9%20%E3%83%AB%E3%83%95%E3%82%A3%20C565&amp;min=10000&amp;transaction=selling</t>
  </si>
  <si>
    <t>https://search.rakuten.co.jp/search/mall/%E3%83%AF%E3%83%B3%E3%83%94%E3%83%BC%E3%82%B9%20%E3%82%AB%E3%83%BC%E3%83%89%E3%83%80%E3%82%B9%20%E3%83%AB%E3%83%95%E3%82%A3%20C565/?min=10000</t>
  </si>
  <si>
    <t>https://auctions.yahoo.co.jp/search/search?p=%E3%83%AF%E3%83%B3%E3%83%94%E3%83%BC%E3%82%B9%20%E3%82%AB%E3%83%BC%E3%83%89%E3%83%80%E3%82%B9%20%E3%83%AB%E3%83%95%E3%82%A3%20C565&amp;aucminprice=10000</t>
  </si>
  <si>
    <t>https://shopping.yahoo.co.jp/search/%E3%83%AF%E3%83%B3%E3%83%94%E3%83%BC%E3%82%B9%20%E3%82%AB%E3%83%BC%E3%83%89%E3%83%80%E3%82%B9%20%E3%83%AB%E3%83%95%E3%82%A3%20C565/0/?pf=10000</t>
  </si>
  <si>
    <t>https://jp.mercari.com/search?keyword=%E3%83%AF%E3%83%B3%E3%83%94%E3%83%BC%E3%82%B9%20%E3%82%AB%E3%83%BC%E3%83%89%E3%83%80%E3%82%B9%20%E9%BA%A6%E3%82%8F%E3%82%89&amp;price_min=10000&amp;sort=price&amp;order=asc&amp;status=on_sale</t>
  </si>
  <si>
    <t>https://fril.jp/s?query=%E3%83%AF%E3%83%B3%E3%83%94%E3%83%BC%E3%82%B9%20%E3%82%AB%E3%83%BC%E3%83%89%E3%83%80%E3%82%B9%20%E9%BA%A6%E3%82%8F%E3%82%89&amp;min=10000&amp;transaction=selling</t>
  </si>
  <si>
    <t>https://search.rakuten.co.jp/search/mall/%E3%83%AF%E3%83%B3%E3%83%94%E3%83%BC%E3%82%B9%20%E3%82%AB%E3%83%BC%E3%83%89%E3%83%80%E3%82%B9%20%E9%BA%A6%E3%82%8F%E3%82%89/?min=10000</t>
  </si>
  <si>
    <t>https://auctions.yahoo.co.jp/search/search?p=%E3%83%AF%E3%83%B3%E3%83%94%E3%83%BC%E3%82%B9%20%E3%82%AB%E3%83%BC%E3%83%89%E3%83%80%E3%82%B9%20%E9%BA%A6%E3%82%8F%E3%82%89&amp;aucminprice=10000</t>
  </si>
  <si>
    <t>https://shopping.yahoo.co.jp/search/%E3%83%AF%E3%83%B3%E3%83%94%E3%83%BC%E3%82%B9%20%E3%82%AB%E3%83%BC%E3%83%89%E3%83%80%E3%82%B9%20%E9%BA%A6%E3%82%8F%E3%82%89/0/?pf=10000</t>
  </si>
  <si>
    <t>https://jp.mercari.com/search?keyword=%E9%AD%94%E5%A5%B3%E3%81%AE%E5%AE%85%E6%80%A5%E4%BE%BF%20%E3%82%B5%E3%83%B3%E3%83%88%E3%83%A9&amp;price_min=10000&amp;sort=price&amp;order=asc&amp;status=on_sale</t>
  </si>
  <si>
    <t>https://fril.jp/s?query=%E9%AD%94%E5%A5%B3%E3%81%AE%E5%AE%85%E6%80%A5%E4%BE%BF%20%E3%82%B5%E3%83%B3%E3%83%88%E3%83%A9&amp;min=10000&amp;transaction=selling</t>
  </si>
  <si>
    <t>https://search.rakuten.co.jp/search/mall/%E9%AD%94%E5%A5%B3%E3%81%AE%E5%AE%85%E6%80%A5%E4%BE%BF%20%E3%82%B5%E3%83%B3%E3%83%88%E3%83%A9/?min=10000</t>
  </si>
  <si>
    <t>https://auctions.yahoo.co.jp/search/search?p=%E9%AD%94%E5%A5%B3%E3%81%AE%E5%AE%85%E6%80%A5%E4%BE%BF%20%E3%82%B5%E3%83%B3%E3%83%88%E3%83%A9&amp;aucminprice=10000</t>
  </si>
  <si>
    <t>https://shopping.yahoo.co.jp/search/%E9%AD%94%E5%A5%B3%E3%81%AE%E5%AE%85%E6%80%A5%E4%BE%BF%20%E3%82%B5%E3%83%B3%E3%83%88%E3%83%A9/0/?pf=10000</t>
  </si>
  <si>
    <t>https://www.ebay.com/sch/i.html?_nkw=Ghibli%20Park%20Food%20Magnet%20Set&amp;_sacat=0&amp;_from=R40&amp;_sop=15&amp;rt=nc&amp;_udlo=20000</t>
  </si>
  <si>
    <t>https://jp.mercari.com/search?keyword=%E3%82%B8%E3%83%96%E3%83%AA%E3%83%91%E3%83%BC%E3%82%AF%20%E9%A3%9F%E3%81%B9%E7%89%A9%20%E3%83%9E%E3%82%B0%E3%83%8D%E3%83%83%E3%83%88%206%E7%A8%AE%20%E3%82%BB%E3%83%83%E3%83%88&amp;price_min=10000&amp;sort=price&amp;order=asc&amp;status=on_sale</t>
  </si>
  <si>
    <t>https://fril.jp/s?query=%E3%82%B8%E3%83%96%E3%83%AA%E3%83%91%E3%83%BC%E3%82%AF%20%E9%A3%9F%E3%81%B9%E7%89%A9%20%E3%83%9E%E3%82%B0%E3%83%8D%E3%83%83%E3%83%88%206%E7%A8%AE%20%E3%82%BB%E3%83%83%E3%83%88&amp;min=10000&amp;transaction=selling</t>
  </si>
  <si>
    <t>https://search.rakuten.co.jp/search/mall/%E3%82%B8%E3%83%96%E3%83%AA%E3%83%91%E3%83%BC%E3%82%AF%20%E9%A3%9F%E3%81%B9%E7%89%A9%20%E3%83%9E%E3%82%B0%E3%83%8D%E3%83%83%E3%83%88%206%E7%A8%AE%20%E3%82%BB%E3%83%83%E3%83%88/?min=10000</t>
  </si>
  <si>
    <t>https://auctions.yahoo.co.jp/search/search?p=%E3%82%B8%E3%83%96%E3%83%AA%E3%83%91%E3%83%BC%E3%82%AF%20%E9%A3%9F%E3%81%B9%E7%89%A9%20%E3%83%9E%E3%82%B0%E3%83%8D%E3%83%83%E3%83%88%206%E7%A8%AE%20%E3%82%BB%E3%83%83%E3%83%88&amp;aucminprice=10000</t>
  </si>
  <si>
    <t>https://shopping.yahoo.co.jp/search/%E3%82%B8%E3%83%96%E3%83%AA%E3%83%91%E3%83%BC%E3%82%AF%20%E9%A3%9F%E3%81%B9%E7%89%A9%20%E3%83%9E%E3%82%B0%E3%83%8D%E3%83%83%E3%83%88%206%E7%A8%AE%20%E3%82%BB%E3%83%83%E3%83%88/0/?pf=10000</t>
  </si>
  <si>
    <t>https://jp.mercari.com/search?keyword=%E3%82%B8%E3%83%96%E3%83%AA%E3%83%91%E3%83%BC%E3%82%AF%20%E3%83%96%E3%83%AD%E3%83%BC%E3%83%81%20%E3%82%BB%E3%83%83%E3%83%88&amp;price_min=10000&amp;sort=price&amp;order=asc&amp;status=on_sale</t>
  </si>
  <si>
    <t>https://fril.jp/s?query=%E3%82%B8%E3%83%96%E3%83%AA%E3%83%91%E3%83%BC%E3%82%AF%20%E3%83%96%E3%83%AD%E3%83%BC%E3%83%81%20%E3%82%BB%E3%83%83%E3%83%88&amp;min=10000&amp;transaction=selling</t>
  </si>
  <si>
    <t>https://search.rakuten.co.jp/search/mall/%E3%82%B8%E3%83%96%E3%83%AA%E3%83%91%E3%83%BC%E3%82%AF%20%E3%83%96%E3%83%AD%E3%83%BC%E3%83%81%20%E3%82%BB%E3%83%83%E3%83%88/?min=10000</t>
  </si>
  <si>
    <t>https://auctions.yahoo.co.jp/search/search?p=%E3%82%B8%E3%83%96%E3%83%AA%E3%83%91%E3%83%BC%E3%82%AF%20%E3%83%96%E3%83%AD%E3%83%BC%E3%83%81%20%E3%82%BB%E3%83%83%E3%83%88&amp;aucminprice=10000</t>
  </si>
  <si>
    <t>https://shopping.yahoo.co.jp/search/%E3%82%B8%E3%83%96%E3%83%AA%E3%83%91%E3%83%BC%E3%82%AF%20%E3%83%96%E3%83%AD%E3%83%BC%E3%83%81%20%E3%82%BB%E3%83%83%E3%83%88/0/?pf=10000</t>
  </si>
  <si>
    <t>https://www.ebay.com/sch/i.html?_nkw=Star%20Trek%20Enterprise%20NCC-1701-D%20Tsukuda&amp;_sacat=0&amp;_from=R40&amp;_sop=15&amp;rt=nc&amp;_udlo=20000</t>
  </si>
  <si>
    <t>https://jp.mercari.com/search?keyword=%E3%82%B9%E3%82%BF%E3%83%BC%E3%83%88%E3%83%AC%E3%83%83%E3%82%AF%20%E3%82%A8%E3%83%B3%E3%82%BF%E3%83%BC%E3%83%97%E3%83%A9%E3%82%A4%E3%82%BA%20NCC-1701D%20%E3%83%84%E3%82%AF%E3%83%80&amp;price_min=10000&amp;sort=price&amp;order=asc&amp;status=on_sale</t>
  </si>
  <si>
    <t>https://fril.jp/s?query=%E3%82%B9%E3%82%BF%E3%83%BC%E3%83%88%E3%83%AC%E3%83%83%E3%82%AF%20%E3%82%A8%E3%83%B3%E3%82%BF%E3%83%BC%E3%83%97%E3%83%A9%E3%82%A4%E3%82%BA%20NCC-1701D%20%E3%83%84%E3%82%AF%E3%83%80&amp;min=10000&amp;transaction=selling</t>
  </si>
  <si>
    <t>https://search.rakuten.co.jp/search/mall/%E3%82%B9%E3%82%BF%E3%83%BC%E3%83%88%E3%83%AC%E3%83%83%E3%82%AF%20%E3%82%A8%E3%83%B3%E3%82%BF%E3%83%BC%E3%83%97%E3%83%A9%E3%82%A4%E3%82%BA%20NCC-1701D%20%E3%83%84%E3%82%AF%E3%83%80/?min=10000</t>
  </si>
  <si>
    <t>https://auctions.yahoo.co.jp/search/search?p=%E3%82%B9%E3%82%BF%E3%83%BC%E3%83%88%E3%83%AC%E3%83%83%E3%82%AF%20%E3%82%A8%E3%83%B3%E3%82%BF%E3%83%BC%E3%83%97%E3%83%A9%E3%82%A4%E3%82%BA%20NCC-1701D%20%E3%83%84%E3%82%AF%E3%83%80&amp;aucminprice=10000</t>
  </si>
  <si>
    <t>https://shopping.yahoo.co.jp/search/%E3%82%B9%E3%82%BF%E3%83%BC%E3%83%88%E3%83%AC%E3%83%83%E3%82%AF%20%E3%82%A8%E3%83%B3%E3%82%BF%E3%83%BC%E3%83%97%E3%83%A9%E3%82%A4%E3%82%BA%20NCC-1701D%20%E3%83%84%E3%82%AF%E3%83%80/0/?pf=10000</t>
  </si>
  <si>
    <t>https://jp.mercari.com/search?keyword=%E3%83%87%E3%82%B9%E3%83%8E%E3%83%BC%E3%83%88%20%E5%BC%A5%E6%B5%B7%E7%A0%82%20%E3%83%9B%E3%83%AF%E3%82%A4%E3%83%88%20%E3%83%95%E3%82%A3%E3%82%AE%E3%83%A5%E3%82%A2&amp;price_min=10000&amp;sort=price&amp;order=asc&amp;status=on_sale</t>
  </si>
  <si>
    <t>https://fril.jp/s?query=%E3%83%87%E3%82%B9%E3%83%8E%E3%83%BC%E3%83%88%20%E5%BC%A5%E6%B5%B7%E7%A0%82%20%E3%83%9B%E3%83%AF%E3%82%A4%E3%83%88%20%E3%83%95%E3%82%A3%E3%82%AE%E3%83%A5%E3%82%A2&amp;min=10000&amp;transaction=selling</t>
  </si>
  <si>
    <t>https://search.rakuten.co.jp/search/mall/%E3%83%87%E3%82%B9%E3%83%8E%E3%83%BC%E3%83%88%20%E5%BC%A5%E6%B5%B7%E7%A0%82%20%E3%83%9B%E3%83%AF%E3%82%A4%E3%83%88%20%E3%83%95%E3%82%A3%E3%82%AE%E3%83%A5%E3%82%A2/?min=10000</t>
  </si>
  <si>
    <t>https://auctions.yahoo.co.jp/search/search?p=%E3%83%87%E3%82%B9%E3%83%8E%E3%83%BC%E3%83%88%20%E5%BC%A5%E6%B5%B7%E7%A0%82%20%E3%83%9B%E3%83%AF%E3%82%A4%E3%83%88%20%E3%83%95%E3%82%A3%E3%82%AE%E3%83%A5%E3%82%A2&amp;aucminprice=10000</t>
  </si>
  <si>
    <t>https://shopping.yahoo.co.jp/search/%E3%83%87%E3%82%B9%E3%83%8E%E3%83%BC%E3%83%88%20%E5%BC%A5%E6%B5%B7%E7%A0%82%20%E3%83%9B%E3%83%AF%E3%82%A4%E3%83%88%20%E3%83%95%E3%82%A3%E3%82%AE%E3%83%A5%E3%82%A2/0/?pf=10000</t>
  </si>
  <si>
    <t>https://jp.mercari.com/item/m58362558513</t>
  </si>
  <si>
    <t>https://jp.mercari.com/item/m46259035317</t>
  </si>
  <si>
    <t>Nintendo Pokemon Trump Playing Cards Part 2 Gold Complete with Box 2000 Japan</t>
  </si>
  <si>
    <t>One Piece Carddass Hyper Battle Luffy C565 Graded 10 Gem Mint Japan</t>
  </si>
  <si>
    <t>One Piece Carddass Phantom Thief Luffy No 98 Straw Hat Voyage Card Japan</t>
  </si>
  <si>
    <t>Kiki Delivery Service Soundtrack LP Vinyl Record Joe Hisaishi 1989 Ghibli Japan</t>
  </si>
  <si>
    <t>Studio Ghibli Park Limited Food Magnet 6 Types Set Renewal New Sealed Japan</t>
  </si>
  <si>
    <t>Studio Ghibli Grand Warehouse Limited Ceramic Brooch Complete Set of 4 Japan</t>
  </si>
  <si>
    <t>Star Trek TNG USS Enterprise NCC-1701-D Battle Damage Electronic Tsukuda Japan</t>
  </si>
  <si>
    <t>Death Note Misa Amane 1/6 Figure Moeart White Version Jun Planning Japan</t>
  </si>
  <si>
    <t>ポケモントランプ 金 Part2 (箱付・全揃)</t>
  </si>
  <si>
    <t>ワンピース カードダス ルフィ C565 鑑定10</t>
  </si>
  <si>
    <t>ワンピース カードダス 怪盗ルフィ 98 麦わら航海記</t>
  </si>
  <si>
    <t>https://www.ebay.com/sch/i.html?_nkw=One%20Piece%20Carddass%20Luffy%2098&amp;_sacat=0&amp;_from=R40&amp;_sop=15&amp;rt=nc&amp;_udlo=20000</t>
  </si>
  <si>
    <t>魔女の宅急便 サントラ音楽集 LP レコード (オリジナル盤1989)</t>
  </si>
  <si>
    <t>https://www.ebay.com/sch/i.html?_nkw=Kiki%20Delivery%20Service%20Soundtrack%20LP&amp;_sacat=0&amp;_from=R40&amp;_sop=15&amp;rt=nc&amp;_udlo=20000</t>
  </si>
  <si>
    <t>ジブリパーク限定 食べ物マグネット 6種セット (リニューアル版)</t>
  </si>
  <si>
    <t>ジブリの大倉庫限定 陶器ブローチ 全4種</t>
  </si>
  <si>
    <t>https://www.ebay.com/sch/i.html?_nkw=Ghibli%20Warehouse%20Brooch%20Set&amp;_sacat=0&amp;_from=R40&amp;_sop=15&amp;rt=nc&amp;_udlo=20000</t>
  </si>
  <si>
    <t>スタートレックTNG エンタープライズ NCC-1701D バトルダメージ (ツクダ/電子音)</t>
  </si>
  <si>
    <t>デスノート 弥海砂 モエアート 1/6 フィギュア ホワイトVer</t>
  </si>
  <si>
    <t>https://www.ebay.com/sch/i.html?_nkw=Death%20Note%20Misa%20Amane%20Figure&amp;_sacat=0&amp;_from=R40&amp;_sop=15&amp;rt=nc&amp;_udlo=20000</t>
  </si>
  <si>
    <t>ワンピース DRAMATIC SHOWCASE 3rd</t>
  </si>
  <si>
    <t>DJI Pocket 2 Creator Combo</t>
  </si>
  <si>
    <t>アビランド リモージュ ヴューパリヴェール プレート</t>
  </si>
  <si>
    <t>くじ　ラストワン 弥海砂　フィギュア</t>
  </si>
  <si>
    <t>Mitutoyo 187-901-10</t>
  </si>
  <si>
    <t>天童木工 椅子 かぶと</t>
  </si>
  <si>
    <t>Pomera DM250</t>
  </si>
  <si>
    <t>Tamagotchi Uni Angel</t>
  </si>
  <si>
    <t>ハナダシティジム カスミ</t>
  </si>
  <si>
    <t>https://jp.mercari.com/item/m70961417599</t>
  </si>
  <si>
    <t>https://jp.mercari.com/item/m28885121634</t>
  </si>
  <si>
    <t>ハリーポッター レプリカ 魔法薬学 教科書 Alarm Eighteen</t>
  </si>
  <si>
    <t>SHODO SUPER 救急戦隊ゴーゴーファイブ</t>
  </si>
  <si>
    <t>ART OF GHIBLI 魔女の宅急便</t>
  </si>
  <si>
    <t>CaddyTalk CUBE</t>
  </si>
  <si>
    <t>ウマ娘　アストンマーチャン　ぬいぐるみ</t>
  </si>
  <si>
    <t>ねんどろいど ルーシー　宇宙服</t>
  </si>
  <si>
    <t>Depeche Mode X1 X2</t>
  </si>
  <si>
    <t>グランドセイコー　60周年　ブランドブック</t>
  </si>
  <si>
    <t>https://paypayfleamarket.yahoo.co.jp/item/z346118678</t>
  </si>
  <si>
    <t>https://jp.mercari.com/item/m49065182959</t>
  </si>
  <si>
    <t>https://jp.mercari.com/item/m12954924232</t>
  </si>
  <si>
    <t>https://jp.mercari.com/item/m16731501061</t>
  </si>
  <si>
    <t>https://jp.mercari.com/item/m57859073121</t>
  </si>
  <si>
    <t>https://jp.mercari.com/shops/product/2JUTKRfw4o5HSbGTRtQXjz</t>
  </si>
  <si>
    <t>https://paypayfleamarket.yahoo.co.jp/item/z622042994</t>
  </si>
  <si>
    <t>https://paypayfleamarket.yahoo.co.jp/item/z573178766</t>
  </si>
  <si>
    <t>https://paypayfleamarket.yahoo.co.jp/item/z246161498</t>
  </si>
  <si>
    <t>ファイナルファンタジーXIV　輪島塗デザインプレート　バハムート</t>
  </si>
  <si>
    <t>https://www.ebay.com/sch/i.html?_nkw=Final%20Fantasy%20XIV%20Wajima%20Plate&amp;_sacat=0&amp;_from=R40&amp;_sop=15&amp;rt=nc&amp;_udlo=20000</t>
  </si>
  <si>
    <t>https://jp.mercari.com/search?keyword=FF14%20%E8%BC%AA%E5%B3%B6%E5%A1%97%20%E3%83%97%E3%83%AC%E3%83%BC%E3%83%88%20%E3%83%90%E3%83%8F%E3%83%A0%E3%83%BC%E3%83%88&amp;price_min=10000&amp;sort=price&amp;order=asc&amp;status=on_sale</t>
  </si>
  <si>
    <t>https://fril.jp/s?query=FF14%20%E8%BC%AA%E5%B3%B6%E5%A1%97%20%E3%83%97%E3%83%AC%E3%83%BC%E3%83%88%20%E3%83%90%E3%83%8F%E3%83%A0%E3%83%BC%E3%83%88&amp;min=10000&amp;transaction=selling</t>
  </si>
  <si>
    <t>https://search.rakuten.co.jp/search/mall/FF14%20%E8%BC%AA%E5%B3%B6%E5%A1%97%20%E3%83%97%E3%83%AC%E3%83%BC%E3%83%88%20%E3%83%90%E3%83%8F%E3%83%A0%E3%83%BC%E3%83%88/?min=10000</t>
  </si>
  <si>
    <t>https://auctions.yahoo.co.jp/search/search?p=FF14%20%E8%BC%AA%E5%B3%B6%E5%A1%97%20%E3%83%97%E3%83%AC%E3%83%BC%E3%83%88%20%E3%83%90%E3%83%8F%E3%83%A0%E3%83%BC%E3%83%88&amp;aucminprice=10000</t>
  </si>
  <si>
    <t>https://shopping.yahoo.co.jp/search/FF14%20%E8%BC%AA%E5%B3%B6%E5%A1%97%20%E3%83%97%E3%83%AC%E3%83%BC%E3%83%88%20%E3%83%90%E3%83%8F%E3%83%A0%E3%83%BC%E3%83%88/0/?pf=10000</t>
  </si>
  <si>
    <t>アビランド リモージュ ヴューパリヴェール デミタス カップ＆ソーサー6客セット</t>
  </si>
  <si>
    <t>https://www.ebay.com/sch/i.html?_nkw=Haviland%20Limoges%20Demitasse%20Cup&amp;_sacat=0&amp;_from=R40&amp;_sop=15&amp;rt=nc&amp;_udlo=20000</t>
  </si>
  <si>
    <t>https://jp.mercari.com/search?keyword=%E3%82%A2%E3%83%93%E3%83%A9%E3%83%B3%E3%83%89%20%E3%83%AA%E3%83%A2%E3%83%BC%E3%82%B8%E3%83%A5%20%E3%83%B4%E3%83%A5%E3%83%BC%E3%83%91%E3%83%AA%E3%83%B4%E3%82%A7%E3%83%BC%E3%83%AB%20%E3%83%87%E3%83%9F%E3%82%BF%E3%82%B9&amp;price_min=10000&amp;sort=price&amp;order=asc&amp;status=on_sale</t>
  </si>
  <si>
    <t>https://fril.jp/s?query=%E3%82%A2%E3%83%93%E3%83%A9%E3%83%B3%E3%83%89%20%E3%83%AA%E3%83%A2%E3%83%BC%E3%82%B8%E3%83%A5%20%E3%83%B4%E3%83%A5%E3%83%BC%E3%83%91%E3%83%AA%E3%83%B4%E3%82%A7%E3%83%BC%E3%83%AB%20%E3%83%87%E3%83%9F%E3%82%BF%E3%82%B9&amp;min=10000&amp;transaction=selling</t>
  </si>
  <si>
    <t>https://search.rakuten.co.jp/search/mall/%E3%82%A2%E3%83%93%E3%83%A9%E3%83%B3%E3%83%89%20%E3%83%AA%E3%83%A2%E3%83%BC%E3%82%B8%E3%83%A5%20%E3%83%B4%E3%83%A5%E3%83%BC%E3%83%91%E3%83%AA%E3%83%B4%E3%82%A7%E3%83%BC%E3%83%AB%20%E3%83%87%E3%83%9F%E3%82%BF%E3%82%B9/?min=10000</t>
  </si>
  <si>
    <t>https://auctions.yahoo.co.jp/search/search?p=%E3%82%A2%E3%83%93%E3%83%A9%E3%83%B3%E3%83%89%20%E3%83%AA%E3%83%A2%E3%83%BC%E3%82%B8%E3%83%A5%20%E3%83%B4%E3%83%A5%E3%83%BC%E3%83%91%E3%83%AA%E3%83%B4%E3%82%A7%E3%83%BC%E3%83%AB%20%E3%83%87%E3%83%9F%E3%82%BF%E3%82%B9&amp;aucminprice=10000</t>
  </si>
  <si>
    <t>https://shopping.yahoo.co.jp/search/%E3%82%A2%E3%83%93%E3%83%A9%E3%83%B3%E3%83%89%20%E3%83%AA%E3%83%A2%E3%83%BC%E3%82%B8%E3%83%A5%20%E3%83%B4%E3%83%A5%E3%83%BC%E3%83%91%E3%83%AA%E3%83%B4%E3%82%A7%E3%83%BC%E3%83%AB%20%E3%83%87%E3%83%9F%E3%82%BF%E3%82%B9/0/?pf=10000</t>
  </si>
  <si>
    <t>アビランドリモージュ　ヴューパリヴェールカップソーサー三客セット</t>
  </si>
  <si>
    <t>https://www.ebay.com/sch/i.html?_nkw=Haviland%20Limoges%20Cup%20Saucer&amp;_sacat=0&amp;_from=R40&amp;_sop=15&amp;rt=nc&amp;_udlo=20000</t>
  </si>
  <si>
    <t>https://jp.mercari.com/search?keyword=%E3%82%A2%E3%83%93%E3%83%A9%E3%83%B3%E3%83%89%20%E3%83%AA%E3%83%A2%E3%83%BC%E3%82%B8%E3%83%A5%20%E3%83%B4%E3%83%A5%E3%83%BC%E3%83%91%E3%83%AA%E3%83%B4%E3%82%A7%E3%83%BC%E3%83%AB%20%E3%82%AB%E3%83%83%E3%83%97&amp;price_min=10000&amp;sort=price&amp;order=asc&amp;status=on_sale</t>
  </si>
  <si>
    <t>https://fril.jp/s?query=%E3%82%A2%E3%83%93%E3%83%A9%E3%83%B3%E3%83%89%20%E3%83%AA%E3%83%A2%E3%83%BC%E3%82%B8%E3%83%A5%20%E3%83%B4%E3%83%A5%E3%83%BC%E3%83%91%E3%83%AA%E3%83%B4%E3%82%A7%E3%83%BC%E3%83%AB%20%E3%82%AB%E3%83%83%E3%83%97&amp;min=10000&amp;transaction=selling</t>
  </si>
  <si>
    <t>https://search.rakuten.co.jp/search/mall/%E3%82%A2%E3%83%93%E3%83%A9%E3%83%B3%E3%83%89%20%E3%83%AA%E3%83%A2%E3%83%BC%E3%82%B8%E3%83%A5%20%E3%83%B4%E3%83%A5%E3%83%BC%E3%83%91%E3%83%AA%E3%83%B4%E3%82%A7%E3%83%BC%E3%83%AB%20%E3%82%AB%E3%83%83%E3%83%97/?min=10000</t>
  </si>
  <si>
    <t>https://auctions.yahoo.co.jp/search/search?p=%E3%82%A2%E3%83%93%E3%83%A9%E3%83%B3%E3%83%89%20%E3%83%AA%E3%83%A2%E3%83%BC%E3%82%B8%E3%83%A5%20%E3%83%B4%E3%83%A5%E3%83%BC%E3%83%91%E3%83%AA%E3%83%B4%E3%82%A7%E3%83%BC%E3%83%AB%20%E3%82%AB%E3%83%83%E3%83%97&amp;aucminprice=10000</t>
  </si>
  <si>
    <t>https://shopping.yahoo.co.jp/search/%E3%82%A2%E3%83%93%E3%83%A9%E3%83%B3%E3%83%89%20%E3%83%AA%E3%83%A2%E3%83%BC%E3%82%B8%E3%83%A5%20%E3%83%B4%E3%83%A5%E3%83%BC%E3%83%91%E3%83%AA%E3%83%B4%E3%82%A7%E3%83%BC%E3%83%AB%20%E3%82%AB%E3%83%83%E3%83%97/0/?pf=10000</t>
  </si>
  <si>
    <t>ハリーポッター レプリカ Alarm Eighteen 吟遊詩人ビードルの物語</t>
  </si>
  <si>
    <t>https://www.ebay.com/sch/i.html?_nkw=Harry%20Potter%20Beedle%20Bard%20Book&amp;_sacat=0&amp;_from=R40&amp;_sop=15&amp;rt=nc&amp;_udlo=20000</t>
  </si>
  <si>
    <t>https://jp.mercari.com/search?keyword=%E3%83%8F%E3%83%AA%E3%83%BC%E3%83%9D%E3%83%83%E3%82%BF%E3%83%BC%20%E3%83%93%E3%83%BC%E3%83%89%E3%83%AB%E3%81%AE%E7%89%A9%E8%AA%9E%20%E3%83%AC%E3%83%97%E3%83%AA%E3%82%AB&amp;price_min=10000&amp;sort=price&amp;order=asc&amp;status=on_sale</t>
  </si>
  <si>
    <t>https://fril.jp/s?query=%E3%83%8F%E3%83%AA%E3%83%BC%E3%83%9D%E3%83%83%E3%82%BF%E3%83%BC%20%E3%83%93%E3%83%BC%E3%83%89%E3%83%AB%E3%81%AE%E7%89%A9%E8%AA%9E%20%E3%83%AC%E3%83%97%E3%83%AA%E3%82%AB&amp;min=10000&amp;transaction=selling</t>
  </si>
  <si>
    <t>https://search.rakuten.co.jp/search/mall/%E3%83%8F%E3%83%AA%E3%83%BC%E3%83%9D%E3%83%83%E3%82%BF%E3%83%BC%20%E3%83%93%E3%83%BC%E3%83%89%E3%83%AB%E3%81%AE%E7%89%A9%E8%AA%9E%20%E3%83%AC%E3%83%97%E3%83%AA%E3%82%AB/?min=10000</t>
  </si>
  <si>
    <t>https://auctions.yahoo.co.jp/search/search?p=%E3%83%8F%E3%83%AA%E3%83%BC%E3%83%9D%E3%83%83%E3%82%BF%E3%83%BC%20%E3%83%93%E3%83%BC%E3%83%89%E3%83%AB%E3%81%AE%E7%89%A9%E8%AA%9E%20%E3%83%AC%E3%83%97%E3%83%AA%E3%82%AB&amp;aucminprice=10000</t>
  </si>
  <si>
    <t>https://shopping.yahoo.co.jp/search/%E3%83%8F%E3%83%AA%E3%83%BC%E3%83%9D%E3%83%83%E3%82%BF%E3%83%BC%20%E3%83%93%E3%83%BC%E3%83%89%E3%83%AB%E3%81%AE%E7%89%A9%E8%AA%9E%20%E3%83%AC%E3%83%97%E3%83%AA%E3%82%AB/0/?pf=10000</t>
  </si>
  <si>
    <t>ハリーポッター 杖　 フェンリール・グレイバック レア　ノーブルコレクション</t>
  </si>
  <si>
    <t>https://www.ebay.com/sch/i.html?_nkw=Harry%20Potter%20Fenrir%20Greyback%20Wand&amp;_sacat=0&amp;_from=R40&amp;_sop=15&amp;rt=nc&amp;_udlo=20000</t>
  </si>
  <si>
    <t>https://jp.mercari.com/search?keyword=%E3%83%8F%E3%83%AA%E3%83%BC%E3%83%9D%E3%83%83%E3%82%BF%E3%83%BC%20%E3%83%95%E3%82%A7%E3%83%B3%E3%83%AA%E3%83%BC%E3%83%AB%E3%82%B0%E3%83%AC%E3%82%A4%E3%83%90%E3%83%83%E3%82%AF%20%E6%9D%96%20%E3%83%8E%E3%83%BC%E3%83%96%E3%83%AB&amp;price_min=10000&amp;sort=price&amp;order=asc&amp;status=on_sale</t>
  </si>
  <si>
    <t>https://fril.jp/s?query=%E3%83%8F%E3%83%AA%E3%83%BC%E3%83%9D%E3%83%83%E3%82%BF%E3%83%BC%20%E3%83%95%E3%82%A7%E3%83%B3%E3%83%AA%E3%83%BC%E3%83%AB%E3%82%B0%E3%83%AC%E3%82%A4%E3%83%90%E3%83%83%E3%82%AF%20%E6%9D%96%20%E3%83%8E%E3%83%BC%E3%83%96%E3%83%AB&amp;min=10000&amp;transaction=selling</t>
  </si>
  <si>
    <t>https://search.rakuten.co.jp/search/mall/%E3%83%8F%E3%83%AA%E3%83%BC%E3%83%9D%E3%83%83%E3%82%BF%E3%83%BC%20%E3%83%95%E3%82%A7%E3%83%B3%E3%83%AA%E3%83%BC%E3%83%AB%E3%82%B0%E3%83%AC%E3%82%A4%E3%83%90%E3%83%83%E3%82%AF%20%E6%9D%96%20%E3%83%8E%E3%83%BC%E3%83%96%E3%83%AB/?min=10000</t>
  </si>
  <si>
    <t>https://auctions.yahoo.co.jp/search/search?p=%E3%83%8F%E3%83%AA%E3%83%BC%E3%83%9D%E3%83%83%E3%82%BF%E3%83%BC%20%E3%83%95%E3%82%A7%E3%83%B3%E3%83%AA%E3%83%BC%E3%83%AB%E3%82%B0%E3%83%AC%E3%82%A4%E3%83%90%E3%83%83%E3%82%AF%20%E6%9D%96%20%E3%83%8E%E3%83%BC%E3%83%96%E3%83%AB&amp;aucminprice=10000</t>
  </si>
  <si>
    <t>https://shopping.yahoo.co.jp/search/%E3%83%8F%E3%83%AA%E3%83%BC%E3%83%9D%E3%83%83%E3%82%BF%E3%83%BC%20%E3%83%95%E3%82%A7%E3%83%B3%E3%83%AA%E3%83%BC%E3%83%AB%E3%82%B0%E3%83%AC%E3%82%A4%E3%83%90%E3%83%83%E3%82%AF%20%E6%9D%96%20%E3%83%8E%E3%83%BC%E3%83%96%E3%83%AB/0/?pf=10000</t>
  </si>
  <si>
    <t>ハリーポッター 　ネビル　ロングボトム　杖 ノーブルコレクション　レア</t>
  </si>
  <si>
    <t>https://www.ebay.com/sch/i.html?_nkw=Harry%20Potter%20Neville%20Longbottom%20Wand&amp;_sacat=0&amp;_from=R40&amp;_sop=15&amp;rt=nc&amp;_udlo=20000</t>
  </si>
  <si>
    <t>https://jp.mercari.com/search?keyword=%E3%83%8F%E3%83%AA%E3%83%BC%E3%83%9D%E3%83%83%E3%82%BF%E3%83%BC%20%E3%83%8D%E3%83%93%E3%83%AB%20%E6%9D%96%20%E3%83%8E%E3%83%BC%E3%83%96%E3%83%AB%E3%82%B3%E3%83%AC%E3%82%AF%E3%82%B7%E3%83%A7%E3%83%B3&amp;price_min=10000&amp;sort=price&amp;order=asc&amp;status=on_sale</t>
  </si>
  <si>
    <t>https://fril.jp/s?query=%E3%83%8F%E3%83%AA%E3%83%BC%E3%83%9D%E3%83%83%E3%82%BF%E3%83%BC%20%E3%83%8D%E3%83%93%E3%83%AB%20%E6%9D%96%20%E3%83%8E%E3%83%BC%E3%83%96%E3%83%AB%E3%82%B3%E3%83%AC%E3%82%AF%E3%82%B7%E3%83%A7%E3%83%B3&amp;min=10000&amp;transaction=selling</t>
  </si>
  <si>
    <t>https://search.rakuten.co.jp/search/mall/%E3%83%8F%E3%83%AA%E3%83%BC%E3%83%9D%E3%83%83%E3%82%BF%E3%83%BC%20%E3%83%8D%E3%83%93%E3%83%AB%20%E6%9D%96%20%E3%83%8E%E3%83%BC%E3%83%96%E3%83%AB%E3%82%B3%E3%83%AC%E3%82%AF%E3%82%B7%E3%83%A7%E3%83%B3/?min=10000</t>
  </si>
  <si>
    <t>https://auctions.yahoo.co.jp/search/search?p=%E3%83%8F%E3%83%AA%E3%83%BC%E3%83%9D%E3%83%83%E3%82%BF%E3%83%BC%20%E3%83%8D%E3%83%93%E3%83%AB%20%E6%9D%96%20%E3%83%8E%E3%83%BC%E3%83%96%E3%83%AB%E3%82%B3%E3%83%AC%E3%82%AF%E3%82%B7%E3%83%A7%E3%83%B3&amp;aucminprice=10000</t>
  </si>
  <si>
    <t>https://shopping.yahoo.co.jp/search/%E3%83%8F%E3%83%AA%E3%83%BC%E3%83%9D%E3%83%83%E3%82%BF%E3%83%BC%20%E3%83%8D%E3%83%93%E3%83%AB%20%E6%9D%96%20%E3%83%8E%E3%83%BC%E3%83%96%E3%83%AB%E3%82%B3%E3%83%AC%E3%82%AF%E3%82%B7%E3%83%A7%E3%83%B3/0/?pf=10000</t>
  </si>
  <si>
    <t>ハリーポッター 杖　 チョウチャン レア　ノーブルコレクション　1st</t>
  </si>
  <si>
    <t>https://www.ebay.com/sch/i.html?_nkw=Harry%20Potter%20Cho%20Chang%20Wand&amp;_sacat=0&amp;_from=R40&amp;_sop=15&amp;rt=nc&amp;_udlo=20000</t>
  </si>
  <si>
    <t>https://jp.mercari.com/search?keyword=%E3%83%8F%E3%83%AA%E3%83%BC%E3%83%9D%E3%83%83%E3%82%BF%E3%83%BC%20%E3%83%81%E3%83%A7%E3%82%A6%E3%83%81%E3%83%A3%E3%83%B3%20%E6%9D%96%20%E3%83%8E%E3%83%BC%E3%83%96%E3%83%AB&amp;price_min=10000&amp;sort=price&amp;order=asc&amp;status=on_sale</t>
  </si>
  <si>
    <t>https://fril.jp/s?query=%E3%83%8F%E3%83%AA%E3%83%BC%E3%83%9D%E3%83%83%E3%82%BF%E3%83%BC%20%E3%83%81%E3%83%A7%E3%82%A6%E3%83%81%E3%83%A3%E3%83%B3%20%E6%9D%96%20%E3%83%8E%E3%83%BC%E3%83%96%E3%83%AB&amp;min=10000&amp;transaction=selling</t>
  </si>
  <si>
    <t>https://search.rakuten.co.jp/search/mall/%E3%83%8F%E3%83%AA%E3%83%BC%E3%83%9D%E3%83%83%E3%82%BF%E3%83%BC%20%E3%83%81%E3%83%A7%E3%82%A6%E3%83%81%E3%83%A3%E3%83%B3%20%E6%9D%96%20%E3%83%8E%E3%83%BC%E3%83%96%E3%83%AB/?min=10000</t>
  </si>
  <si>
    <t>https://auctions.yahoo.co.jp/search/search?p=%E3%83%8F%E3%83%AA%E3%83%BC%E3%83%9D%E3%83%83%E3%82%BF%E3%83%BC%20%E3%83%81%E3%83%A7%E3%82%A6%E3%83%81%E3%83%A3%E3%83%B3%20%E6%9D%96%20%E3%83%8E%E3%83%BC%E3%83%96%E3%83%AB&amp;aucminprice=10000</t>
  </si>
  <si>
    <t>https://shopping.yahoo.co.jp/search/%E3%83%8F%E3%83%AA%E3%83%BC%E3%83%9D%E3%83%83%E3%82%BF%E3%83%BC%20%E3%83%81%E3%83%A7%E3%82%A6%E3%83%81%E3%83%A3%E3%83%B3%20%E6%9D%96%20%E3%83%8E%E3%83%BC%E3%83%96%E3%83%AB/0/?pf=10000</t>
  </si>
  <si>
    <t>https://www.ebay.com/sch/i.html?_nkw=SHODO%20SUPER%20GoGo%20Five&amp;_sacat=0&amp;_from=R40&amp;_sop=15&amp;rt=nc&amp;_udlo=20000</t>
  </si>
  <si>
    <t>https://jp.mercari.com/search?keyword=SHODO%20SUPER%20%E3%82%B4%E3%83%BC%E3%82%B4%E3%83%BC%E3%83%95%E3%82%A1%E3%82%A4%E3%83%96&amp;price_min=10000&amp;sort=price&amp;order=asc&amp;status=on_sale</t>
  </si>
  <si>
    <t>https://fril.jp/s?query=SHODO%20SUPER%20%E3%82%B4%E3%83%BC%E3%82%B4%E3%83%BC%E3%83%95%E3%82%A1%E3%82%A4%E3%83%96&amp;min=10000&amp;transaction=selling</t>
  </si>
  <si>
    <t>https://search.rakuten.co.jp/search/mall/SHODO%20SUPER%20%E3%82%B4%E3%83%BC%E3%82%B4%E3%83%BC%E3%83%95%E3%82%A1%E3%82%A4%E3%83%96/?min=10000</t>
  </si>
  <si>
    <t>https://auctions.yahoo.co.jp/search/search?p=SHODO%20SUPER%20%E3%82%B4%E3%83%BC%E3%82%B4%E3%83%BC%E3%83%95%E3%82%A1%E3%82%A4%E3%83%96&amp;aucminprice=10000</t>
  </si>
  <si>
    <t>https://shopping.yahoo.co.jp/search/SHODO%20SUPER%20%E3%82%B4%E3%83%BC%E3%82%B4%E3%83%BC%E3%83%95%E3%82%A1%E3%82%A4%E3%83%96/0/?pf=10000</t>
  </si>
  <si>
    <t>ゴーゴーファイブ SHODO SUPER 救急戦隊ゴーゴー...</t>
  </si>
  <si>
    <t>【稀少品】マンハッタンカフェ菊花賞ウマ娘ぬいぐるみ競馬アイドルホースAVANTI</t>
  </si>
  <si>
    <t>https://www.ebay.com/sch/i.html?_nkw=Manhattan%20Cafe%20idol%20horse%20plush&amp;_sacat=0&amp;_from=R40&amp;_sop=15&amp;rt=nc&amp;_udlo=20000</t>
  </si>
  <si>
    <t>https://jp.mercari.com/search?keyword=%E3%83%9E%E3%83%B3%E3%83%8F%E3%83%83%E3%82%BF%E3%83%B3%E3%82%AB%E3%83%95%E3%82%A7%20%E3%81%AC%E3%81%84%E3%81%90%E3%82%8B%E3%81%BF%20%E3%82%A2%E3%82%A4%E3%83%89%E3%83%AB%E3%83%9B%E3%83%BC%E3%82%B9&amp;price_min=10000&amp;sort=price&amp;order=asc&amp;status=on_sale</t>
  </si>
  <si>
    <t>https://fril.jp/s?query=%E3%83%9E%E3%83%B3%E3%83%8F%E3%83%83%E3%82%BF%E3%83%B3%E3%82%AB%E3%83%95%E3%82%A7%20%E3%81%AC%E3%81%84%E3%81%90%E3%82%8B%E3%81%BF%20%E3%82%A2%E3%82%A4%E3%83%89%E3%83%AB%E3%83%9B%E3%83%BC%E3%82%B9&amp;min=10000&amp;transaction=selling</t>
  </si>
  <si>
    <t>https://search.rakuten.co.jp/search/mall/%E3%83%9E%E3%83%B3%E3%83%8F%E3%83%83%E3%82%BF%E3%83%B3%E3%82%AB%E3%83%95%E3%82%A7%20%E3%81%AC%E3%81%84%E3%81%90%E3%82%8B%E3%81%BF%20%E3%82%A2%E3%82%A4%E3%83%89%E3%83%AB%E3%83%9B%E3%83%BC%E3%82%B9/?min=10000</t>
  </si>
  <si>
    <t>https://auctions.yahoo.co.jp/search/search?p=%E3%83%9E%E3%83%B3%E3%83%8F%E3%83%83%E3%82%BF%E3%83%B3%E3%82%AB%E3%83%95%E3%82%A7%20%E3%81%AC%E3%81%84%E3%81%90%E3%82%8B%E3%81%BF%20%E3%82%A2%E3%82%A4%E3%83%89%E3%83%AB%E3%83%9B%E3%83%BC%E3%82%B9&amp;aucminprice=10000</t>
  </si>
  <si>
    <t>https://shopping.yahoo.co.jp/search/%E3%83%9E%E3%83%B3%E3%83%8F%E3%83%83%E3%82%BF%E3%83%B3%E3%82%AB%E3%83%95%E3%82%A7%20%E3%81%AC%E3%81%84%E3%81%90%E3%82%8B%E3%81%BF%20%E3%82%A2%E3%82%A4%E3%83%89%E3%83%AB%E3%83%9B%E3%83%BC%E3%82%B9/0/?pf=10000</t>
  </si>
  <si>
    <t>【限定】マイネルラヴぬいぐるみウマ娘競馬アイドルホース馬AVANTIシルクロード</t>
  </si>
  <si>
    <t>https://www.ebay.com/sch/i.html?_nkw=Meiner%20Love%20idol%20horse%20plush&amp;_sacat=0&amp;_from=R40&amp;_sop=15&amp;rt=nc&amp;_udlo=20000</t>
  </si>
  <si>
    <t>https://jp.mercari.com/search?keyword=%E3%83%9E%E3%82%A4%E3%83%8D%E3%83%AB%E3%83%A9%E3%83%B4%20%E3%81%AC%E3%81%84%E3%81%90%E3%82%8B%E3%81%BF%20%E3%82%A2%E3%82%A4%E3%83%89%E3%83%AB%E3%83%9B%E3%83%BC%E3%82%B9&amp;price_min=10000&amp;sort=price&amp;order=asc&amp;status=on_sale</t>
  </si>
  <si>
    <t>https://fril.jp/s?query=%E3%83%9E%E3%82%A4%E3%83%8D%E3%83%AB%E3%83%A9%E3%83%B4%20%E3%81%AC%E3%81%84%E3%81%90%E3%82%8B%E3%81%BF%20%E3%82%A2%E3%82%A4%E3%83%89%E3%83%AB%E3%83%9B%E3%83%BC%E3%82%B9&amp;min=10000&amp;transaction=selling</t>
  </si>
  <si>
    <t>https://search.rakuten.co.jp/search/mall/%E3%83%9E%E3%82%A4%E3%83%8D%E3%83%AB%E3%83%A9%E3%83%B4%20%E3%81%AC%E3%81%84%E3%81%90%E3%82%8B%E3%81%BF%20%E3%82%A2%E3%82%A4%E3%83%89%E3%83%AB%E3%83%9B%E3%83%BC%E3%82%B9/?min=10000</t>
  </si>
  <si>
    <t>https://auctions.yahoo.co.jp/search/search?p=%E3%83%9E%E3%82%A4%E3%83%8D%E3%83%AB%E3%83%A9%E3%83%B4%20%E3%81%AC%E3%81%84%E3%81%90%E3%82%8B%E3%81%BF%20%E3%82%A2%E3%82%A4%E3%83%89%E3%83%AB%E3%83%9B%E3%83%BC%E3%82%B9&amp;aucminprice=10000</t>
  </si>
  <si>
    <t>https://shopping.yahoo.co.jp/search/%E3%83%9E%E3%82%A4%E3%83%8D%E3%83%AB%E3%83%A9%E3%83%B4%20%E3%81%AC%E3%81%84%E3%81%90%E3%82%8B%E3%81%BF%20%E3%82%A2%E3%82%A4%E3%83%89%E3%83%AB%E3%83%9B%E3%83%BC%E3%82%B9/0/?pf=10000</t>
  </si>
  <si>
    <t>【稀少】マチカネフクキタルぬいぐるみウマ娘 アイドルホース競馬 馬 AVANTI</t>
  </si>
  <si>
    <t>https://www.ebay.com/sch/i.html?_nkw=Matikanefukukitaru%20idol%20horse%20plush&amp;_sacat=0&amp;_from=R40&amp;_sop=15&amp;rt=nc&amp;_udlo=20000</t>
  </si>
  <si>
    <t>https://jp.mercari.com/search?keyword=%E3%83%9E%E3%83%81%E3%82%AB%E3%83%8D%E3%83%95%E3%82%AF%E3%82%AD%E3%82%BF%E3%83%AB%20%E3%81%AC%E3%81%84%E3%81%90%E3%82%8B%E3%81%BF%20%E3%82%A2%E3%82%A4%E3%83%89%E3%83%AB%E3%83%9B%E3%83%BC%E3%82%B9&amp;price_min=10000&amp;sort=price&amp;order=asc&amp;status=on_sale</t>
  </si>
  <si>
    <t>https://fril.jp/s?query=%E3%83%9E%E3%83%81%E3%82%AB%E3%83%8D%E3%83%95%E3%82%AF%E3%82%AD%E3%82%BF%E3%83%AB%20%E3%81%AC%E3%81%84%E3%81%90%E3%82%8B%E3%81%BF%20%E3%82%A2%E3%82%A4%E3%83%89%E3%83%AB%E3%83%9B%E3%83%BC%E3%82%B9&amp;min=10000&amp;transaction=selling</t>
  </si>
  <si>
    <t>https://search.rakuten.co.jp/search/mall/%E3%83%9E%E3%83%81%E3%82%AB%E3%83%8D%E3%83%95%E3%82%AF%E3%82%AD%E3%82%BF%E3%83%AB%20%E3%81%AC%E3%81%84%E3%81%90%E3%82%8B%E3%81%BF%20%E3%82%A2%E3%82%A4%E3%83%89%E3%83%AB%E3%83%9B%E3%83%BC%E3%82%B9/?min=10000</t>
  </si>
  <si>
    <t>https://auctions.yahoo.co.jp/search/search?p=%E3%83%9E%E3%83%81%E3%82%AB%E3%83%8D%E3%83%95%E3%82%AF%E3%82%AD%E3%82%BF%E3%83%AB%20%E3%81%AC%E3%81%84%E3%81%90%E3%82%8B%E3%81%BF%20%E3%82%A2%E3%82%A4%E3%83%89%E3%83%AB%E3%83%9B%E3%83%BC%E3%82%B9&amp;aucminprice=10000</t>
  </si>
  <si>
    <t>https://shopping.yahoo.co.jp/search/%E3%83%9E%E3%83%81%E3%82%AB%E3%83%8D%E3%83%95%E3%82%AF%E3%82%AD%E3%82%BF%E3%83%AB%20%E3%81%AC%E3%81%84%E3%81%90%E3%82%8B%E3%81%BF%20%E3%82%A2%E3%82%A4%E3%83%89%E3%83%AB%E3%83%9B%E3%83%BC%E3%82%B9/0/?pf=10000</t>
  </si>
  <si>
    <t>https://jp.mercari.com/item/m81521630117</t>
  </si>
  <si>
    <t>https://jp.mercari.com/item/m16315707571</t>
  </si>
  <si>
    <t>https://jp.mercari.com/item/m37335929590</t>
  </si>
  <si>
    <t>https://jp.mercari.com/item/m58211103185</t>
  </si>
  <si>
    <t>Final Fantasy XIV Wajima Lacquer Design Plate Bahamut FF14 10th Anniversary</t>
  </si>
  <si>
    <t>Haviland Limoges Vieux Paris Vert Demitasse Cup &amp; Saucer Set of 6 France Porcelain</t>
  </si>
  <si>
    <t>Plates</t>
  </si>
  <si>
    <t>Haviland Limoges Vieux Paris Vert Cup &amp; Saucer Set of 3 France Porcelain</t>
  </si>
  <si>
    <t>Harry Potter Tales of Beedle the Bard Prop Replica Book Alarm Eighteen 1st</t>
  </si>
  <si>
    <t>Harry Potter Fenrir Greyback Wand Noble Collection Ollivanders Box Discontinued</t>
  </si>
  <si>
    <t>Harry Potter Neville Longbottom Wand The Noble Collection Ollivanders Box Rare</t>
  </si>
  <si>
    <t>Harry Potter Cho Chang Wand Noble Collection Ollivanders Box Rare 1st Version</t>
  </si>
  <si>
    <t>Bandai SHODO SUPER Kyukyu Sentai GoGoV GoGo Five Trading Figure Set Japan</t>
  </si>
  <si>
    <t>AVANTI Idol Horse Manhattan Cafe Plush Uma Musume Racehorse S Size w/ Tag Japan</t>
  </si>
  <si>
    <t>AVANTI Idol Horse Meiner Love Plush Racehorse S Size Silk Road Ver w/ Tag Japan</t>
  </si>
  <si>
    <t>AVANTI Idol Horse Matikanefukukitaru Plush Racehorse 5S Size w/ Tag Japan</t>
  </si>
  <si>
    <t>信楽焼　横綱狸</t>
  </si>
  <si>
    <t>ツインピークス</t>
  </si>
  <si>
    <t>コイカツ　サンシャイン</t>
  </si>
  <si>
    <t>ジブリ　レコード　魔女の宅急便　カラーレコード</t>
  </si>
  <si>
    <t>FURUNO FCV-620</t>
  </si>
  <si>
    <t>PS４ DEAD OR ALIVE 5 Last Round 最強パッケージ</t>
  </si>
  <si>
    <t>RAH スネーク</t>
  </si>
  <si>
    <t>京商　USA-1</t>
  </si>
  <si>
    <t>https://jp.mercari.com/item/m60652632651</t>
  </si>
  <si>
    <t>https://paypayfleamarket.yahoo.co.jp/item/z300604720</t>
  </si>
  <si>
    <t>https://jp.mercari.com/item/m61432143703</t>
  </si>
  <si>
    <t>https://jp.mercari.com/item/m43750621893</t>
  </si>
  <si>
    <t>https://paypayfleamarket.yahoo.co.jp/item/z599036334</t>
  </si>
  <si>
    <t>信楽焼　信じて楽しい　阪神タイガース　優勝お願い狸　必勝応援チアガール狸　ペア</t>
  </si>
  <si>
    <t>https://www.ebay.com/sch/i.html?_nkw=Shigaraki%20Tanuki%20Hanshin%20Tigers&amp;_sacat=0&amp;_from=R40&amp;_sop=15&amp;rt=nc&amp;_udlo=20000</t>
  </si>
  <si>
    <t>https://jp.mercari.com/search?keyword=%E4%BF%A1%E6%A5%BD%E7%84%BC%20%E9%98%AA%E7%A5%9E%E3%82%BF%E3%82%A4%E3%82%AC%E3%83%BC%E3%82%B9%20%E7%8B%B8&amp;price_min=10000&amp;sort=price&amp;order=asc&amp;status=on_sale</t>
  </si>
  <si>
    <t>https://fril.jp/s?query=%E4%BF%A1%E6%A5%BD%E7%84%BC%20%E9%98%AA%E7%A5%9E%E3%82%BF%E3%82%A4%E3%82%AC%E3%83%BC%E3%82%B9%20%E7%8B%B8&amp;min=10000&amp;transaction=selling</t>
  </si>
  <si>
    <t>https://search.rakuten.co.jp/search/mall/%E4%BF%A1%E6%A5%BD%E7%84%BC%20%E9%98%AA%E7%A5%9E%E3%82%BF%E3%82%A4%E3%82%AC%E3%83%BC%E3%82%B9%20%E7%8B%B8/?min=10000</t>
  </si>
  <si>
    <t>https://auctions.yahoo.co.jp/search/search?p=%E4%BF%A1%E6%A5%BD%E7%84%BC%20%E9%98%AA%E7%A5%9E%E3%82%BF%E3%82%A4%E3%82%AC%E3%83%BC%E3%82%B9%20%E7%8B%B8&amp;aucminprice=10000</t>
  </si>
  <si>
    <t>https://shopping.yahoo.co.jp/search/%E4%BF%A1%E6%A5%BD%E7%84%BC%20%E9%98%AA%E7%A5%9E%E3%82%BF%E3%82%A4%E3%82%AC%E3%83%BC%E3%82%B9%20%E7%8B%B8/0/?pf=10000</t>
  </si>
  <si>
    <t>【未開封品】デイヴィッド・リンチ Blu-ray BOX</t>
  </si>
  <si>
    <t>https://www.ebay.com/sch/i.html?_nkw=David%20Lynch%20Blu-ray%20Box&amp;_sacat=0&amp;_from=R40&amp;_sop=15&amp;rt=nc&amp;_udlo=20000</t>
  </si>
  <si>
    <t>https://jp.mercari.com/search?keyword=%E3%83%87%E3%82%A4%E3%83%B4%E3%82%A3%E3%83%83%E3%83%89%E3%83%AA%E3%83%B3%E3%83%81%20Blu-ray%20BOX&amp;price_min=10000&amp;sort=price&amp;order=asc&amp;status=on_sale</t>
  </si>
  <si>
    <t>https://fril.jp/s?query=%E3%83%87%E3%82%A4%E3%83%B4%E3%82%A3%E3%83%83%E3%83%89%E3%83%AA%E3%83%B3%E3%83%81%20Blu-ray%20BOX&amp;min=10000&amp;transaction=selling</t>
  </si>
  <si>
    <t>https://search.rakuten.co.jp/search/mall/%E3%83%87%E3%82%A4%E3%83%B4%E3%82%A3%E3%83%83%E3%83%89%E3%83%AA%E3%83%B3%E3%83%81%20Blu-ray%20BOX/?min=10000</t>
  </si>
  <si>
    <t>https://auctions.yahoo.co.jp/search/search?p=%E3%83%87%E3%82%A4%E3%83%B4%E3%82%A3%E3%83%83%E3%83%89%E3%83%AA%E3%83%B3%E3%83%81%20Blu-ray%20BOX&amp;aucminprice=10000</t>
  </si>
  <si>
    <t>https://shopping.yahoo.co.jp/search/%E3%83%87%E3%82%A4%E3%83%B4%E3%82%A3%E3%83%83%E3%83%89%E3%83%AA%E3%83%B3%E3%83%81%20Blu-ray%20BOX/0/?pf=10000</t>
  </si>
  <si>
    <t>ジブリパーク限定 ポーリッシュポタリー ハウル...</t>
  </si>
  <si>
    <t>https://www.ebay.com/sch/i.html?_nkw=Ghibli%20Park%20Polish%20Pottery%20Howl&amp;_sacat=0&amp;_from=R40&amp;_sop=15&amp;rt=nc&amp;_udlo=20000</t>
  </si>
  <si>
    <t>https://jp.mercari.com/search?keyword=%E3%82%B8%E3%83%96%E3%83%AA%E3%83%91%E3%83%BC%E3%82%AF%20%E3%83%9D%E3%83%BC%E3%83%AA%E3%83%83%E3%82%B7%E3%83%A5%E3%83%9D%E3%82%BF%E3%83%AA%E3%83%BC%20%E3%83%8F%E3%82%A6%E3%83%AB&amp;price_min=10000&amp;sort=price&amp;order=asc&amp;status=on_sale</t>
  </si>
  <si>
    <t>https://fril.jp/s?query=%E3%82%B8%E3%83%96%E3%83%AA%E3%83%91%E3%83%BC%E3%82%AF%20%E3%83%9D%E3%83%BC%E3%83%AA%E3%83%83%E3%82%B7%E3%83%A5%E3%83%9D%E3%82%BF%E3%83%AA%E3%83%BC%20%E3%83%8F%E3%82%A6%E3%83%AB&amp;min=10000&amp;transaction=selling</t>
  </si>
  <si>
    <t>https://search.rakuten.co.jp/search/mall/%E3%82%B8%E3%83%96%E3%83%AA%E3%83%91%E3%83%BC%E3%82%AF%20%E3%83%9D%E3%83%BC%E3%83%AA%E3%83%83%E3%82%B7%E3%83%A5%E3%83%9D%E3%82%BF%E3%83%AA%E3%83%BC%20%E3%83%8F%E3%82%A6%E3%83%AB/?min=10000</t>
  </si>
  <si>
    <t>https://auctions.yahoo.co.jp/search/search?p=%E3%82%B8%E3%83%96%E3%83%AA%E3%83%91%E3%83%BC%E3%82%AF%20%E3%83%9D%E3%83%BC%E3%83%AA%E3%83%83%E3%82%B7%E3%83%A5%E3%83%9D%E3%82%BF%E3%83%AA%E3%83%BC%20%E3%83%8F%E3%82%A6%E3%83%AB&amp;aucminprice=10000</t>
  </si>
  <si>
    <t>https://shopping.yahoo.co.jp/search/%E3%82%B8%E3%83%96%E3%83%AA%E3%83%91%E3%83%BC%E3%82%AF%20%E3%83%9D%E3%83%BC%E3%83%AA%E3%83%83%E3%82%B7%E3%83%A5%E3%83%9D%E3%82%BF%E3%83%AA%E3%83%BC%20%E3%83%8F%E3%82%A6%E3%83%AB/0/?pf=10000</t>
  </si>
  <si>
    <t>ジブリ・アカペラスタイル　CD 宮崎駿　スタジオジブリ</t>
  </si>
  <si>
    <t>https://www.ebay.com/sch/i.html?_nkw=Ghibli%20Acapella%20CD&amp;_sacat=0&amp;_from=R40&amp;_sop=15&amp;rt=nc&amp;_udlo=20000</t>
  </si>
  <si>
    <t>https://fril.jp/s?query=%E3%82%B8%E3%83%96%E3%83%AA%20%E3%82%A2%E3%82%AB%E3%83%9A%E3%83%A9%20CD&amp;min=10000&amp;transaction=selling</t>
  </si>
  <si>
    <t>https://search.rakuten.co.jp/search/mall/%E3%82%B8%E3%83%96%E3%83%AA%20%E3%82%A2%E3%82%AB%E3%83%9A%E3%83%A9%20CD/?min=10000</t>
  </si>
  <si>
    <t>https://auctions.yahoo.co.jp/search/search?p=%E3%82%B8%E3%83%96%E3%83%AA%20%E3%82%A2%E3%82%AB%E3%83%9A%E3%83%A9%20CD&amp;aucminprice=10000</t>
  </si>
  <si>
    <t>https://shopping.yahoo.co.jp/search/%E3%82%B8%E3%83%96%E3%83%AA%20%E3%82%A2%E3%82%AB%E3%83%9A%E3%83%A9%20CD/0/?pf=10000</t>
  </si>
  <si>
    <t>SHIMANO FURUNO 探見丸 CV 本体 魚群探知機</t>
  </si>
  <si>
    <t>https://www.ebay.com/sch/i.html?_nkw=Shimano%20Furuno%20Tankenmaru%20CV&amp;_sacat=0&amp;_from=R40&amp;_sop=15&amp;rt=nc&amp;_udlo=20000</t>
  </si>
  <si>
    <t>https://jp.mercari.com/search?keyword=%E3%82%B7%E3%83%9E%E3%83%8E%20%E3%83%95%E3%83%AB%E3%83%8E%20%E6%8E%A2%E8%A6%8B%E4%B8%B8%20CV%20%E9%AD%9A%E6%8E%A2&amp;price_min=10000&amp;sort=price&amp;order=asc&amp;status=on_sale</t>
  </si>
  <si>
    <t>https://fril.jp/s?query=%E3%82%B7%E3%83%9E%E3%83%8E%20%E3%83%95%E3%83%AB%E3%83%8E%20%E6%8E%A2%E8%A6%8B%E4%B8%B8%20CV%20%E9%AD%9A%E6%8E%A2&amp;min=10000&amp;transaction=selling</t>
  </si>
  <si>
    <t>https://search.rakuten.co.jp/search/mall/%E3%82%B7%E3%83%9E%E3%83%8E%20%E3%83%95%E3%83%AB%E3%83%8E%20%E6%8E%A2%E8%A6%8B%E4%B8%B8%20CV%20%E9%AD%9A%E6%8E%A2/?min=10000</t>
  </si>
  <si>
    <t>https://auctions.yahoo.co.jp/search/search?p=%E3%82%B7%E3%83%9E%E3%83%8E%20%E3%83%95%E3%83%AB%E3%83%8E%20%E6%8E%A2%E8%A6%8B%E4%B8%B8%20CV%20%E9%AD%9A%E6%8E%A2&amp;aucminprice=10000</t>
  </si>
  <si>
    <t>https://shopping.yahoo.co.jp/search/%E3%82%B7%E3%83%9E%E3%83%8E%20%E3%83%95%E3%83%AB%E3%83%8E%20%E6%8E%A2%E8%A6%8B%E4%B8%B8%20CV%20%E9%AD%9A%E6%8E%A2/0/?pf=10000</t>
  </si>
  <si>
    <t>新品未開封 MGS3 SNAKE EATER 2005冬 WF スネーク rah</t>
  </si>
  <si>
    <t>https://www.ebay.com/sch/i.html?_nkw=RAH%20MGS3%20Snake%20Eater%20Figure&amp;_sacat=0&amp;_from=R40&amp;_sop=15&amp;rt=nc&amp;_udlo=20000</t>
  </si>
  <si>
    <t>https://jp.mercari.com/search?keyword=RAH%20%E3%83%A1%E3%82%BF%E3%83%AB%E3%82%AE%E3%82%A2%E3%82%BD%E3%83%AA%E3%83%83%E3%83%893%20%E3%82%B9%E3%83%8D%E3%83%BC%E3%82%AF%E3%82%A4%E3%83%BC%E3%82%BF%E3%83%BC&amp;price_min=10000&amp;sort=price&amp;order=asc&amp;status=on_sale</t>
  </si>
  <si>
    <t>https://fril.jp/s?query=RAH%20%E3%83%A1%E3%82%BF%E3%83%AB%E3%82%AE%E3%82%A2%E3%82%BD%E3%83%AA%E3%83%83%E3%83%893%20%E3%82%B9%E3%83%8D%E3%83%BC%E3%82%AF%E3%82%A4%E3%83%BC%E3%82%BF%E3%83%BC&amp;min=10000&amp;transaction=selling</t>
  </si>
  <si>
    <t>https://search.rakuten.co.jp/search/mall/RAH%20%E3%83%A1%E3%82%BF%E3%83%AB%E3%82%AE%E3%82%A2%E3%82%BD%E3%83%AA%E3%83%83%E3%83%893%20%E3%82%B9%E3%83%8D%E3%83%BC%E3%82%AF%E3%82%A4%E3%83%BC%E3%82%BF%E3%83%BC/?min=10000</t>
  </si>
  <si>
    <t>https://auctions.yahoo.co.jp/search/search?p=RAH%20%E3%83%A1%E3%82%BF%E3%83%AB%E3%82%AE%E3%82%A2%E3%82%BD%E3%83%AA%E3%83%83%E3%83%893%20%E3%82%B9%E3%83%8D%E3%83%BC%E3%82%AF%E3%82%A4%E3%83%BC%E3%82%BF%E3%83%BC&amp;aucminprice=10000</t>
  </si>
  <si>
    <t>https://shopping.yahoo.co.jp/search/RAH%20%E3%83%A1%E3%82%BF%E3%83%AB%E3%82%AE%E3%82%A2%E3%82%BD%E3%83%AA%E3%83%83%E3%83%893%20%E3%82%B9%E3%83%8D%E3%83%BC%E3%82%AF%E3%82%A4%E3%83%BC%E3%82%BF%E3%83%BC/0/?pf=10000</t>
  </si>
  <si>
    <t>BRAHMS COMPLETE EDITION 46CDs クラシック CD ボックスセット</t>
  </si>
  <si>
    <t>https://www.ebay.com/sch/i.html?_nkw=Brahms%20Complete%20Edition%2046%20CD&amp;_sacat=0&amp;_from=R40&amp;_sop=15&amp;rt=nc&amp;_udlo=20000</t>
  </si>
  <si>
    <t>https://jp.mercari.com/search?keyword=%E3%83%96%E3%83%A9%E3%83%BC%E3%83%A0%E3%82%B9%20%E5%85%A8%E9%9B%86%2046CD&amp;price_min=10000&amp;sort=price&amp;order=asc&amp;status=on_sale</t>
  </si>
  <si>
    <t>https://fril.jp/s?query=%E3%83%96%E3%83%A9%E3%83%BC%E3%83%A0%E3%82%B9%20%E5%85%A8%E9%9B%86%2046CD&amp;min=10000&amp;transaction=selling</t>
  </si>
  <si>
    <t>https://search.rakuten.co.jp/search/mall/%E3%83%96%E3%83%A9%E3%83%BC%E3%83%A0%E3%82%B9%20%E5%85%A8%E9%9B%86%2046CD/?min=10000</t>
  </si>
  <si>
    <t>https://auctions.yahoo.co.jp/search/search?p=%E3%83%96%E3%83%A9%E3%83%BC%E3%83%A0%E3%82%B9%20%E5%85%A8%E9%9B%86%2046CD&amp;aucminprice=10000</t>
  </si>
  <si>
    <t>https://shopping.yahoo.co.jp/search/%E3%83%96%E3%83%A9%E3%83%BC%E3%83%A0%E3%82%B9%20%E5%85%A8%E9%9B%86%2046CD/0/?pf=10000</t>
  </si>
  <si>
    <t>https://jp.mercari.com/item/m84803463019</t>
  </si>
  <si>
    <t>https://jp.mercari.com/item/m48839020184</t>
  </si>
  <si>
    <t>https://jp.mercari.com/item/m93402927208</t>
  </si>
  <si>
    <t>https://jp.mercari.com/item/m43318510705</t>
  </si>
  <si>
    <t>https://jp.mercari.com/search?keyword=%E3%82%B8%E3%83%96%E3%83%AA%20%E3%82%A2%E3%82%AB%E3%83%9A%E3%83%A9%20CD&amp;price_min=4000&amp;sort=price&amp;order=asc&amp;status=on_sale</t>
  </si>
  <si>
    <t>Shigaraki Ware Hanshin Tigers Cheerleader Tanuki Pair Pottery Figure Japan</t>
  </si>
  <si>
    <t>Ceramic ornaments &amp; Statue</t>
  </si>
  <si>
    <t>David Lynch Blu-ray Box 11 Disc Set Japan Region A Rare Out of Print</t>
  </si>
  <si>
    <t>Ghibli Park Limited Polish Pottery Plate &amp; Mug 6 Set Howl Kiki Earwig Witch</t>
  </si>
  <si>
    <t>Ghibli Acapella Style CD Studio Ghibli Songs Teichiku Japan Totoro Spirited Away</t>
  </si>
  <si>
    <t>Shimano Furuno Tankenmaru CV Color Fish Finder Sounder Marine Japan</t>
  </si>
  <si>
    <t>Medicom RAH Metal Gear Solid 3 Snake Eater Naked Snake WF2005 500 Limited</t>
  </si>
  <si>
    <t>Brahms Complete Edition 46 CD Box Deutsche Grammophon Karajan Pollini Abbado</t>
  </si>
  <si>
    <t>Fish Binders</t>
  </si>
  <si>
    <t>Genesis 1970 - 1975 LP</t>
  </si>
  <si>
    <t>THE RECORD OF G-1.0</t>
  </si>
  <si>
    <t>VERTEX　シビトロ</t>
  </si>
  <si>
    <t>超像可動　ホット・パンツ</t>
  </si>
  <si>
    <t>エルメスベイビー　タイプライター</t>
  </si>
  <si>
    <t>ベルセルク LD</t>
  </si>
  <si>
    <t>エースコンバット　Su-33 黄色の13</t>
  </si>
  <si>
    <t>NIGHT CITY MAGAZINE</t>
  </si>
  <si>
    <t>ハズビンホテル トレカ THE PLAN</t>
  </si>
  <si>
    <t>バイオプトロン コンパクト</t>
  </si>
  <si>
    <t>https://jp.mercari.com/item/m25397753764</t>
  </si>
  <si>
    <t>https://jp.mercari.com/shops/product/2JUYTDGc3URDspDQNQUZPn</t>
  </si>
  <si>
    <t>https://page.auctions.yahoo.co.jp/jp/auction/b1236905956</t>
  </si>
  <si>
    <t>https://jp.mercari.com/item/m81328910059</t>
  </si>
  <si>
    <t>SIRENといっしょ（シビトロの海帰りver.）Tシャツ BLACK Mサイズ</t>
  </si>
  <si>
    <t>https://www.ebay.com/sch/i.html?_nkw=SIREN%20Shibitoro%20T-Shirt&amp;_sacat=0&amp;_from=R40&amp;_sop=15&amp;rt=nc&amp;_udlo=20000</t>
  </si>
  <si>
    <t>https://jp.mercari.com/search?keyword=SIREN%20%E3%82%B7%E3%83%93%E3%83%88%E3%83%AD%20T%E3%82%B7%E3%83%A3%E3%83%84&amp;price_min=10000&amp;sort=price&amp;order=asc&amp;status=on_sale</t>
  </si>
  <si>
    <t>https://fril.jp/s?query=SIREN%20%E3%82%B7%E3%83%93%E3%83%88%E3%83%AD%20T%E3%82%B7%E3%83%A3%E3%83%84&amp;min=10000&amp;transaction=selling</t>
  </si>
  <si>
    <t>https://search.rakuten.co.jp/search/mall/SIREN%20%E3%82%B7%E3%83%93%E3%83%88%E3%83%AD%20T%E3%82%B7%E3%83%A3%E3%83%84/?min=10000</t>
  </si>
  <si>
    <t>https://auctions.yahoo.co.jp/search/search?p=SIREN%20%E3%82%B7%E3%83%93%E3%83%88%E3%83%AD%20T%E3%82%B7%E3%83%A3%E3%83%84&amp;aucminprice=10000</t>
  </si>
  <si>
    <t>https://shopping.yahoo.co.jp/search/SIREN%20%E3%82%B7%E3%83%93%E3%83%88%E3%83%AD%20T%E3%82%B7%E3%83%A3%E3%83%84/0/?pf=10000</t>
  </si>
  <si>
    <t>ヴェルテクス すーぱーぽちゃ子 カウガール WF限定版</t>
  </si>
  <si>
    <t>https://www.ebay.com/sch/i.html?_nkw=Vertex%20Super%20Pochaco%20Cowgirl&amp;_sacat=0&amp;_from=R40&amp;_sop=15&amp;rt=nc&amp;_udlo=20000</t>
  </si>
  <si>
    <t>https://jp.mercari.com/search?keyword=%E3%83%B4%E3%82%A7%E3%83%AB%E3%83%86%E3%82%AF%E3%82%B9%20%E3%81%99%E3%83%BC%E3%81%B1%E3%83%BC%E3%81%BD%E3%81%A1%E3%82%83%E5%AD%90%20%E3%82%AB%E3%82%A6%E3%82%AC%E3%83%BC%E3%83%AB&amp;price_min=10000&amp;sort=price&amp;order=asc&amp;status=on_sale</t>
  </si>
  <si>
    <t>https://fril.jp/s?query=%E3%83%B4%E3%82%A7%E3%83%AB%E3%83%86%E3%82%AF%E3%82%B9%20%E3%81%99%E3%83%BC%E3%81%B1%E3%83%BC%E3%81%BD%E3%81%A1%E3%82%83%E5%AD%90%20%E3%82%AB%E3%82%A6%E3%82%AC%E3%83%BC%E3%83%AB&amp;min=10000&amp;transaction=selling</t>
  </si>
  <si>
    <t>https://search.rakuten.co.jp/search/mall/%E3%83%B4%E3%82%A7%E3%83%AB%E3%83%86%E3%82%AF%E3%82%B9%20%E3%81%99%E3%83%BC%E3%81%B1%E3%83%BC%E3%81%BD%E3%81%A1%E3%82%83%E5%AD%90%20%E3%82%AB%E3%82%A6%E3%82%AC%E3%83%BC%E3%83%AB/?min=10000</t>
  </si>
  <si>
    <t>https://auctions.yahoo.co.jp/search/search?p=%E3%83%B4%E3%82%A7%E3%83%AB%E3%83%86%E3%82%AF%E3%82%B9%20%E3%81%99%E3%83%BC%E3%81%B1%E3%83%BC%E3%81%BD%E3%81%A1%E3%82%83%E5%AD%90%20%E3%82%AB%E3%82%A6%E3%82%AC%E3%83%BC%E3%83%AB&amp;aucminprice=10000</t>
  </si>
  <si>
    <t>https://shopping.yahoo.co.jp/search/%E3%83%B4%E3%82%A7%E3%83%AB%E3%83%86%E3%82%AF%E3%82%B9%20%E3%81%99%E3%83%BC%E3%81%B1%E3%83%BC%E3%81%BD%E3%81%A1%E3%82%83%E5%AD%90%20%E3%82%AB%E3%82%A6%E3%82%AC%E3%83%BC%E3%83%AB/0/?pf=10000</t>
  </si>
  <si>
    <t>(再販) 超像可動 34.グイード・ミスタ&amp;セックス・ピストルズ (荒木飛呂彦指定カラー) ジョジョの奇妙な冒険 第五部 黄金の風 フィギュア メディコス・エンタテインメント</t>
  </si>
  <si>
    <t>https://www.ebay.com/sch/i.html?_nkw=Chozokado%20Mista%20Sex%20Pistols%20figure&amp;_sacat=0&amp;_from=R40&amp;_sop=15&amp;rt=nc&amp;_udlo=20000</t>
  </si>
  <si>
    <t>https://jp.mercari.com/search?keyword=%E8%B6%85%E5%83%8F%E5%8F%AF%E5%8B%95%20%E3%83%9F%E3%82%B9%E3%82%BF%20%E3%82%BB%E3%83%83%E3%82%AF%E3%82%B9%E3%83%94%E3%82%B9%E3%83%88%E3%83%AB%E3%82%BA&amp;price_min=10000&amp;sort=price&amp;order=asc&amp;status=on_sale</t>
  </si>
  <si>
    <t>https://fril.jp/s?query=%E8%B6%85%E5%83%8F%E5%8F%AF%E5%8B%95%20%E3%83%9F%E3%82%B9%E3%82%BF%20%E3%82%BB%E3%83%83%E3%82%AF%E3%82%B9%E3%83%94%E3%82%B9%E3%83%88%E3%83%AB%E3%82%BA&amp;min=10000&amp;transaction=selling</t>
  </si>
  <si>
    <t>https://search.rakuten.co.jp/search/mall/%E8%B6%85%E5%83%8F%E5%8F%AF%E5%8B%95%20%E3%83%9F%E3%82%B9%E3%82%BF%20%E3%82%BB%E3%83%83%E3%82%AF%E3%82%B9%E3%83%94%E3%82%B9%E3%83%88%E3%83%AB%E3%82%BA/?min=10000</t>
  </si>
  <si>
    <t>https://auctions.yahoo.co.jp/search/search?p=%E8%B6%85%E5%83%8F%E5%8F%AF%E5%8B%95%20%E3%83%9F%E3%82%B9%E3%82%BF%20%E3%82%BB%E3%83%83%E3%82%AF%E3%82%B9%E3%83%94%E3%82%B9%E3%83%88%E3%83%AB%E3%82%BA&amp;aucminprice=10000</t>
  </si>
  <si>
    <t>https://shopping.yahoo.co.jp/search/%E8%B6%85%E5%83%8F%E5%8F%AF%E5%8B%95%20%E3%83%9F%E3%82%B9%E3%82%BF%20%E3%82%BB%E3%83%83%E3%82%AF%E3%82%B9%E3%83%94%E3%82%B9%E3%83%88%E3%83%AB%E3%82%BA/0/?pf=10000</t>
  </si>
  <si>
    <t>ALPHA×ACE COMBAT エースコンバット7 コラボ CW...</t>
  </si>
  <si>
    <t>https://www.ebay.com/sch/i.html?_nkw=Alpha%20Ace%20Combat%207%20jacket&amp;_sacat=0&amp;_from=R40&amp;_sop=15&amp;rt=nc&amp;_udlo=20000</t>
  </si>
  <si>
    <t>https://jp.mercari.com/search?keyword=ALPHA%20%E3%82%A8%E3%83%BC%E3%82%B9%E3%82%B3%E3%83%B3%E3%83%90%E3%83%83%E3%83%88%20%E3%82%B3%E3%83%A9%E3%83%9C%20%E3%82%B8%E3%83%A3%E3%82%B1%E3%83%83%E3%83%88&amp;price_min=10000&amp;sort=price&amp;order=asc&amp;status=on_sale</t>
  </si>
  <si>
    <t>https://fril.jp/s?query=ALPHA%20%E3%82%A8%E3%83%BC%E3%82%B9%E3%82%B3%E3%83%B3%E3%83%90%E3%83%83%E3%83%88%20%E3%82%B3%E3%83%A9%E3%83%9C%20%E3%82%B8%E3%83%A3%E3%82%B1%E3%83%83%E3%83%88&amp;min=10000&amp;transaction=selling</t>
  </si>
  <si>
    <t>https://search.rakuten.co.jp/search/mall/ALPHA%20%E3%82%A8%E3%83%BC%E3%82%B9%E3%82%B3%E3%83%B3%E3%83%90%E3%83%83%E3%83%88%20%E3%82%B3%E3%83%A9%E3%83%9C%20%E3%82%B8%E3%83%A3%E3%82%B1%E3%83%83%E3%83%88/?min=10000</t>
  </si>
  <si>
    <t>https://auctions.yahoo.co.jp/search/search?p=ALPHA%20%E3%82%A8%E3%83%BC%E3%82%B9%E3%82%B3%E3%83%B3%E3%83%90%E3%83%83%E3%83%88%20%E3%82%B3%E3%83%A9%E3%83%9C%20%E3%82%B8%E3%83%A3%E3%82%B1%E3%83%83%E3%83%88&amp;aucminprice=10000</t>
  </si>
  <si>
    <t>https://shopping.yahoo.co.jp/search/ALPHA%20%E3%82%A8%E3%83%BC%E3%82%B9%E3%82%B3%E3%83%B3%E3%83%90%E3%83%83%E3%83%88%20%E3%82%B3%E3%83%A9%E3%83%9C%20%E3%82%B8%E3%83%A3%E3%82%B1%E3%83%83%E3%83%88/0/?pf=10000</t>
  </si>
  <si>
    <t>ハズビンホテル トレーディングカード THE ROACH シークレット</t>
  </si>
  <si>
    <t>https://www.ebay.com/sch/i.html?_nkw=Hazbin%20Hotel%20The%20Roach%20secret&amp;_sacat=0&amp;_from=R40&amp;_sop=15&amp;rt=nc&amp;_udlo=20000</t>
  </si>
  <si>
    <t>https://jp.mercari.com/search?keyword=%E3%83%8F%E3%82%BA%E3%83%93%E3%83%B3%E3%83%9B%E3%83%86%E3%83%AB%20THE%20ROACH%20%E3%82%B7%E3%83%BC%E3%82%AF%E3%83%AC%E3%83%83%E3%83%88&amp;price_min=10000&amp;sort=price&amp;order=asc&amp;status=on_sale</t>
  </si>
  <si>
    <t>https://fril.jp/s?query=%E3%83%8F%E3%82%BA%E3%83%93%E3%83%B3%E3%83%9B%E3%83%86%E3%83%AB%20THE%20ROACH%20%E3%82%B7%E3%83%BC%E3%82%AF%E3%83%AC%E3%83%83%E3%83%88&amp;min=10000&amp;transaction=selling</t>
  </si>
  <si>
    <t>https://search.rakuten.co.jp/search/mall/%E3%83%8F%E3%82%BA%E3%83%93%E3%83%B3%E3%83%9B%E3%83%86%E3%83%AB%20THE%20ROACH%20%E3%82%B7%E3%83%BC%E3%82%AF%E3%83%AC%E3%83%83%E3%83%88/?min=10000</t>
  </si>
  <si>
    <t>https://auctions.yahoo.co.jp/search/search?p=%E3%83%8F%E3%82%BA%E3%83%93%E3%83%B3%E3%83%9B%E3%83%86%E3%83%AB%20THE%20ROACH%20%E3%82%B7%E3%83%BC%E3%82%AF%E3%83%AC%E3%83%83%E3%83%88&amp;aucminprice=10000</t>
  </si>
  <si>
    <t>https://shopping.yahoo.co.jp/search/%E3%83%8F%E3%82%BA%E3%83%93%E3%83%B3%E3%83%9B%E3%83%86%E3%83%AB%20THE%20ROACH%20%E3%82%B7%E3%83%BC%E3%82%AF%E3%83%AC%E3%83%83%E3%83%88/0/?pf=10000</t>
  </si>
  <si>
    <t>ハズビンホテル アクリルスタンド チャーリー HAZBIN HOTEL Charlie STANDEE</t>
  </si>
  <si>
    <t>https://www.ebay.com/sch/i.html?_nkw=Hazbin%20Hotel%20Charlie%20acrylic%20stand&amp;_sacat=0&amp;_from=R40&amp;_sop=15&amp;rt=nc&amp;_udlo=20000</t>
  </si>
  <si>
    <t>https://jp.mercari.com/search?keyword=%E3%83%8F%E3%82%BA%E3%83%93%E3%83%B3%E3%83%9B%E3%83%86%E3%83%AB%20%E3%83%81%E3%83%A3%E3%83%BC%E3%83%AA%E3%83%BC%20%E3%82%A2%E3%82%AF%E3%83%AA%E3%83%AB%E3%82%B9%E3%82%BF%E3%83%B3%E3%83%89&amp;price_min=10000&amp;sort=price&amp;order=asc&amp;status=on_sale</t>
  </si>
  <si>
    <t>https://fril.jp/s?query=%E3%83%8F%E3%82%BA%E3%83%93%E3%83%B3%E3%83%9B%E3%83%86%E3%83%AB%20%E3%83%81%E3%83%A3%E3%83%BC%E3%83%AA%E3%83%BC%20%E3%82%A2%E3%82%AF%E3%83%AA%E3%83%AB%E3%82%B9%E3%82%BF%E3%83%B3%E3%83%89&amp;min=10000&amp;transaction=selling</t>
  </si>
  <si>
    <t>https://search.rakuten.co.jp/search/mall/%E3%83%8F%E3%82%BA%E3%83%93%E3%83%B3%E3%83%9B%E3%83%86%E3%83%AB%20%E3%83%81%E3%83%A3%E3%83%BC%E3%83%AA%E3%83%BC%20%E3%82%A2%E3%82%AF%E3%83%AA%E3%83%AB%E3%82%B9%E3%82%BF%E3%83%B3%E3%83%89/?min=10000</t>
  </si>
  <si>
    <t>https://auctions.yahoo.co.jp/search/search?p=%E3%83%8F%E3%82%BA%E3%83%93%E3%83%B3%E3%83%9B%E3%83%86%E3%83%AB%20%E3%83%81%E3%83%A3%E3%83%BC%E3%83%AA%E3%83%BC%20%E3%82%A2%E3%82%AF%E3%83%AA%E3%83%AB%E3%82%B9%E3%82%BF%E3%83%B3%E3%83%89&amp;aucminprice=10000</t>
  </si>
  <si>
    <t>https://shopping.yahoo.co.jp/search/%E3%83%8F%E3%82%BA%E3%83%93%E3%83%B3%E3%83%9B%E3%83%86%E3%83%AB%20%E3%83%81%E3%83%A3%E3%83%BC%E3%83%AA%E3%83%BC%20%E3%82%A2%E3%82%AF%E3%83%AA%E3%83%AB%E3%82%B9%E3%82%BF%E3%83%B3%E3%83%89/0/?pf=10000</t>
  </si>
  <si>
    <t>https://jp.mercari.com/item/m73428428037</t>
  </si>
  <si>
    <t>https://auctions.yahoo.co.jp/jp/auction/t1238637685</t>
  </si>
  <si>
    <t>https://jp.mercari.com/item/m69186539344</t>
  </si>
  <si>
    <t>SIREN x Doko Demo Issyo Shibito-ro T-Shirt 2014 Original Cospa Size L Japan</t>
  </si>
  <si>
    <t>Vertex Super Pochaco Cowgirl 1/6 Figure WonderFestival Limited Edition Japan</t>
  </si>
  <si>
    <t>Medicos Chozokado Guido Mista and Sex Pistols JoJo Part 5 Figure Reissue</t>
  </si>
  <si>
    <t>Alpha Industries x Ace Combat 7 CWU-36/P Flight Jacket Black Size XL Japan</t>
  </si>
  <si>
    <t>Trading Card Singles</t>
  </si>
  <si>
    <t>Hazbin Hotel The Roach Secret Trading Card 64/60 Season 2</t>
  </si>
  <si>
    <t>Hazbin Hotel Charlie Acrylic Stand Standee Shark Robot Limited Japan</t>
  </si>
  <si>
    <t>https://jp.mercari.com/item/m95276875888</t>
  </si>
  <si>
    <t>https://jp.mercari.com/shops/product/2JMbWsRLdJeksEgW8dhoeZ</t>
  </si>
  <si>
    <t>https://jp.mercari.com/item/m14829633369</t>
  </si>
  <si>
    <t>木城ゆきと画集 ARS MAGNA 銃夢　水中騎士　蜃気楼帝国</t>
  </si>
  <si>
    <t>https://www.ebay.com/sch/i.html?_nkw=Yukito%20Kishiro%20ARS%20MAGNA%20art%20book&amp;_sacat=0&amp;_from=R40&amp;_sop=15&amp;rt=nc&amp;_udlo=20000</t>
  </si>
  <si>
    <t>https://jp.mercari.com/search?keyword=%E6%9C%A8%E5%9F%8E%E3%82%86%E3%81%8D%E3%81%A8%E7%94%BB%E9%9B%86%20ARS%20MAGNA%20%E9%8A%83%E5%A4%A2&amp;price_min=10000&amp;sort=price&amp;order=asc&amp;status=on_sale</t>
  </si>
  <si>
    <t>https://fril.jp/s?query=%E6%9C%A8%E5%9F%8E%E3%82%86%E3%81%8D%E3%81%A8%E7%94%BB%E9%9B%86%20ARS%20MAGNA%20%E9%8A%83%E5%A4%A2&amp;min=10000&amp;transaction=selling</t>
  </si>
  <si>
    <t>https://search.rakuten.co.jp/search/mall/%E6%9C%A8%E5%9F%8E%E3%82%86%E3%81%8D%E3%81%A8%E7%94%BB%E9%9B%86%20ARS%20MAGNA%20%E9%8A%83%E5%A4%A2/?min=10000</t>
  </si>
  <si>
    <t>https://auctions.yahoo.co.jp/search/search?p=%E6%9C%A8%E5%9F%8E%E3%82%86%E3%81%8D%E3%81%A8%E7%94%BB%E9%9B%86%20ARS%20MAGNA%20%E9%8A%83%E5%A4%A2&amp;aucminprice=10000</t>
  </si>
  <si>
    <t>https://shopping.yahoo.co.jp/search/%E6%9C%A8%E5%9F%8E%E3%82%86%E3%81%8D%E3%81%A8%E7%94%BB%E9%9B%86%20ARS%20MAGNA%20%E9%8A%83%E5%A4%A2/0/?pf=10000</t>
  </si>
  <si>
    <t>新品・未使用 Blythe ネオブライス ウィンタリッ...</t>
  </si>
  <si>
    <t>https://www.ebay.com/sch/i.html?_nkw=Neo%20Blythe%20Winterish%20Allure&amp;_sacat=0&amp;_from=R40&amp;_sop=15&amp;rt=nc&amp;_udlo=20000</t>
  </si>
  <si>
    <t>https://jp.mercari.com/search?keyword=%E3%83%8D%E3%82%AA%E3%83%96%E3%83%A9%E3%82%A4%E3%82%B9%20%E3%82%A6%E3%82%A3%E3%83%B3%E3%82%BF%E3%83%AA%E3%83%83%E3%82%B7%E3%83%A5%E3%82%A2%E3%83%AB%E3%83%BC%E3%82%A2&amp;price_min=10000&amp;sort=price&amp;order=asc&amp;status=on_sale</t>
  </si>
  <si>
    <t>https://fril.jp/s?query=%E3%83%8D%E3%82%AA%E3%83%96%E3%83%A9%E3%82%A4%E3%82%B9%20%E3%82%A6%E3%82%A3%E3%83%B3%E3%82%BF%E3%83%AA%E3%83%83%E3%82%B7%E3%83%A5%E3%82%A2%E3%83%AB%E3%83%BC%E3%82%A2&amp;min=10000&amp;transaction=selling</t>
  </si>
  <si>
    <t>https://search.rakuten.co.jp/search/mall/%E3%83%8D%E3%82%AA%E3%83%96%E3%83%A9%E3%82%A4%E3%82%B9%20%E3%82%A6%E3%82%A3%E3%83%B3%E3%82%BF%E3%83%AA%E3%83%83%E3%82%B7%E3%83%A5%E3%82%A2%E3%83%AB%E3%83%BC%E3%82%A2/?min=10000</t>
  </si>
  <si>
    <t>https://auctions.yahoo.co.jp/search/search?p=%E3%83%8D%E3%82%AA%E3%83%96%E3%83%A9%E3%82%A4%E3%82%B9%20%E3%82%A6%E3%82%A3%E3%83%B3%E3%82%BF%E3%83%AA%E3%83%83%E3%82%B7%E3%83%A5%E3%82%A2%E3%83%AB%E3%83%BC%E3%82%A2&amp;aucminprice=10000</t>
  </si>
  <si>
    <t>https://shopping.yahoo.co.jp/search/%E3%83%8D%E3%82%AA%E3%83%96%E3%83%A9%E3%82%A4%E3%82%B9%20%E3%82%A6%E3%82%A3%E3%83%B3%E3%82%BF%E3%83%AA%E3%83%83%E3%82%B7%E3%83%A5%E3%82%A2%E3%83%AB%E3%83%BC%E3%82%A2/0/?pf=10000</t>
  </si>
  <si>
    <t>ガイキング超合金アルカディア号マジンガーZ</t>
  </si>
  <si>
    <t>https://www.ebay.com/sch/i.html?_nkw=Chogokin%20Arcadia%20lot&amp;_sacat=0&amp;_from=R40&amp;_sop=15&amp;rt=nc&amp;_udlo=20000</t>
  </si>
  <si>
    <t>https://jp.mercari.com/search?keyword=%E8%B6%85%E5%90%88%E9%87%91%20%E3%82%A2%E3%83%AB%E3%82%AB%E3%83%87%E3%82%A3%E3%82%A2%20%E3%82%AC%E3%82%A4%E3%82%AD%E3%83%B3%E3%82%B0&amp;price_min=10000&amp;sort=price&amp;order=asc&amp;status=on_sale</t>
  </si>
  <si>
    <t>https://fril.jp/s?query=%E8%B6%85%E5%90%88%E9%87%91%20%E3%82%A2%E3%83%AB%E3%82%AB%E3%83%87%E3%82%A3%E3%82%A2%20%E3%82%AC%E3%82%A4%E3%82%AD%E3%83%B3%E3%82%B0&amp;min=10000&amp;transaction=selling</t>
  </si>
  <si>
    <t>https://search.rakuten.co.jp/search/mall/%E8%B6%85%E5%90%88%E9%87%91%20%E3%82%A2%E3%83%AB%E3%82%AB%E3%83%87%E3%82%A3%E3%82%A2%20%E3%82%AC%E3%82%A4%E3%82%AD%E3%83%B3%E3%82%B0/?min=10000</t>
  </si>
  <si>
    <t>https://auctions.yahoo.co.jp/search/search?p=%E8%B6%85%E5%90%88%E9%87%91%20%E3%82%A2%E3%83%AB%E3%82%AB%E3%83%87%E3%82%A3%E3%82%A2%20%E3%82%AC%E3%82%A4%E3%82%AD%E3%83%B3%E3%82%B0&amp;aucminprice=10000</t>
  </si>
  <si>
    <t>https://shopping.yahoo.co.jp/search/%E8%B6%85%E5%90%88%E9%87%91%20%E3%82%A2%E3%83%AB%E3%82%AB%E3%83%87%E3%82%A3%E3%82%A2%20%E3%82%AC%E3%82%A4%E3%82%AD%E3%83%B3%E3%82%B0/0/?pf=10000</t>
  </si>
  <si>
    <t>キッス ＫＩＳS レトロ12インチ フィギュアセッ...</t>
  </si>
  <si>
    <t>https://www.ebay.com/sch/i.html?_nkw=Kiss%2012%20inch%20figure%20set&amp;_sacat=0&amp;_from=R40&amp;_sop=15&amp;rt=nc&amp;_udlo=20000</t>
  </si>
  <si>
    <t>https://jp.mercari.com/search?keyword=KISS%2012%E3%82%A4%E3%83%B3%E3%83%81%20%E3%83%95%E3%82%A3%E3%82%AE%E3%83%A5%E3%82%A2&amp;price_min=10000&amp;sort=price&amp;order=asc&amp;status=on_sale</t>
  </si>
  <si>
    <t>https://fril.jp/s?query=KISS%2012%E3%82%A4%E3%83%B3%E3%83%81%20%E3%83%95%E3%82%A3%E3%82%AE%E3%83%A5%E3%82%A2&amp;min=10000&amp;transaction=selling</t>
  </si>
  <si>
    <t>https://search.rakuten.co.jp/search/mall/KISS%2012%E3%82%A4%E3%83%B3%E3%83%81%20%E3%83%95%E3%82%A3%E3%82%AE%E3%83%A5%E3%82%A2/?min=10000</t>
  </si>
  <si>
    <t>https://auctions.yahoo.co.jp/search/search?p=KISS%2012%E3%82%A4%E3%83%B3%E3%83%81%20%E3%83%95%E3%82%A3%E3%82%AE%E3%83%A5%E3%82%A2&amp;aucminprice=10000</t>
  </si>
  <si>
    <t>https://shopping.yahoo.co.jp/search/KISS%2012%E3%82%A4%E3%83%B3%E3%83%81%20%E3%83%95%E3%82%A3%E3%82%AE%E3%83%A5%E3%82%A2/0/?pf=10000</t>
  </si>
  <si>
    <t>(未使用･未開封品)　超合金メカゴジラ2004(ブラックバージョン) lok26k6</t>
  </si>
  <si>
    <t>https://www.ebay.com/sch/i.html?_nkw=Chogokin%20Mechagodzilla%202004%20Black&amp;_sacat=0&amp;_from=R40&amp;_sop=15&amp;rt=nc&amp;_udlo=20000</t>
  </si>
  <si>
    <t>https://jp.mercari.com/search?keyword=%E8%B6%85%E5%90%88%E9%87%91%20%E3%83%A1%E3%82%AB%E3%82%B4%E3%82%B8%E3%83%A92004%20%E3%83%96%E3%83%A9%E3%83%83%E3%82%AF&amp;price_min=10000&amp;sort=price&amp;order=asc&amp;status=on_sale</t>
  </si>
  <si>
    <t>https://fril.jp/s?query=%E8%B6%85%E5%90%88%E9%87%91%20%E3%83%A1%E3%82%AB%E3%82%B4%E3%82%B8%E3%83%A92004%20%E3%83%96%E3%83%A9%E3%83%83%E3%82%AF&amp;min=10000&amp;transaction=selling</t>
  </si>
  <si>
    <t>https://search.rakuten.co.jp/search/mall/%E8%B6%85%E5%90%88%E9%87%91%20%E3%83%A1%E3%82%AB%E3%82%B4%E3%82%B8%E3%83%A92004%20%E3%83%96%E3%83%A9%E3%83%83%E3%82%AF/?min=10000</t>
  </si>
  <si>
    <t>https://auctions.yahoo.co.jp/search/search?p=%E8%B6%85%E5%90%88%E9%87%91%20%E3%83%A1%E3%82%AB%E3%82%B4%E3%82%B8%E3%83%A92004%20%E3%83%96%E3%83%A9%E3%83%83%E3%82%AF&amp;aucminprice=10000</t>
  </si>
  <si>
    <t>https://shopping.yahoo.co.jp/search/%E8%B6%85%E5%90%88%E9%87%91%20%E3%83%A1%E3%82%AB%E3%82%B4%E3%82%B8%E3%83%A92004%20%E3%83%96%E3%83%A9%E3%83%83%E3%82%AF/0/?pf=10000</t>
  </si>
  <si>
    <t>新品同様　ポピー 超合金 メカゴジラ</t>
  </si>
  <si>
    <t>https://www.ebay.com/sch/i.html?_nkw=Popy%20Chogokin%20Mechagodzilla&amp;_sacat=0&amp;_from=R40&amp;_sop=15&amp;rt=nc&amp;_udlo=20000</t>
  </si>
  <si>
    <t>https://jp.mercari.com/search?keyword=%E3%83%9D%E3%83%94%E3%83%BC%20%E8%B6%85%E5%90%88%E9%87%91%20%E3%83%A1%E3%82%AB%E3%82%B4%E3%82%B8%E3%83%A9&amp;price_min=10000&amp;sort=price&amp;order=asc&amp;status=on_sale</t>
  </si>
  <si>
    <t>https://fril.jp/s?query=%E3%83%9D%E3%83%94%E3%83%BC%20%E8%B6%85%E5%90%88%E9%87%91%20%E3%83%A1%E3%82%AB%E3%82%B4%E3%82%B8%E3%83%A9&amp;min=10000&amp;transaction=selling</t>
  </si>
  <si>
    <t>https://search.rakuten.co.jp/search/mall/%E3%83%9D%E3%83%94%E3%83%BC%20%E8%B6%85%E5%90%88%E9%87%91%20%E3%83%A1%E3%82%AB%E3%82%B4%E3%82%B8%E3%83%A9/?min=10000</t>
  </si>
  <si>
    <t>https://auctions.yahoo.co.jp/search/search?p=%E3%83%9D%E3%83%94%E3%83%BC%20%E8%B6%85%E5%90%88%E9%87%91%20%E3%83%A1%E3%82%AB%E3%82%B4%E3%82%B8%E3%83%A9&amp;aucminprice=10000</t>
  </si>
  <si>
    <t>https://shopping.yahoo.co.jp/search/%E3%83%9D%E3%83%94%E3%83%BC%20%E8%B6%85%E5%90%88%E9%87%91%20%E3%83%A1%E3%82%AB%E3%82%B4%E3%82%B8%E3%83%A9/0/?pf=10000</t>
  </si>
  <si>
    <t>https://www.ebay.com/sch/i.html?_nkw=Max%20Factory%20I-No%20Guilty%20Gear%20figure&amp;_sacat=0&amp;_from=R40&amp;_sop=15&amp;rt=nc&amp;_udlo=20000</t>
  </si>
  <si>
    <t>GUILTY GEAR XX イノ フィギュア 限定 新品</t>
  </si>
  <si>
    <t>https://jp.mercari.com/search?keyword=GUILTY%20GEAR%20%E3%82%A4%E3%83%8E%20%E3%83%95%E3%82%A3%E3%82%AE%E3%83%A5%E3%82%A2&amp;price_min=10000&amp;sort=price&amp;order=asc&amp;status=on_sale</t>
  </si>
  <si>
    <t>https://fril.jp/s?query=GUILTY%20GEAR%20%E3%82%A4%E3%83%8E%20%E3%83%95%E3%82%A3%E3%82%AE%E3%83%A5%E3%82%A2&amp;min=10000&amp;transaction=selling</t>
  </si>
  <si>
    <t>https://search.rakuten.co.jp/search/mall/GUILTY%20GEAR%20%E3%82%A4%E3%83%8E%20%E3%83%95%E3%82%A3%E3%82%AE%E3%83%A5%E3%82%A2/?min=10000</t>
  </si>
  <si>
    <t>https://auctions.yahoo.co.jp/search/search?p=GUILTY%20GEAR%20%E3%82%A4%E3%83%8E%20%E3%83%95%E3%82%A3%E3%82%AE%E3%83%A5%E3%82%A2&amp;aucminprice=10000</t>
  </si>
  <si>
    <t>https://shopping.yahoo.co.jp/search/GUILTY%20GEAR%20%E3%82%A4%E3%83%8E%20%E3%83%95%E3%82%A3%E3%82%AE%E3%83%A5%E3%82%A2/0/?pf=10000</t>
  </si>
  <si>
    <t>https://jp.mercari.com/item/m35148971723</t>
  </si>
  <si>
    <t>https://jp.mercari.com/item/m47449145920</t>
  </si>
  <si>
    <t>https://jp.mercari.com/item/m31653145904</t>
  </si>
  <si>
    <t>https://auctions.yahoo.co.jp/jp/auction/o1239092692</t>
  </si>
  <si>
    <t>https://auctions.yahoo.co.jp/jp/auction/c1058697225</t>
  </si>
  <si>
    <t>https://jp.mercari.com/shops/product/2JUGr6vHSnR9SpPJDpUFby</t>
  </si>
  <si>
    <t>https://jp.mercari.com/shops/product/2JRiRZAfKH8oFxxz9kHBkj</t>
  </si>
  <si>
    <t>https://jp.mercari.com/shops/product/2JU6Kopb7pHrYN39rX4pXB</t>
  </si>
  <si>
    <t>https://jp.mercari.com/shops/product/2JRQJUDjcvZT9jHYax7ZQK</t>
  </si>
  <si>
    <t>https://auctions.yahoo.co.jp/jp/auction/c1239865978</t>
  </si>
  <si>
    <t>https://item.fril.jp/232af237ab6294b60bb334847b993135?_gl=1*1ujglmk*Rakuma_gcl_aw*R0NMLjE3ODI4MzU5MTQuQ2p3S0NBancxdExPQmhBTUVpd0FpUGtSSHM1VDlLb0tJYlRWSHl6YkFMRno5dnlJaFR3RXd5XzlQenJHQ3FwSXFSSTczYnB6ZzNlV2lSb0M1SmtRQXZEX0J3RQ..*Rakuma_gcl_au*MTAzMDgyNTc4Mi4xNzg1ODU5NTQ3*_gcl_aw*R0NMLjE3ODI4MzU5MTYuQ2p3S0NBancxdExPQmhBTUVpd0FpUGtSSHM1VDlLb0tJYlRWSHl6YkFMRno5dnlJaFR3RXd5XzlQenJHQ3FwSXFSSTczYnB6ZzNlV2lSb0M1SmtRQXZEX0J3RQ..*_gcl_au*MTE5OTAwMTc0LjE3ODU1MDU0ODI.*_ga*MTMzMjQzMDk0MS4xNzE1MzM3Njg2*_ga_7KV9PBS698*czE3ODYwMjU5ODUkbzExMSRnMSR0MTc4NjAyNjc1NyRqNTckbDAkaDA.</t>
  </si>
  <si>
    <t>https://auctions.yahoo.co.jp/jp/auction/j1220776963</t>
  </si>
  <si>
    <t>ARS MAGNA Yukito Kishiro First Art Book Battle Angel Alita 145 Illustrations</t>
  </si>
  <si>
    <t>Neo Blythe Winterish Allure Doll Takara Tomy 2015 Sealed Japan</t>
  </si>
  <si>
    <t>Soul of Chogokin GX-05 Daiku Maryu Gaiking Bandai Diecast Figure Japan</t>
  </si>
  <si>
    <t>KISS Retro 12 inch Figure Set with Mini Concert T-Shirts Vintage</t>
  </si>
  <si>
    <t>Bandai Chogokin GD-57B Mechagodzilla 2004 Black Version Tokyo SOS Japan</t>
  </si>
  <si>
    <t>Popy Chogokin Mechagodzilla Vintage Diecast Figure Japan</t>
  </si>
  <si>
    <t>Max Factory I-No Extra Color Ver Guilty Gear XX 1/7 Figure WF2008 Limited</t>
  </si>
  <si>
    <t>仕入れ先URLの10枚中3枚目の画像（赤い外箱の画像）をメイン画像にしてくださいシイサキマイチュウマイメガゾウアカソトバコガゾウガゾウ</t>
  </si>
  <si>
    <t>https://jp.mercari.com/item/m61827929822</t>
  </si>
  <si>
    <t>https://jp.mercari.com/item/m11658788348</t>
  </si>
  <si>
    <t>https://paypayfleamarket.yahoo.co.jp/item/z647477800</t>
  </si>
  <si>
    <t>https://jp.mercari.com/item/m84715579311</t>
  </si>
  <si>
    <t>https://jp.mercari.com/item/m14231022758</t>
  </si>
  <si>
    <t>https://jp.mercari.com/item/m33597846033</t>
  </si>
  <si>
    <t>https://jp.mercari.com/item/m97837265470</t>
  </si>
  <si>
    <t>https://paypayfleamarket.yahoo.co.jp/item/z602727038</t>
  </si>
  <si>
    <t>https://www.ebay.com/sch/i.html?_nkw=Harem%20Labyrinth%20Roxanne%20comic%20figure&amp;_sacat=0&amp;_from=R40&amp;_sop=15&amp;rt=nc&amp;_udlo=20000</t>
  </si>
  <si>
    <t>https://jp.mercari.com/search?keyword=%E7%95%B0%E4%B8%96%E7%95%8C%E8%BF%B7%E5%AE%AE%E3%81%A7%E3%83%8F%E3%83%BC%E3%83%AC%E3%83%A0%E3%82%92%20%E3%83%AD%E3%82%AF%E3%82%B5%E3%83%BC%E3%83%8C%20%E3%82%B3%E3%83%9F%E3%83%83%E3%82%AFver%201%2F7&amp;price_min=10000&amp;sort=price&amp;order=asc&amp;status=on_sale</t>
  </si>
  <si>
    <t>https://fril.jp/s?query=%E7%95%B0%E4%B8%96%E7%95%8C%E8%BF%B7%E5%AE%AE%E3%81%A7%E3%83%8F%E3%83%BC%E3%83%AC%E3%83%A0%E3%82%92%20%E3%83%AD%E3%82%AF%E3%82%B5%E3%83%BC%E3%83%8C%20%E3%82%B3%E3%83%9F%E3%83%83%E3%82%AFver%201%2F7&amp;min=10000&amp;transaction=selling</t>
  </si>
  <si>
    <t>https://search.rakuten.co.jp/search/mall/%E7%95%B0%E4%B8%96%E7%95%8C%E8%BF%B7%E5%AE%AE%E3%81%A7%E3%83%8F%E3%83%BC%E3%83%AC%E3%83%A0%E3%82%92%20%E3%83%AD%E3%82%AF%E3%82%B5%E3%83%BC%E3%83%8C%20%E3%82%B3%E3%83%9F%E3%83%83%E3%82%AFver%201%2F7/?min=10000</t>
  </si>
  <si>
    <t>https://auctions.yahoo.co.jp/search/search?p=%E7%95%B0%E4%B8%96%E7%95%8C%E8%BF%B7%E5%AE%AE%E3%81%A7%E3%83%8F%E3%83%BC%E3%83%AC%E3%83%A0%E3%82%92%20%E3%83%AD%E3%82%AF%E3%82%B5%E3%83%BC%E3%83%8C%20%E3%82%B3%E3%83%9F%E3%83%83%E3%82%AFver%201%2F7&amp;aucminprice=10000</t>
  </si>
  <si>
    <t>https://shopping.yahoo.co.jp/search/%E7%95%B0%E4%B8%96%E7%95%8C%E8%BF%B7%E5%AE%AE%E3%81%A7%E3%83%8F%E3%83%BC%E3%83%AC%E3%83%A0%E3%82%92%20%E3%83%AD%E3%82%AF%E3%82%B5%E3%83%BC%E3%83%8C%20%E3%82%B3%E3%83%9F%E3%83%83%E3%82%AFver%201%2F7/0/?pf=10000</t>
  </si>
  <si>
    <t>異世界迷宮でハーレムを　ロクサーヌ　氷樹一世コミックver　フィギュア</t>
  </si>
  <si>
    <t>Realize ガレージキット　2体セット</t>
  </si>
  <si>
    <t>https://www.ebay.com/sch/i.html?_nkw=Realize%20garage%20kit%20set&amp;_sacat=0&amp;_from=R40&amp;_sop=15&amp;rt=nc&amp;_udlo=20000</t>
  </si>
  <si>
    <t>https://jp.mercari.com/search?keyword=Realize%20%E3%82%AC%E3%83%AC%E3%83%BC%E3%82%B8%E3%82%AD%E3%83%83%E3%83%88%20%E3%82%BB%E3%83%83%E3%83%88&amp;price_min=10000&amp;sort=price&amp;order=asc&amp;status=on_sale</t>
  </si>
  <si>
    <t>https://fril.jp/s?query=Realize%20%E3%82%AC%E3%83%AC%E3%83%BC%E3%82%B8%E3%82%AD%E3%83%83%E3%83%88%20%E3%82%BB%E3%83%83%E3%83%88&amp;min=10000&amp;transaction=selling</t>
  </si>
  <si>
    <t>https://search.rakuten.co.jp/search/mall/Realize%20%E3%82%AC%E3%83%AC%E3%83%BC%E3%82%B8%E3%82%AD%E3%83%83%E3%83%88%20%E3%82%BB%E3%83%83%E3%83%88/?min=10000</t>
  </si>
  <si>
    <t>https://auctions.yahoo.co.jp/search/search?p=Realize%20%E3%82%AC%E3%83%AC%E3%83%BC%E3%82%B8%E3%82%AD%E3%83%83%E3%83%88%20%E3%82%BB%E3%83%83%E3%83%88&amp;aucminprice=10000</t>
  </si>
  <si>
    <t>https://shopping.yahoo.co.jp/search/Realize%20%E3%82%AC%E3%83%AC%E3%83%BC%E3%82%B8%E3%82%AD%E3%83%83%E3%83%88%20%E3%82%BB%E3%83%83%E3%83%88/0/?pf=10000</t>
  </si>
  <si>
    <t>大谷翔平　パッケージスリーブ</t>
  </si>
  <si>
    <t>https://www.ebay.com/sch/i.html?_nkw=Ohtani%20package%20sleeve&amp;_sacat=0&amp;_from=R40&amp;_sop=15&amp;rt=nc&amp;_udlo=20000</t>
  </si>
  <si>
    <t>https://jp.mercari.com/search?keyword=%E5%A4%A7%E8%B0%B7%E7%BF%94%E5%B9%B3%20%E3%83%91%E3%83%83%E3%82%B1%E3%83%BC%E3%82%B8%20%E3%82%B9%E3%83%AA%E3%83%BC%E3%83%96&amp;price_min=10000&amp;sort=price&amp;order=asc&amp;status=on_sale</t>
  </si>
  <si>
    <t>https://fril.jp/s?query=%E5%A4%A7%E8%B0%B7%E7%BF%94%E5%B9%B3%20%E3%83%91%E3%83%83%E3%82%B1%E3%83%BC%E3%82%B8%20%E3%82%B9%E3%83%AA%E3%83%BC%E3%83%96&amp;min=10000&amp;transaction=selling</t>
  </si>
  <si>
    <t>https://search.rakuten.co.jp/search/mall/%E5%A4%A7%E8%B0%B7%E7%BF%94%E5%B9%B3%20%E3%83%91%E3%83%83%E3%82%B1%E3%83%BC%E3%82%B8%20%E3%82%B9%E3%83%AA%E3%83%BC%E3%83%96/?min=10000</t>
  </si>
  <si>
    <t>https://auctions.yahoo.co.jp/search/search?p=%E5%A4%A7%E8%B0%B7%E7%BF%94%E5%B9%B3%20%E3%83%91%E3%83%83%E3%82%B1%E3%83%BC%E3%82%B8%20%E3%82%B9%E3%83%AA%E3%83%BC%E3%83%96&amp;aucminprice=10000</t>
  </si>
  <si>
    <t>https://shopping.yahoo.co.jp/search/%E5%A4%A7%E8%B0%B7%E7%BF%94%E5%B9%B3%20%E3%83%91%E3%83%83%E3%82%B1%E3%83%BC%E3%82%B8%20%E3%82%B9%E3%83%AA%E3%83%BC%E3%83%96/0/?pf=10000</t>
  </si>
  <si>
    <t>RIOBOT ゲッターロボ デヴォリューション ＋ アップグレードパーツセット</t>
  </si>
  <si>
    <t>https://www.ebay.com/sch/i.html?_nkw=RIOBOT%20Getter%20Robo%20Devolution&amp;_sacat=0&amp;_from=R40&amp;_sop=15&amp;rt=nc&amp;_udlo=20000</t>
  </si>
  <si>
    <t>https://jp.mercari.com/search?keyword=RIOBOT%20%E3%82%B2%E3%83%83%E3%82%BF%E3%83%BC%E3%83%AD%E3%83%9C%20%E3%83%87%E3%83%B4%E3%82%A9%E3%83%AA%E3%83%A5%E3%83%BC%E3%82%B7%E3%83%A7%E3%83%B3&amp;price_min=10000&amp;sort=price&amp;order=asc&amp;status=on_sale</t>
  </si>
  <si>
    <t>https://fril.jp/s?query=RIOBOT%20%E3%82%B2%E3%83%83%E3%82%BF%E3%83%BC%E3%83%AD%E3%83%9C%20%E3%83%87%E3%83%B4%E3%82%A9%E3%83%AA%E3%83%A5%E3%83%BC%E3%82%B7%E3%83%A7%E3%83%B3&amp;min=10000&amp;transaction=selling</t>
  </si>
  <si>
    <t>https://search.rakuten.co.jp/search/mall/RIOBOT%20%E3%82%B2%E3%83%83%E3%82%BF%E3%83%BC%E3%83%AD%E3%83%9C%20%E3%83%87%E3%83%B4%E3%82%A9%E3%83%AA%E3%83%A5%E3%83%BC%E3%82%B7%E3%83%A7%E3%83%B3/?min=10000</t>
  </si>
  <si>
    <t>https://auctions.yahoo.co.jp/search/search?p=RIOBOT%20%E3%82%B2%E3%83%83%E3%82%BF%E3%83%BC%E3%83%AD%E3%83%9C%20%E3%83%87%E3%83%B4%E3%82%A9%E3%83%AA%E3%83%A5%E3%83%BC%E3%82%B7%E3%83%A7%E3%83%B3&amp;aucminprice=10000</t>
  </si>
  <si>
    <t>https://shopping.yahoo.co.jp/search/RIOBOT%20%E3%82%B2%E3%83%83%E3%82%BF%E3%83%BC%E3%83%AD%E3%83%9C%20%E3%83%87%E3%83%B4%E3%82%A9%E3%83%AA%E3%83%A5%E3%83%BC%E3%82%B7%E3%83%A7%E3%83%B3/0/?pf=10000</t>
  </si>
  <si>
    <t>文豪ストレイドッグス太宰治F:NEX1/7スケールフィギュアFuRyu受注生産</t>
  </si>
  <si>
    <t>https://www.ebay.com/sch/i.html?_nkw=Bungo%20Stray%20Dogs%20Dazai%20FNEX%20figure&amp;_sacat=0&amp;_from=R40&amp;_sop=15&amp;rt=nc&amp;_udlo=20000</t>
  </si>
  <si>
    <t>https://jp.mercari.com/search?keyword=%E6%96%87%E8%B1%AA%E3%82%B9%E3%83%88%E3%83%AC%E3%82%A4%E3%83%89%E3%83%83%E3%82%B0%E3%82%B9%20%E5%A4%AA%E5%AE%B0%E6%B2%BB%20F%3ANEX%201%2F7&amp;price_min=10000&amp;sort=price&amp;order=asc&amp;status=on_sale</t>
  </si>
  <si>
    <t>https://fril.jp/s?query=%E6%96%87%E8%B1%AA%E3%82%B9%E3%83%88%E3%83%AC%E3%82%A4%E3%83%89%E3%83%83%E3%82%B0%E3%82%B9%20%E5%A4%AA%E5%AE%B0%E6%B2%BB%20F%3ANEX%201%2F7&amp;min=10000&amp;transaction=selling</t>
  </si>
  <si>
    <t>https://search.rakuten.co.jp/search/mall/%E6%96%87%E8%B1%AA%E3%82%B9%E3%83%88%E3%83%AC%E3%82%A4%E3%83%89%E3%83%83%E3%82%B0%E3%82%B9%20%E5%A4%AA%E5%AE%B0%E6%B2%BB%20F%3ANEX%201%2F7/?min=10000</t>
  </si>
  <si>
    <t>https://auctions.yahoo.co.jp/search/search?p=%E6%96%87%E8%B1%AA%E3%82%B9%E3%83%88%E3%83%AC%E3%82%A4%E3%83%89%E3%83%83%E3%82%B0%E3%82%B9%20%E5%A4%AA%E5%AE%B0%E6%B2%BB%20F%3ANEX%201%2F7&amp;aucminprice=10000</t>
  </si>
  <si>
    <t>https://shopping.yahoo.co.jp/search/%E6%96%87%E8%B1%AA%E3%82%B9%E3%83%88%E3%83%AC%E3%82%A4%E3%83%89%E3%83%83%E3%82%B0%E3%82%B9%20%E5%A4%AA%E5%AE%B0%E6%B2%BB%20F%3ANEX%201%2F7/0/?pf=10000</t>
  </si>
  <si>
    <t>文豪ストレイドッグス 中原中也 1/7スケールフィギュア タキシード</t>
  </si>
  <si>
    <t>https://www.ebay.com/sch/i.html?_nkw=Bungo%20Stray%20Dogs%20Nakahara%201/7%20figure&amp;_sacat=0&amp;_from=R40&amp;_sop=15&amp;rt=nc&amp;_udlo=20000</t>
  </si>
  <si>
    <t>https://jp.mercari.com/search?keyword=%E6%96%87%E8%B1%AA%E3%82%B9%E3%83%88%E3%83%AC%E3%82%A4%E3%83%89%E3%83%83%E3%82%B0%E3%82%B9%20%E4%B8%AD%E5%8E%9F%E4%B8%AD%E4%B9%9F%201%2F7%20%E3%82%BF%E3%82%AD%E3%82%B7%E3%83%BC%E3%83%89&amp;price_min=10000&amp;sort=price&amp;order=asc&amp;status=on_sale</t>
  </si>
  <si>
    <t>https://fril.jp/s?query=%E6%96%87%E8%B1%AA%E3%82%B9%E3%83%88%E3%83%AC%E3%82%A4%E3%83%89%E3%83%83%E3%82%B0%E3%82%B9%20%E4%B8%AD%E5%8E%9F%E4%B8%AD%E4%B9%9F%201%2F7%20%E3%82%BF%E3%82%AD%E3%82%B7%E3%83%BC%E3%83%89&amp;min=10000&amp;transaction=selling</t>
  </si>
  <si>
    <t>https://search.rakuten.co.jp/search/mall/%E6%96%87%E8%B1%AA%E3%82%B9%E3%83%88%E3%83%AC%E3%82%A4%E3%83%89%E3%83%83%E3%82%B0%E3%82%B9%20%E4%B8%AD%E5%8E%9F%E4%B8%AD%E4%B9%9F%201%2F7%20%E3%82%BF%E3%82%AD%E3%82%B7%E3%83%BC%E3%83%89/?min=10000</t>
  </si>
  <si>
    <t>https://auctions.yahoo.co.jp/search/search?p=%E6%96%87%E8%B1%AA%E3%82%B9%E3%83%88%E3%83%AC%E3%82%A4%E3%83%89%E3%83%83%E3%82%B0%E3%82%B9%20%E4%B8%AD%E5%8E%9F%E4%B8%AD%E4%B9%9F%201%2F7%20%E3%82%BF%E3%82%AD%E3%82%B7%E3%83%BC%E3%83%89&amp;aucminprice=10000</t>
  </si>
  <si>
    <t>https://shopping.yahoo.co.jp/search/%E6%96%87%E8%B1%AA%E3%82%B9%E3%83%88%E3%83%AC%E3%82%A4%E3%83%89%E3%83%83%E3%82%B0%E3%82%B9%20%E4%B8%AD%E5%8E%9F%E4%B8%AD%E4%B9%9F%201%2F7%20%E3%82%BF%E3%82%AD%E3%82%B7%E3%83%BC%E3%83%89/0/?pf=10000</t>
  </si>
  <si>
    <t>1/6フィギュア 織田信長　戦国武将 侍 戦国無双 戦国BASARA 刀　甲冑</t>
  </si>
  <si>
    <t>https://www.ebay.com/sch/i.html?_nkw=Oda%20Nobunaga%201/6%20samurai%20figure&amp;_sacat=0&amp;_from=R40&amp;_sop=15&amp;rt=nc&amp;_udlo=20000</t>
  </si>
  <si>
    <t>https://jp.mercari.com/search?keyword=%E7%B9%94%E7%94%B0%E4%BF%A1%E9%95%B7%201%2F6%20%E3%83%95%E3%82%A3%E3%82%AE%E3%83%A5%E3%82%A2%20%E4%BE%8D%20%E7%94%B2%E5%86%91&amp;price_min=10000&amp;sort=price&amp;order=asc&amp;status=on_sale</t>
  </si>
  <si>
    <t>https://fril.jp/s?query=%E7%B9%94%E7%94%B0%E4%BF%A1%E9%95%B7%201%2F6%20%E3%83%95%E3%82%A3%E3%82%AE%E3%83%A5%E3%82%A2%20%E4%BE%8D%20%E7%94%B2%E5%86%91&amp;min=10000&amp;transaction=selling</t>
  </si>
  <si>
    <t>https://search.rakuten.co.jp/search/mall/%E7%B9%94%E7%94%B0%E4%BF%A1%E9%95%B7%201%2F6%20%E3%83%95%E3%82%A3%E3%82%AE%E3%83%A5%E3%82%A2%20%E4%BE%8D%20%E7%94%B2%E5%86%91/?min=10000</t>
  </si>
  <si>
    <t>https://auctions.yahoo.co.jp/search/search?p=%E7%B9%94%E7%94%B0%E4%BF%A1%E9%95%B7%201%2F6%20%E3%83%95%E3%82%A3%E3%82%AE%E3%83%A5%E3%82%A2%20%E4%BE%8D%20%E7%94%B2%E5%86%91&amp;aucminprice=10000</t>
  </si>
  <si>
    <t>https://shopping.yahoo.co.jp/search/%E7%B9%94%E7%94%B0%E4%BF%A1%E9%95%B7%201%2F6%20%E3%83%95%E3%82%A3%E3%82%AE%E3%83%A5%E3%82%A2%20%E4%BE%8D%20%E7%94%B2%E5%86%91/0/?pf=10000</t>
  </si>
  <si>
    <t>https://www.ebay.com/sch/i.html?_nkw=Tamiya%201/12%20Porsche%20Carrera%20GT%20kit&amp;_sacat=0&amp;_from=R40&amp;_sop=15&amp;rt=nc&amp;_udlo=20000</t>
  </si>
  <si>
    <t>https://jp.mercari.com/search?keyword=%E3%82%BF%E3%83%9F%E3%83%A4%201%2F12%20%E3%83%9D%E3%83%AB%E3%82%B7%E3%82%A7%20%E3%82%AB%E3%83%AC%E3%83%A9GT%20%E3%83%97%E3%83%A9%E3%83%A2&amp;price_min=10000&amp;sort=price&amp;order=asc&amp;status=on_sale</t>
  </si>
  <si>
    <t>https://fril.jp/s?query=%E3%82%BF%E3%83%9F%E3%83%A4%201%2F12%20%E3%83%9D%E3%83%AB%E3%82%B7%E3%82%A7%20%E3%82%AB%E3%83%AC%E3%83%A9GT%20%E3%83%97%E3%83%A9%E3%83%A2&amp;min=10000&amp;transaction=selling</t>
  </si>
  <si>
    <t>https://search.rakuten.co.jp/search/mall/%E3%82%BF%E3%83%9F%E3%83%A4%201%2F12%20%E3%83%9D%E3%83%AB%E3%82%B7%E3%82%A7%20%E3%82%AB%E3%83%AC%E3%83%A9GT%20%E3%83%97%E3%83%A9%E3%83%A2/?min=10000</t>
  </si>
  <si>
    <t>https://auctions.yahoo.co.jp/search/search?p=%E3%82%BF%E3%83%9F%E3%83%A4%201%2F12%20%E3%83%9D%E3%83%AB%E3%82%B7%E3%82%A7%20%E3%82%AB%E3%83%AC%E3%83%A9GT%20%E3%83%97%E3%83%A9%E3%83%A2&amp;aucminprice=10000</t>
  </si>
  <si>
    <t>https://shopping.yahoo.co.jp/search/%E3%82%BF%E3%83%9F%E3%83%A4%201%2F12%20%E3%83%9D%E3%83%AB%E3%82%B7%E3%82%A7%20%E3%82%AB%E3%83%AC%E3%83%A9GT%20%E3%83%97%E3%83%A9%E3%83%A2/0/?pf=10000</t>
  </si>
  <si>
    <t>タミヤ 1/12 ポルシェ カレラGT ビッグスケールシリーズ プラモデル 新品</t>
  </si>
  <si>
    <t>TRF102 シャーシ キット タミヤ TAMIYA 84432 限定</t>
  </si>
  <si>
    <t>https://www.ebay.com/sch/i.html?_nkw=Tamiya%20TRF102%20chassis%2084432&amp;_sacat=0&amp;_from=R40&amp;_sop=15&amp;rt=nc&amp;_udlo=20000</t>
  </si>
  <si>
    <t>https://jp.mercari.com/search?keyword=%E3%82%BF%E3%83%9F%E3%83%A4%20TRF102%20%E3%82%B7%E3%83%A3%E3%83%BC%E3%82%B7%20%E3%82%AD%E3%83%83%E3%83%88%2084432&amp;price_min=10000&amp;sort=price&amp;order=asc&amp;status=on_sale</t>
  </si>
  <si>
    <t>https://fril.jp/s?query=%E3%82%BF%E3%83%9F%E3%83%A4%20TRF102%20%E3%82%B7%E3%83%A3%E3%83%BC%E3%82%B7%20%E3%82%AD%E3%83%83%E3%83%88%2084432&amp;min=10000&amp;transaction=selling</t>
  </si>
  <si>
    <t>https://search.rakuten.co.jp/search/mall/%E3%82%BF%E3%83%9F%E3%83%A4%20TRF102%20%E3%82%B7%E3%83%A3%E3%83%BC%E3%82%B7%20%E3%82%AD%E3%83%83%E3%83%88%2084432/?min=10000</t>
  </si>
  <si>
    <t>https://auctions.yahoo.co.jp/search/search?p=%E3%82%BF%E3%83%9F%E3%83%A4%20TRF102%20%E3%82%B7%E3%83%A3%E3%83%BC%E3%82%B7%20%E3%82%AD%E3%83%83%E3%83%88%2084432&amp;aucminprice=10000</t>
  </si>
  <si>
    <t>https://shopping.yahoo.co.jp/search/%E3%82%BF%E3%83%9F%E3%83%A4%20TRF102%20%E3%82%B7%E3%83%A3%E3%83%BC%E3%82%B7%20%E3%82%AD%E3%83%83%E3%83%88%2084432/0/?pf=10000</t>
  </si>
  <si>
    <t>https://jp.mercari.com/item/m55790842800</t>
  </si>
  <si>
    <t>https://jp.mercari.com/item/m14135353857</t>
  </si>
  <si>
    <t>https://auctions.yahoo.co.jp/jp/auction/t1231044347</t>
  </si>
  <si>
    <t>Harem in the Labyrinth Roxanne Hyoju Issei Comic Ver 1/7 Figure Japan</t>
  </si>
  <si>
    <t>Realize Garage Kit Manami and Roxanne Resin Figure 2 Set K.PIERO Unbuilt</t>
  </si>
  <si>
    <t>Shohei Ohtani Package Sleeve PS4 PS5 Powerpro 2024-2025 Bonus</t>
  </si>
  <si>
    <t>Sentinel RIOBOT Getter 1 Devolution and Upgrade Parts Set Figure Japan</t>
  </si>
  <si>
    <t>Bungo Stray Dogs Dazai Osamu F:NEX 1/7 Figure FuRyu Made to Order Tuxedo</t>
  </si>
  <si>
    <t>Bungo Stray Dogs Nakahara Chuya 1/7 Figure Tuxedo F:NEX Event Ver Japan</t>
  </si>
  <si>
    <t>COOMODEL Oda Nobunaga 1/6 Action Figure Samurai Warlord Armor 12 inch</t>
  </si>
  <si>
    <t>Tamiya 1/12 Big Scale Series No.50 Porsche Carrera GT Plastic Model Kit</t>
  </si>
  <si>
    <t>Tamiya TRF102 Chassis Kit 84432 Limited RC On-Road Car Unbuilt Japan</t>
  </si>
  <si>
    <t>https://paypayfleamarket.yahoo.co.jp/item/z596900862</t>
  </si>
  <si>
    <t>https://jp.mercari.com/item/m12338195185</t>
  </si>
  <si>
    <t>https://page.auctions.yahoo.co.jp/jp/auction/n1152405819</t>
  </si>
  <si>
    <t>https://jp.mercari.com/item/m50011507121</t>
  </si>
  <si>
    <t>https://paypayfleamarket.yahoo.co.jp/item/z632669994</t>
  </si>
  <si>
    <t>https://paypayfleamarket.yahoo.co.jp/item/z634072138</t>
  </si>
  <si>
    <t>https://www.ebay.com/sch/i.html?_nkw=Traveler%27s%20Notebook%20Love%20Trip%20passport&amp;_sacat=0&amp;_from=R40&amp;_sop=15&amp;rt=nc</t>
  </si>
  <si>
    <t>https://jp.mercari.com/search?keyword=%E3%83%88%E3%83%A9%E3%83%99%E3%83%A9%E3%83%BC%E3%82%BA%E3%83%8E%E3%83%BC%E3%83%88%20LOVE%20AND%20TRIP%20%E3%83%91%E3%82%B9%E3%83%9D%E3%83%BC%E3%83%88&amp;price_min=10000&amp;sort=price&amp;order=asc&amp;status=on_sale</t>
  </si>
  <si>
    <t>https://fril.jp/s?query=%E3%83%88%E3%83%A9%E3%83%99%E3%83%A9%E3%83%BC%E3%82%BA%E3%83%8E%E3%83%BC%E3%83%88%20LOVE%20AND%20TRIP%20%E3%83%91%E3%82%B9%E3%83%9D%E3%83%BC%E3%83%88&amp;min=10000&amp;transaction=selling</t>
  </si>
  <si>
    <t>https://search.rakuten.co.jp/search/mall/%E3%83%88%E3%83%A9%E3%83%99%E3%83%A9%E3%83%BC%E3%82%BA%E3%83%8E%E3%83%BC%E3%83%88%20LOVE%20AND%20TRIP%20%E3%83%91%E3%82%B9%E3%83%9D%E3%83%BC%E3%83%88/?min=10000</t>
  </si>
  <si>
    <t>https://auctions.yahoo.co.jp/search/search?p=%E3%83%88%E3%83%A9%E3%83%99%E3%83%A9%E3%83%BC%E3%82%BA%E3%83%8E%E3%83%BC%E3%83%88%20LOVE%20AND%20TRIP%20%E3%83%91%E3%82%B9%E3%83%9D%E3%83%BC%E3%83%88&amp;aucminprice=10000</t>
  </si>
  <si>
    <t>https://shopping.yahoo.co.jp/search/%E3%83%88%E3%83%A9%E3%83%99%E3%83%A9%E3%83%BC%E3%82%BA%E3%83%8E%E3%83%BC%E3%83%88%20LOVE%20AND%20TRIP%20%E3%83%91%E3%82%B9%E3%83%9D%E3%83%BC%E3%83%88/0/?pf=10000</t>
  </si>
  <si>
    <t>トラベラーズノート パスポートサイズ LOVE AND TRIP レッド</t>
  </si>
  <si>
    <t>トラベラーズノート 2022限定セット『レコード』...</t>
  </si>
  <si>
    <t>https://www.ebay.com/sch/i.html?_nkw=Traveler%27s%20Notebook%202022%20limited&amp;_sacat=0&amp;_from=R40&amp;_sop=15&amp;rt=nc</t>
  </si>
  <si>
    <t>https://jp.mercari.com/search?keyword=%E3%83%88%E3%83%A9%E3%83%99%E3%83%A9%E3%83%BC%E3%82%BA%E3%83%8E%E3%83%BC%E3%83%88%202022%E9%99%90%E5%AE%9A%20%E3%83%AC%E3%82%B3%E3%83%BC%E3%83%89&amp;price_min=10000&amp;sort=price&amp;order=asc&amp;status=on_sale</t>
  </si>
  <si>
    <t>https://fril.jp/s?query=%E3%83%88%E3%83%A9%E3%83%99%E3%83%A9%E3%83%BC%E3%82%BA%E3%83%8E%E3%83%BC%E3%83%88%202022%E9%99%90%E5%AE%9A%20%E3%83%AC%E3%82%B3%E3%83%BC%E3%83%89&amp;min=10000&amp;transaction=selling</t>
  </si>
  <si>
    <t>https://search.rakuten.co.jp/search/mall/%E3%83%88%E3%83%A9%E3%83%99%E3%83%A9%E3%83%BC%E3%82%BA%E3%83%8E%E3%83%BC%E3%83%88%202022%E9%99%90%E5%AE%9A%20%E3%83%AC%E3%82%B3%E3%83%BC%E3%83%89/?min=10000</t>
  </si>
  <si>
    <t>https://auctions.yahoo.co.jp/search/search?p=%E3%83%88%E3%83%A9%E3%83%99%E3%83%A9%E3%83%BC%E3%82%BA%E3%83%8E%E3%83%BC%E3%83%88%202022%E9%99%90%E5%AE%9A%20%E3%83%AC%E3%82%B3%E3%83%BC%E3%83%89&amp;aucminprice=10000</t>
  </si>
  <si>
    <t>https://shopping.yahoo.co.jp/search/%E3%83%88%E3%83%A9%E3%83%99%E3%83%A9%E3%83%BC%E3%82%BA%E3%83%8E%E3%83%BC%E3%83%88%202022%E9%99%90%E5%AE%9A%20%E3%83%AC%E3%82%B3%E3%83%BC%E3%83%89/0/?pf=10000</t>
  </si>
  <si>
    <t>FF14 紅蓮の解放者（ぐれんのリベレーター ） コレクターズエディション未開封</t>
  </si>
  <si>
    <t>https://www.ebay.com/sch/i.html?_nkw=FFXIV%20Stormblood%20Collector%27s%20Edition&amp;_sacat=0&amp;_from=R40&amp;_sop=15&amp;rt=nc</t>
  </si>
  <si>
    <t>https://jp.mercari.com/search?keyword=FF14%20%E7%B4%85%E8%93%AE%E3%81%AE%E3%83%AA%E3%83%99%E3%83%AC%E3%83%BC%E3%82%BF%E3%83%BC%20%E3%82%B3%E3%83%AC%E3%82%AF%E3%82%BF%E3%83%BC%E3%82%BA&amp;price_min=10000&amp;sort=price&amp;order=asc&amp;status=on_sale</t>
  </si>
  <si>
    <t>https://fril.jp/s?query=FF14%20%E7%B4%85%E8%93%AE%E3%81%AE%E3%83%AA%E3%83%99%E3%83%AC%E3%83%BC%E3%82%BF%E3%83%BC%20%E3%82%B3%E3%83%AC%E3%82%AF%E3%82%BF%E3%83%BC%E3%82%BA&amp;min=10000&amp;transaction=selling</t>
  </si>
  <si>
    <t>https://search.rakuten.co.jp/search/mall/FF14%20%E7%B4%85%E8%93%AE%E3%81%AE%E3%83%AA%E3%83%99%E3%83%AC%E3%83%BC%E3%82%BF%E3%83%BC%20%E3%82%B3%E3%83%AC%E3%82%AF%E3%82%BF%E3%83%BC%E3%82%BA/?min=10000</t>
  </si>
  <si>
    <t>https://auctions.yahoo.co.jp/search/search?p=FF14%20%E7%B4%85%E8%93%AE%E3%81%AE%E3%83%AA%E3%83%99%E3%83%AC%E3%83%BC%E3%82%BF%E3%83%BC%20%E3%82%B3%E3%83%AC%E3%82%AF%E3%82%BF%E3%83%BC%E3%82%BA&amp;aucminprice=10000</t>
  </si>
  <si>
    <t>https://shopping.yahoo.co.jp/search/FF14%20%E7%B4%85%E8%93%AE%E3%81%AE%E3%83%AA%E3%83%99%E3%83%AC%E3%83%BC%E3%82%BF%E3%83%BC%20%E3%82%B3%E3%83%AC%E3%82%AF%E3%82%BF%E3%83%BC%E3%82%BA/0/?pf=10000</t>
  </si>
  <si>
    <t>https://www.ebay.com/sch/i.html?_nkw=David%20Bowie%20New%20Career%20New%20Town&amp;_sacat=0&amp;_from=R40&amp;_sop=15&amp;rt=nc</t>
  </si>
  <si>
    <t>https://jp.mercari.com/search?keyword=David%20Bowie%20A%20New%20Career%20in%20a%20New%20Town%20CD&amp;price_min=10000&amp;sort=price&amp;order=asc&amp;status=on_sale</t>
  </si>
  <si>
    <t>https://fril.jp/s?query=David%20Bowie%20A%20New%20Career%20in%20a%20New%20Town%20CD&amp;min=10000&amp;transaction=selling</t>
  </si>
  <si>
    <t>https://search.rakuten.co.jp/search/mall/David%20Bowie%20A%20New%20Career%20in%20a%20New%20Town%20CD/?min=10000</t>
  </si>
  <si>
    <t>https://auctions.yahoo.co.jp/search/search?p=David%20Bowie%20A%20New%20Career%20in%20a%20New%20Town%20CD&amp;aucminprice=10000</t>
  </si>
  <si>
    <t>https://shopping.yahoo.co.jp/search/David%20Bowie%20A%20New%20Career%20in%20a%20New%20Town%20CD/0/?pf=10000</t>
  </si>
  <si>
    <t>即決 紙ジャケット A 【デヴィッド・ボウイ / ア...</t>
  </si>
  <si>
    <t>逆転裁判　蘇る逆転〜4 逆転検事　公式ガイド　攻略本　設定資料集　6冊セット</t>
  </si>
  <si>
    <t>https://www.ebay.com/sch/i.html?_nkw=Ace%20Attorney%20guide%20book%20set&amp;_sacat=0&amp;_from=R40&amp;_sop=15&amp;rt=nc</t>
  </si>
  <si>
    <t>https://jp.mercari.com/search?keyword=%E9%80%86%E8%BB%A2%E8%A3%81%E5%88%A4%20%E6%94%BB%E7%95%A5%E6%9C%AC%20%E8%A8%AD%E5%AE%9A%E8%B3%87%E6%96%99&amp;price_min=10000&amp;sort=price&amp;order=asc&amp;status=on_sale</t>
  </si>
  <si>
    <t>https://fril.jp/s?query=%E9%80%86%E8%BB%A2%E8%A3%81%E5%88%A4%20%E6%94%BB%E7%95%A5%E6%9C%AC%20%E8%A8%AD%E5%AE%9A%E8%B3%87%E6%96%99&amp;min=10000&amp;transaction=selling</t>
  </si>
  <si>
    <t>https://search.rakuten.co.jp/search/mall/%E9%80%86%E8%BB%A2%E8%A3%81%E5%88%A4%20%E6%94%BB%E7%95%A5%E6%9C%AC%20%E8%A8%AD%E5%AE%9A%E8%B3%87%E6%96%99/?min=10000</t>
  </si>
  <si>
    <t>https://auctions.yahoo.co.jp/search/search?p=%E9%80%86%E8%BB%A2%E8%A3%81%E5%88%A4%20%E6%94%BB%E7%95%A5%E6%9C%AC%20%E8%A8%AD%E5%AE%9A%E8%B3%87%E6%96%99&amp;aucminprice=10000</t>
  </si>
  <si>
    <t>https://shopping.yahoo.co.jp/search/%E9%80%86%E8%BB%A2%E8%A3%81%E5%88%A4%20%E6%94%BB%E7%95%A5%E6%9C%AC%20%E8%A8%AD%E5%AE%9A%E8%B3%87%E6%96%99/0/?pf=10000</t>
  </si>
  <si>
    <t>【希少当時物】2011 逆転検事2 コレクターズ・パッケージ 御剣怜侍 イーカプコン限定</t>
  </si>
  <si>
    <t>https://www.ebay.com/sch/i.html?_nkw=Ace%20Attorney%20Investigations%202%20Collector&amp;_sacat=0&amp;_from=R40&amp;_sop=15&amp;rt=nc</t>
  </si>
  <si>
    <t>https://jp.mercari.com/item/m72797263881</t>
  </si>
  <si>
    <t>https://jp.mercari.com/item/m10343168508</t>
  </si>
  <si>
    <t>https://jp.mercari.com/item/m50934775206</t>
  </si>
  <si>
    <t>https://jp.mercari.com/item/m44827383906</t>
  </si>
  <si>
    <t>https://jp.mercari.com/search?keyword=%E9%80%86%E8%BB%A2%E6%A4%9C%E4%BA%8B2%20%E3%82%B3%E3%83%AC%E3%82%AF%E3%82%BF%E3%83%BC%E3%82%BA%E3%83%91%E3%83%83%E3%82%B1%E3%83%BC%E3%82%B8&amp;price_min=10000&amp;sort=price&amp;order=asc&amp;status=on_sale</t>
  </si>
  <si>
    <t>https://fril.jp/s?query=%E9%80%86%E8%BB%A2%E6%A4%9C%E4%BA%8B2%20%E3%82%B3%E3%83%AC%E3%82%AF%E3%82%BF%E3%83%BC%E3%82%BA%E3%83%91%E3%83%83%E3%82%B1%E3%83%BC%E3%82%B8&amp;min=10000&amp;transaction=selling</t>
  </si>
  <si>
    <t>https://search.rakuten.co.jp/search/mall/%E9%80%86%E8%BB%A2%E6%A4%9C%E4%BA%8B2%20%E3%82%B3%E3%83%AC%E3%82%AF%E3%82%BF%E3%83%BC%E3%82%BA%E3%83%91%E3%83%83%E3%82%B1%E3%83%BC%E3%82%B8/?min=10000</t>
  </si>
  <si>
    <t>https://auctions.yahoo.co.jp/search/search?p=%E9%80%86%E8%BB%A2%E6%A4%9C%E4%BA%8B2%20%E3%82%B3%E3%83%AC%E3%82%AF%E3%82%BF%E3%83%BC%E3%82%BA%E3%83%91%E3%83%83%E3%82%B1%E3%83%BC%E3%82%B8&amp;aucminprice=10000</t>
  </si>
  <si>
    <t>https://shopping.yahoo.co.jp/search/%E9%80%86%E8%BB%A2%E6%A4%9C%E4%BA%8B2%20%E3%82%B3%E3%83%AC%E3%82%AF%E3%82%BF%E3%83%BC%E3%82%BA%E3%83%91%E3%83%83%E3%82%B1%E3%83%BC%E3%82%B8/0/?pf=10000</t>
  </si>
  <si>
    <t>ゴジラ(2016) 第4形態 覚醒Ver. パープルクリアエディション</t>
  </si>
  <si>
    <t>https://jp.mercari.com/search?keyword=%E6%9D%B1%E5%AE%9D30cm%20%E3%82%B4%E3%82%B8%E3%83%A9%202016%20%E8%A6%9A%E9%86%92%20%E3%83%91%E3%83%BC%E3%83%97%E3%83%AB%E3%82%AF%E3%83%AA%E3%82%A2&amp;price_min=10000&amp;sort=price&amp;order=asc&amp;status=on_sale</t>
  </si>
  <si>
    <t>https://fril.jp/s?query=%E6%9D%B1%E5%AE%9D30cm%20%E3%82%B4%E3%82%B8%E3%83%A9%202016%20%E8%A6%9A%E9%86%92%20%E3%83%91%E3%83%BC%E3%83%97%E3%83%AB%E3%82%AF%E3%83%AA%E3%82%A2&amp;min=10000&amp;transaction=selling</t>
  </si>
  <si>
    <t>https://search.rakuten.co.jp/search/mall/%E6%9D%B1%E5%AE%9D30cm%20%E3%82%B4%E3%82%B8%E3%83%A9%202016%20%E8%A6%9A%E9%86%92%20%E3%83%91%E3%83%BC%E3%83%97%E3%83%AB%E3%82%AF%E3%83%AA%E3%82%A2/?min=10000</t>
  </si>
  <si>
    <t>https://auctions.yahoo.co.jp/search/search?p=%E6%9D%B1%E5%AE%9D30cm%20%E3%82%B4%E3%82%B8%E3%83%A9%202016%20%E8%A6%9A%E9%86%92%20%E3%83%91%E3%83%BC%E3%83%97%E3%83%AB%E3%82%AF%E3%83%AA%E3%82%A2&amp;aucminprice=10000</t>
  </si>
  <si>
    <t>https://shopping.yahoo.co.jp/search/%E6%9D%B1%E5%AE%9D30cm%20%E3%82%B4%E3%82%B8%E3%83%A9%202016%20%E8%A6%9A%E9%86%92%20%E3%83%91%E3%83%BC%E3%83%97%E3%83%AB%E3%82%AF%E3%83%AA%E3%82%A2/0/?pf=10000</t>
  </si>
  <si>
    <t>https://jp.mercari.com/item/m16177170738</t>
  </si>
  <si>
    <t>https://auctions.yahoo.co.jp/jp/auction/d1194831913</t>
  </si>
  <si>
    <t>https://www.ebay.com/sch/i.html?_nkw=2016+Godzilla+Purple+Clear&amp;_sacat=0&amp;_from=R40&amp;_trksid=m570.l1313&amp;rt=nc&amp;_odkw=Toho+30cm+Godzilla+Purple+Clear&amp;_osacat=0&amp;_sop=15</t>
  </si>
  <si>
    <t>https://paypayfleamarket.yahoo.co.jp/item/z625675692</t>
  </si>
  <si>
    <t>Traveler's Notebook Passport Size LOVE AND TRIP Red Limited</t>
  </si>
  <si>
    <t>Traveler's Notebook 2022 Limited Record Edition Passport Size Stationery</t>
  </si>
  <si>
    <t>FFXIV Stormblood Collector's Edition PS4 Sealed w/ Zenos Figure Art Box</t>
  </si>
  <si>
    <t>David Bowie Aladdin Sane Japan Paper Sleeve SHM-CD Limited OBI</t>
  </si>
  <si>
    <t>Ace Attorney &amp; Investigations Official Guide Book 6 Books Set GBA DS Capcom</t>
  </si>
  <si>
    <t>Ace Attorney Investigations 2 Collector's Package e-Capcom Ltd DS w/ Figure</t>
  </si>
  <si>
    <t>X-Plus DefoReal Shin Godzilla 2016 Awakening Ver. Purple Clear Edition Figure</t>
  </si>
  <si>
    <t>https://jp.mercari.com/item/m41767889232</t>
  </si>
  <si>
    <t>https://jp.mercari.com/item/m81646596389</t>
  </si>
  <si>
    <t>https://page.auctions.yahoo.co.jp/jp/auction/x1239786128</t>
  </si>
  <si>
    <t>https://jp.mercari.com/item/m41121962404</t>
  </si>
  <si>
    <t>https://paypayfleamarket.yahoo.co.jp/item/z658763990</t>
  </si>
  <si>
    <t>https://jp.mercari.com/item/m37761206323</t>
  </si>
  <si>
    <t>https://jp.mercari.com/item/m32348398046</t>
  </si>
  <si>
    <t>https://page.auctions.yahoo.co.jp/jp/auction/u1223180449</t>
  </si>
  <si>
    <t>ファイナルファンタジー　ネックレス　ペンダント　Exarch's Cane</t>
  </si>
  <si>
    <t>https://www.ebay.com/sch/i.html?_nkw=FFXIV%20Exarch%20Cane%20necklace&amp;_sacat=0&amp;_from=R40&amp;_sop=15&amp;rt=nc</t>
  </si>
  <si>
    <t>https://jp.mercari.com/search?keyword=FF14%20%E3%82%A8%E3%82%AE%20%E6%B0%B4%E6%99%B6%E5%85%AC%20%E3%83%8D%E3%83%83%E3%82%AF%E3%83%AC%E3%82%B9&amp;price_min=10000&amp;sort=price&amp;order=asc&amp;status=on_sale</t>
  </si>
  <si>
    <t>https://fril.jp/s?query=FF14%20%E3%82%A8%E3%82%AE%20%E6%B0%B4%E6%99%B6%E5%85%AC%20%E3%83%8D%E3%83%83%E3%82%AF%E3%83%AC%E3%82%B9&amp;min=10000&amp;transaction=selling</t>
  </si>
  <si>
    <t>https://search.rakuten.co.jp/search/mall/FF14%20%E3%82%A8%E3%82%AE%20%E6%B0%B4%E6%99%B6%E5%85%AC%20%E3%83%8D%E3%83%83%E3%82%AF%E3%83%AC%E3%82%B9/?min=10000</t>
  </si>
  <si>
    <t>https://auctions.yahoo.co.jp/search/search?p=FF14%20%E3%82%A8%E3%82%AE%20%E6%B0%B4%E6%99%B6%E5%85%AC%20%E3%83%8D%E3%83%83%E3%82%AF%E3%83%AC%E3%82%B9&amp;aucminprice=10000</t>
  </si>
  <si>
    <t>https://shopping.yahoo.co.jp/search/FF14%20%E3%82%A8%E3%82%AE%20%E6%B0%B4%E6%99%B6%E5%85%AC%20%E3%83%8D%E3%83%83%E3%82%AF%E3%83%AC%E3%82%B9/0/?pf=10000</t>
  </si>
  <si>
    <t>[未開封]ワンピース WCF ストロングワールド ver.3 &amp; 4 全16品</t>
  </si>
  <si>
    <t>https://www.ebay.com/sch/i.html?_nkw=One%20Piece%20WCF%20Strong%20World&amp;_sacat=0&amp;_from=R40&amp;_sop=15&amp;rt=nc</t>
  </si>
  <si>
    <t>https://jp.mercari.com/search?keyword=%E3%83%AF%E3%83%B3%E3%83%94%E3%83%BC%E3%82%B9%20WCF%20%E3%82%B9%E3%83%88%E3%83%AD%E3%83%B3%E3%82%B0%E3%83%AF%E3%83%BC%E3%83%AB%E3%83%89&amp;price_min=10000&amp;sort=price&amp;order=asc&amp;status=on_sale</t>
  </si>
  <si>
    <t>https://fril.jp/s?query=%E3%83%AF%E3%83%B3%E3%83%94%E3%83%BC%E3%82%B9%20WCF%20%E3%82%B9%E3%83%88%E3%83%AD%E3%83%B3%E3%82%B0%E3%83%AF%E3%83%BC%E3%83%AB%E3%83%89&amp;min=10000&amp;transaction=selling</t>
  </si>
  <si>
    <t>https://search.rakuten.co.jp/search/mall/%E3%83%AF%E3%83%B3%E3%83%94%E3%83%BC%E3%82%B9%20WCF%20%E3%82%B9%E3%83%88%E3%83%AD%E3%83%B3%E3%82%B0%E3%83%AF%E3%83%BC%E3%83%AB%E3%83%89/?min=10000</t>
  </si>
  <si>
    <t>https://auctions.yahoo.co.jp/search/search?p=%E3%83%AF%E3%83%B3%E3%83%94%E3%83%BC%E3%82%B9%20WCF%20%E3%82%B9%E3%83%88%E3%83%AD%E3%83%B3%E3%82%B0%E3%83%AF%E3%83%BC%E3%83%AB%E3%83%89&amp;aucminprice=10000</t>
  </si>
  <si>
    <t>https://shopping.yahoo.co.jp/search/%E3%83%AF%E3%83%B3%E3%83%94%E3%83%BC%E3%82%B9%20WCF%20%E3%82%B9%E3%83%88%E3%83%AD%E3%83%B3%E3%82%B0%E3%83%AF%E3%83%BC%E3%83%AB%E3%83%89/0/?pf=10000</t>
  </si>
  <si>
    <t>東京ワンピースタワー 限定 ワールドコレクタブ...</t>
  </si>
  <si>
    <t>https://www.ebay.com/sch/i.html?_nkw=One%20Piece%20WCF%20Tower%20limited&amp;_sacat=0&amp;_from=R40&amp;_sop=15&amp;rt=nc</t>
  </si>
  <si>
    <t>https://jp.mercari.com/search?keyword=%E3%83%AF%E3%83%B3%E3%83%94%E3%83%BC%E3%82%B9%20%E3%83%AF%E3%83%BC%E3%82%B3%E3%83%AC%20%E3%83%AF%E3%83%B3%E3%83%94%E3%83%BC%E3%82%B9%E3%82%BF%E3%83%AF%E3%83%BC%20%E9%99%90%E5%AE%9A&amp;price_min=10000&amp;sort=price&amp;order=asc&amp;status=on_sale</t>
  </si>
  <si>
    <t>https://fril.jp/s?query=%E3%83%AF%E3%83%B3%E3%83%94%E3%83%BC%E3%82%B9%20%E3%83%AF%E3%83%BC%E3%82%B3%E3%83%AC%20%E3%83%AF%E3%83%B3%E3%83%94%E3%83%BC%E3%82%B9%E3%82%BF%E3%83%AF%E3%83%BC%20%E9%99%90%E5%AE%9A&amp;min=10000&amp;transaction=selling</t>
  </si>
  <si>
    <t>https://search.rakuten.co.jp/search/mall/%E3%83%AF%E3%83%B3%E3%83%94%E3%83%BC%E3%82%B9%20%E3%83%AF%E3%83%BC%E3%82%B3%E3%83%AC%20%E3%83%AF%E3%83%B3%E3%83%94%E3%83%BC%E3%82%B9%E3%82%BF%E3%83%AF%E3%83%BC%20%E9%99%90%E5%AE%9A/?min=10000</t>
  </si>
  <si>
    <t>https://auctions.yahoo.co.jp/search/search?p=%E3%83%AF%E3%83%B3%E3%83%94%E3%83%BC%E3%82%B9%20%E3%83%AF%E3%83%BC%E3%82%B3%E3%83%AC%20%E3%83%AF%E3%83%B3%E3%83%94%E3%83%BC%E3%82%B9%E3%82%BF%E3%83%AF%E3%83%BC%20%E9%99%90%E5%AE%9A&amp;aucminprice=10000</t>
  </si>
  <si>
    <t>https://shopping.yahoo.co.jp/search/%E3%83%AF%E3%83%B3%E3%83%94%E3%83%BC%E3%82%B9%20%E3%83%AF%E3%83%BC%E3%82%B3%E3%83%AC%20%E3%83%AF%E3%83%B3%E3%83%94%E3%83%BC%E3%82%B9%E3%82%BF%E3%83%AF%E3%83%BC%20%E9%99%90%E5%AE%9A/0/?pf=10000</t>
  </si>
  <si>
    <t>【激レア】 カイロレン 修復版 ヘルメット シスの復讐　レプリカ　スターウォーズ</t>
  </si>
  <si>
    <t>https://www.ebay.com/sch/i.html?_nkw=Star%20Wars%20Kylo%20Ren%20helmet%20replica&amp;_sacat=0&amp;_from=R40&amp;_sop=15&amp;rt=nc</t>
  </si>
  <si>
    <t>https://jp.mercari.com/search?keyword=%E3%82%B9%E3%82%BF%E3%83%BC%E3%82%A6%E3%82%A9%E3%83%BC%E3%82%BA%20%E3%82%AB%E3%82%A4%E3%83%AD%E3%83%AC%E3%83%B3%20%E3%83%98%E3%83%AB%E3%83%A1%E3%83%83%E3%83%88%20%E3%83%AC%E3%83%97%E3%83%AA%E3%82%AB&amp;price_min=10000&amp;sort=price&amp;order=asc&amp;status=on_sale</t>
  </si>
  <si>
    <t>https://fril.jp/s?query=%E3%82%B9%E3%82%BF%E3%83%BC%E3%82%A6%E3%82%A9%E3%83%BC%E3%82%BA%20%E3%82%AB%E3%82%A4%E3%83%AD%E3%83%AC%E3%83%B3%20%E3%83%98%E3%83%AB%E3%83%A1%E3%83%83%E3%83%88%20%E3%83%AC%E3%83%97%E3%83%AA%E3%82%AB&amp;min=10000&amp;transaction=selling</t>
  </si>
  <si>
    <t>https://search.rakuten.co.jp/search/mall/%E3%82%B9%E3%82%BF%E3%83%BC%E3%82%A6%E3%82%A9%E3%83%BC%E3%82%BA%20%E3%82%AB%E3%82%A4%E3%83%AD%E3%83%AC%E3%83%B3%20%E3%83%98%E3%83%AB%E3%83%A1%E3%83%83%E3%83%88%20%E3%83%AC%E3%83%97%E3%83%AA%E3%82%AB/?min=10000</t>
  </si>
  <si>
    <t>https://auctions.yahoo.co.jp/search/search?p=%E3%82%B9%E3%82%BF%E3%83%BC%E3%82%A6%E3%82%A9%E3%83%BC%E3%82%BA%20%E3%82%AB%E3%82%A4%E3%83%AD%E3%83%AC%E3%83%B3%20%E3%83%98%E3%83%AB%E3%83%A1%E3%83%83%E3%83%88%20%E3%83%AC%E3%83%97%E3%83%AA%E3%82%AB&amp;aucminprice=10000</t>
  </si>
  <si>
    <t>https://shopping.yahoo.co.jp/search/%E3%82%B9%E3%82%BF%E3%83%BC%E3%82%A6%E3%82%A9%E3%83%BC%E3%82%BA%20%E3%82%AB%E3%82%A4%E3%83%AD%E3%83%AC%E3%83%B3%20%E3%83%98%E3%83%AB%E3%83%A1%E3%83%83%E3%83%88%20%E3%83%AC%E3%83%97%E3%83%AA%E3%82%AB/0/?pf=10000</t>
  </si>
  <si>
    <t>限定★未使用 SONIC ソニックアドベンチャー フィギュア 11inch</t>
  </si>
  <si>
    <t>https://www.ebay.com/sch/i.html?_nkw=Sonic%20Adventure%2011%20inch%20figure&amp;_sacat=0&amp;_from=R40&amp;_sop=15&amp;rt=nc</t>
  </si>
  <si>
    <t>https://jp.mercari.com/search?keyword=%E3%82%BD%E3%83%8B%E3%83%83%E3%82%AF%E3%82%A2%E3%83%89%E3%83%99%E3%83%B3%E3%83%81%E3%83%A3%E3%83%BC%20%E3%83%95%E3%82%A3%E3%82%AE%E3%83%A5%E3%82%A2%2011%E3%82%A4%E3%83%B3%E3%83%81&amp;price_min=10000&amp;sort=price&amp;order=asc&amp;status=on_sale</t>
  </si>
  <si>
    <t>https://fril.jp/s?query=%E3%82%BD%E3%83%8B%E3%83%83%E3%82%AF%E3%82%A2%E3%83%89%E3%83%99%E3%83%B3%E3%83%81%E3%83%A3%E3%83%BC%20%E3%83%95%E3%82%A3%E3%82%AE%E3%83%A5%E3%82%A2%2011%E3%82%A4%E3%83%B3%E3%83%81&amp;min=10000&amp;transaction=selling</t>
  </si>
  <si>
    <t>https://search.rakuten.co.jp/search/mall/%E3%82%BD%E3%83%8B%E3%83%83%E3%82%AF%E3%82%A2%E3%83%89%E3%83%99%E3%83%B3%E3%83%81%E3%83%A3%E3%83%BC%20%E3%83%95%E3%82%A3%E3%82%AE%E3%83%A5%E3%82%A2%2011%E3%82%A4%E3%83%B3%E3%83%81/?min=10000</t>
  </si>
  <si>
    <t>https://auctions.yahoo.co.jp/search/search?p=%E3%82%BD%E3%83%8B%E3%83%83%E3%82%AF%E3%82%A2%E3%83%89%E3%83%99%E3%83%B3%E3%83%81%E3%83%A3%E3%83%BC%20%E3%83%95%E3%82%A3%E3%82%AE%E3%83%A5%E3%82%A2%2011%E3%82%A4%E3%83%B3%E3%83%81&amp;aucminprice=10000</t>
  </si>
  <si>
    <t>https://shopping.yahoo.co.jp/search/%E3%82%BD%E3%83%8B%E3%83%83%E3%82%AF%E3%82%A2%E3%83%89%E3%83%99%E3%83%B3%E3%83%81%E3%83%A3%E3%83%BC%20%E3%83%95%E3%82%A3%E3%82%AE%E3%83%A5%E3%82%A2%2011%E3%82%A4%E3%83%B3%E3%83%81/0/?pf=10000</t>
  </si>
  <si>
    <t>LEGEND CONSUMER SERIES「サマーカーニバル'92 烈火」フ…</t>
  </si>
  <si>
    <t>https://www.ebay.com/sch/i.html?_nkw=Summer%20Carnival%2092%20Recca%20Famicom&amp;_sacat=0&amp;_from=R40&amp;_sop=15&amp;rt=nc</t>
  </si>
  <si>
    <t>https://jp.mercari.com/search?keyword=%E3%82%B5%E3%83%9E%E3%83%BC%E3%82%AB%E3%83%BC%E3%83%8B%E3%83%90%E3%83%AB%2092%20%E7%83%88%E7%81%AB%20%E3%83%95%E3%82%A1%E3%83%9F%E3%82%B3%E3%83%B3&amp;price_min=10000&amp;sort=price&amp;order=asc&amp;status=on_sale</t>
  </si>
  <si>
    <t>https://fril.jp/s?query=%E3%82%B5%E3%83%9E%E3%83%BC%E3%82%AB%E3%83%BC%E3%83%8B%E3%83%90%E3%83%AB%2092%20%E7%83%88%E7%81%AB%20%E3%83%95%E3%82%A1%E3%83%9F%E3%82%B3%E3%83%B3&amp;min=10000&amp;transaction=selling</t>
  </si>
  <si>
    <t>https://search.rakuten.co.jp/search/mall/%E3%82%B5%E3%83%9E%E3%83%BC%E3%82%AB%E3%83%BC%E3%83%8B%E3%83%90%E3%83%AB%2092%20%E7%83%88%E7%81%AB%20%E3%83%95%E3%82%A1%E3%83%9F%E3%82%B3%E3%83%B3/?min=10000</t>
  </si>
  <si>
    <t>https://auctions.yahoo.co.jp/search/search?p=%E3%82%B5%E3%83%9E%E3%83%BC%E3%82%AB%E3%83%BC%E3%83%8B%E3%83%90%E3%83%AB%2092%20%E7%83%88%E7%81%AB%20%E3%83%95%E3%82%A1%E3%83%9F%E3%82%B3%E3%83%B3&amp;aucminprice=10000</t>
  </si>
  <si>
    <t>https://shopping.yahoo.co.jp/search/%E3%82%B5%E3%83%9E%E3%83%BC%E3%82%AB%E3%83%BC%E3%83%8B%E3%83%90%E3%83%AB%2092%20%E7%83%88%E7%81%AB%20%E3%83%95%E3%82%A1%E3%83%9F%E3%82%B3%E3%83%B3/0/?pf=10000</t>
  </si>
  <si>
    <t>現状品 Tシャツ 未開封 未使用品 ファミコン ナ...</t>
  </si>
  <si>
    <t>https://www.ebay.com/sch/i.html?_nkw=Summer%20Carnival%20Recca%20t-shirt&amp;_sacat=0&amp;_from=R40&amp;_sop=15&amp;rt=nc</t>
  </si>
  <si>
    <t>https://jp.mercari.com/search?keyword=%E3%82%B5%E3%83%9E%E3%83%BC%E3%82%AB%E3%83%BC%E3%83%8B%E3%83%90%E3%83%AB%20%E7%83%88%E7%81%AB%20T%E3%82%B7%E3%83%A3%E3%83%84&amp;price_min=10000&amp;sort=price&amp;order=asc&amp;status=on_sale</t>
  </si>
  <si>
    <t>https://fril.jp/s?query=%E3%82%B5%E3%83%9E%E3%83%BC%E3%82%AB%E3%83%BC%E3%83%8B%E3%83%90%E3%83%AB%20%E7%83%88%E7%81%AB%20T%E3%82%B7%E3%83%A3%E3%83%84&amp;min=10000&amp;transaction=selling</t>
  </si>
  <si>
    <t>https://search.rakuten.co.jp/search/mall/%E3%82%B5%E3%83%9E%E3%83%BC%E3%82%AB%E3%83%BC%E3%83%8B%E3%83%90%E3%83%AB%20%E7%83%88%E7%81%AB%20T%E3%82%B7%E3%83%A3%E3%83%84/?min=10000</t>
  </si>
  <si>
    <t>https://auctions.yahoo.co.jp/search/search?p=%E3%82%B5%E3%83%9E%E3%83%BC%E3%82%AB%E3%83%BC%E3%83%8B%E3%83%90%E3%83%AB%20%E7%83%88%E7%81%AB%20T%E3%82%B7%E3%83%A3%E3%83%84&amp;aucminprice=10000</t>
  </si>
  <si>
    <t>https://shopping.yahoo.co.jp/search/%E3%82%B5%E3%83%9E%E3%83%BC%E3%82%AB%E3%83%BC%E3%83%8B%E3%83%90%E3%83%AB%20%E7%83%88%E7%81%AB%20T%E3%82%B7%E3%83%A3%E3%83%84/0/?pf=10000</t>
  </si>
  <si>
    <t>https://www.ebay.com/sch/i.html?_nkw=Rei%20Kawakubo%20Comme%20des%20Garcons%20book&amp;_sacat=0&amp;_from=R40&amp;_sop=15&amp;rt=nc</t>
  </si>
  <si>
    <t>川久保玲とコムデギャルソン マガジンハウス 91...</t>
  </si>
  <si>
    <t>https://jp.mercari.com/search?keyword=%E5%B7%9D%E4%B9%85%E4%BF%9D%E7%8E%B2%20%E3%82%B3%E3%83%A0%E3%83%87%E3%82%AE%E3%83%A3%E3%83%AB%E3%82%BD%E3%83%B3%20%E3%83%9E%E3%82%AC%E3%82%B8%E3%83%B3%E3%83%8F%E3%82%A6%E3%82%B9&amp;price_min=10000&amp;sort=price&amp;order=asc&amp;status=on_sale</t>
  </si>
  <si>
    <t>https://fril.jp/s?query=%E5%B7%9D%E4%B9%85%E4%BF%9D%E7%8E%B2%20%E3%82%B3%E3%83%A0%E3%83%87%E3%82%AE%E3%83%A3%E3%83%AB%E3%82%BD%E3%83%B3%20%E3%83%9E%E3%82%AC%E3%82%B8%E3%83%B3%E3%83%8F%E3%82%A6%E3%82%B9&amp;min=10000&amp;transaction=selling</t>
  </si>
  <si>
    <t>https://search.rakuten.co.jp/search/mall/%E5%B7%9D%E4%B9%85%E4%BF%9D%E7%8E%B2%20%E3%82%B3%E3%83%A0%E3%83%87%E3%82%AE%E3%83%A3%E3%83%AB%E3%82%BD%E3%83%B3%20%E3%83%9E%E3%82%AC%E3%82%B8%E3%83%B3%E3%83%8F%E3%82%A6%E3%82%B9/?min=10000</t>
  </si>
  <si>
    <t>https://auctions.yahoo.co.jp/search/search?p=%E5%B7%9D%E4%B9%85%E4%BF%9D%E7%8E%B2%20%E3%82%B3%E3%83%A0%E3%83%87%E3%82%AE%E3%83%A3%E3%83%AB%E3%82%BD%E3%83%B3%20%E3%83%9E%E3%82%AC%E3%82%B8%E3%83%B3%E3%83%8F%E3%82%A6%E3%82%B9&amp;aucminprice=10000</t>
  </si>
  <si>
    <t>https://shopping.yahoo.co.jp/search/%E5%B7%9D%E4%B9%85%E4%BF%9D%E7%8E%B2%20%E3%82%B3%E3%83%A0%E3%83%87%E3%82%AE%E3%83%A3%E3%83%AB%E3%82%BD%E3%83%B3%20%E3%83%9E%E3%82%AC%E3%82%B8%E3%83%B3%E3%83%8F%E3%82%A6%E3%82%B9/0/?pf=10000</t>
  </si>
  <si>
    <t>https://paypayfleamarket.yahoo.co.jp/item/z623565928</t>
  </si>
  <si>
    <t>https://auctions.yahoo.co.jp/jp/auction/t1222924100</t>
  </si>
  <si>
    <t>https://jp.mercari.com/item/m32016336942</t>
  </si>
  <si>
    <t>https://auctions.yahoo.co.jp/jp/auction/r1235106500</t>
  </si>
  <si>
    <t>Final Fantasy XIV Crystal Exarch's Cane Silver 925 Pendant Necklace Square Enix</t>
  </si>
  <si>
    <t>One Piece WCF World Collectable Strong World ver.3 &amp; 4 Complete 16 Figures Set</t>
  </si>
  <si>
    <t>One Piece WCF Tokyo One Piece Tower Limited Luffy Ace Sabo Figure</t>
  </si>
  <si>
    <t>Star Wars Kylo Ren Reforged Helmet Galactic Archive D23 Life-Size Wearable</t>
  </si>
  <si>
    <t>Sonic Adventure Sonic 11 inch 27cm Collectible Figure SEGA Overseas Limited</t>
  </si>
  <si>
    <t>Summer Carnival 92 Recca Famicom Soundtrack CD SCDC-00461 Legend Consumer</t>
  </si>
  <si>
    <t>Summer Carnival 92 Recca Famicom Promotional T-Shirt Naxat Sealed</t>
  </si>
  <si>
    <t>Rei Kawakubo and Comme des Garcons 1991 1st Ed Magazine House Deyan Sudjic Book</t>
  </si>
  <si>
    <t>キーワード1</t>
    <phoneticPr fontId="1"/>
  </si>
  <si>
    <t>キーワード2</t>
    <phoneticPr fontId="1"/>
  </si>
  <si>
    <t>キーワード3</t>
    <phoneticPr fontId="1"/>
  </si>
  <si>
    <t>キーワード4</t>
    <phoneticPr fontId="1"/>
  </si>
  <si>
    <t>キーワード5</t>
    <phoneticPr fontId="1"/>
  </si>
  <si>
    <t>キーワード6</t>
    <phoneticPr fontId="1"/>
  </si>
  <si>
    <t>キーワード7</t>
    <phoneticPr fontId="1"/>
  </si>
  <si>
    <t>キーワード8</t>
    <phoneticPr fontId="1"/>
  </si>
  <si>
    <t>キーワード9</t>
    <phoneticPr fontId="1"/>
  </si>
  <si>
    <t>キーワード10</t>
    <phoneticPr fontId="1"/>
  </si>
  <si>
    <t>https://jp.mercari.com/shops/product/2JNey5ontYvKmyQB9ruhSu</t>
  </si>
  <si>
    <t>https://jp.mercari.com/item/m57644556706</t>
  </si>
  <si>
    <t>1語目</t>
  </si>
  <si>
    <t>2語目</t>
  </si>
  <si>
    <t>3語目</t>
  </si>
  <si>
    <t>4語目</t>
  </si>
  <si>
    <t>https://www.ebay.com/sch/i.html?_nkw=SHODO%20SUPER%20Denziman&amp;_sacat=0&amp;_from=R40&amp;_sop=15&amp;rt=nc</t>
  </si>
  <si>
    <t>https://jp.mercari.com/search?keyword=SHODO%20SUPER%20%E9%9B%BB%E5%AD%90%E6%88%A6%E9%9A%8A%E3%83%87%E3%83%B3%E3%82%B8%E3%83%9E%E3%83%B3&amp;price_min=10000&amp;sort=price&amp;order=asc&amp;status=on_sale</t>
  </si>
  <si>
    <t>https://fril.jp/s?query=SHODO%20SUPER%20%E9%9B%BB%E5%AD%90%E6%88%A6%E9%9A%8A%E3%83%87%E3%83%B3%E3%82%B8%E3%83%9E%E3%83%B3&amp;min=10000&amp;transaction=selling</t>
  </si>
  <si>
    <t>https://search.rakuten.co.jp/search/mall/SHODO%20SUPER%20%E9%9B%BB%E5%AD%90%E6%88%A6%E9%9A%8A%E3%83%87%E3%83%B3%E3%82%B8%E3%83%9E%E3%83%B3/?min=10000</t>
  </si>
  <si>
    <t>https://auctions.yahoo.co.jp/search/search?p=SHODO%20SUPER%20%E9%9B%BB%E5%AD%90%E6%88%A6%E9%9A%8A%E3%83%87%E3%83%B3%E3%82%B8%E3%83%9E%E3%83%B3&amp;aucminprice=10000</t>
  </si>
  <si>
    <t>https://shopping.yahoo.co.jp/search/SHODO%20SUPER%20%E9%9B%BB%E5%AD%90%E6%88%A6%E9%9A%8A%E3%83%87%E3%83%B3%E3%82%B8%E3%83%9E%E3%83%B3/0/?pf=10000</t>
  </si>
  <si>
    <t>【中古】開封）SHODO SUPER 電子戦隊デンジマン[24]</t>
  </si>
  <si>
    <t>アートストーム / EX合金 / ゲッター2 ジャガー リーペイント Ver</t>
  </si>
  <si>
    <t>https://www.ebay.com/sch/i.html?_nkw=EX%20Gokin%20Getter%202%20repaint&amp;_sacat=0&amp;_from=R40&amp;_sop=15&amp;rt=nc</t>
  </si>
  <si>
    <t>https://jp.mercari.com/search?keyword=EX%E5%90%88%E9%87%91%20%E3%82%B2%E3%83%83%E3%82%BF%E3%83%BC2%20%E3%82%B8%E3%83%A3%E3%82%AC%E3%83%BC%20%E3%83%AA%E3%83%9A%E3%82%A4%E3%83%B3%E3%83%88&amp;price_min=10000&amp;sort=price&amp;order=asc&amp;status=on_sale</t>
  </si>
  <si>
    <t>https://fril.jp/s?query=EX%E5%90%88%E9%87%91%20%E3%82%B2%E3%83%83%E3%82%BF%E3%83%BC2%20%E3%82%B8%E3%83%A3%E3%82%AC%E3%83%BC%20%E3%83%AA%E3%83%9A%E3%82%A4%E3%83%B3%E3%83%88&amp;min=10000&amp;transaction=selling</t>
  </si>
  <si>
    <t>https://search.rakuten.co.jp/search/mall/EX%E5%90%88%E9%87%91%20%E3%82%B2%E3%83%83%E3%82%BF%E3%83%BC2%20%E3%82%B8%E3%83%A3%E3%82%AC%E3%83%BC%20%E3%83%AA%E3%83%9A%E3%82%A4%E3%83%B3%E3%83%88/?min=10000</t>
  </si>
  <si>
    <t>https://auctions.yahoo.co.jp/search/search?p=EX%E5%90%88%E9%87%91%20%E3%82%B2%E3%83%83%E3%82%BF%E3%83%BC2%20%E3%82%B8%E3%83%A3%E3%82%AC%E3%83%BC%20%E3%83%AA%E3%83%9A%E3%82%A4%E3%83%B3%E3%83%88&amp;aucminprice=10000</t>
  </si>
  <si>
    <t>https://shopping.yahoo.co.jp/search/EX%E5%90%88%E9%87%91%20%E3%82%B2%E3%83%83%E3%82%BF%E3%83%BC2%20%E3%82%B8%E3%83%A3%E3%82%AC%E3%83%BC%20%E3%83%AA%E3%83%9A%E3%82%A4%E3%83%B3%E3%83%88/0/?pf=10000</t>
  </si>
  <si>
    <t>新品未開封　激レアEX合金ウルトラホーク3号 ウルトラセブン フューチャーモデル</t>
  </si>
  <si>
    <t>https://www.ebay.com/sch/i.html?_nkw=EX%20Gokin%20Ultra%20Hawk%203&amp;_sacat=0&amp;_from=R40&amp;_sop=15&amp;rt=nc</t>
  </si>
  <si>
    <t>https://jp.mercari.com/search?keyword=EX%E5%90%88%E9%87%91%20%E3%82%A6%E3%83%AB%E3%83%88%E3%83%A9%E3%83%9B%E3%83%BC%E3%82%AF3%E5%8F%B7&amp;price_min=10000&amp;sort=price&amp;order=asc&amp;status=on_sale</t>
  </si>
  <si>
    <t>https://fril.jp/s?query=EX%E5%90%88%E9%87%91%20%E3%82%A6%E3%83%AB%E3%83%88%E3%83%A9%E3%83%9B%E3%83%BC%E3%82%AF3%E5%8F%B7&amp;min=10000&amp;transaction=selling</t>
  </si>
  <si>
    <t>https://search.rakuten.co.jp/search/mall/EX%E5%90%88%E9%87%91%20%E3%82%A6%E3%83%AB%E3%83%88%E3%83%A9%E3%83%9B%E3%83%BC%E3%82%AF3%E5%8F%B7/?min=10000</t>
  </si>
  <si>
    <t>https://auctions.yahoo.co.jp/search/search?p=EX%E5%90%88%E9%87%91%20%E3%82%A6%E3%83%AB%E3%83%88%E3%83%A9%E3%83%9B%E3%83%BC%E3%82%AF3%E5%8F%B7&amp;aucminprice=10000</t>
  </si>
  <si>
    <t>https://shopping.yahoo.co.jp/search/EX%E5%90%88%E9%87%91%20%E3%82%A6%E3%83%AB%E3%83%88%E3%83%A9%E3%83%9B%E3%83%BC%E3%82%AF3%E5%8F%B7/0/?pf=10000</t>
  </si>
  <si>
    <t>ウルトラセブン ウルトラセブン ウルトラホーク1号 EX合金 アートストーム</t>
  </si>
  <si>
    <t>https://www.ebay.com/sch/i.html?_nkw=EX%20Gokin%20Ultra%20Hawk%201&amp;_sacat=0&amp;_from=R40&amp;_sop=15&amp;rt=nc</t>
  </si>
  <si>
    <t>https://jp.mercari.com/search?keyword=EX%E5%90%88%E9%87%91%20%E3%82%A6%E3%83%AB%E3%83%88%E3%83%A9%E3%83%9B%E3%83%BC%E3%82%AF1%E5%8F%B7&amp;price_min=10000&amp;sort=price&amp;order=asc&amp;status=on_sale</t>
  </si>
  <si>
    <t>https://fril.jp/s?query=EX%E5%90%88%E9%87%91%20%E3%82%A6%E3%83%AB%E3%83%88%E3%83%A9%E3%83%9B%E3%83%BC%E3%82%AF1%E5%8F%B7&amp;min=10000&amp;transaction=selling</t>
  </si>
  <si>
    <t>https://search.rakuten.co.jp/search/mall/EX%E5%90%88%E9%87%91%20%E3%82%A6%E3%83%AB%E3%83%88%E3%83%A9%E3%83%9B%E3%83%BC%E3%82%AF1%E5%8F%B7/?min=10000</t>
  </si>
  <si>
    <t>https://auctions.yahoo.co.jp/search/search?p=EX%E5%90%88%E9%87%91%20%E3%82%A6%E3%83%AB%E3%83%88%E3%83%A9%E3%83%9B%E3%83%BC%E3%82%AF1%E5%8F%B7&amp;aucminprice=10000</t>
  </si>
  <si>
    <t>https://shopping.yahoo.co.jp/search/EX%E5%90%88%E9%87%91%20%E3%82%A6%E3%83%AB%E3%83%88%E3%83%A9%E3%83%9B%E3%83%BC%E3%82%AF1%E5%8F%B7/0/?pf=10000</t>
  </si>
  <si>
    <t>FEWTURE MODELS EX合金 マジンガー1969 永井豪原作カラー</t>
  </si>
  <si>
    <t>https://www.ebay.com/sch/i.html?_nkw=EX%20Gokin%20Mazinger%201969&amp;_sacat=0&amp;_from=R40&amp;_sop=15&amp;rt=nc</t>
  </si>
  <si>
    <t>https://jp.mercari.com/search?keyword=EX%E5%90%88%E9%87%91%20%E3%83%9E%E3%82%B8%E3%83%B3%E3%82%AC%E3%83%BC%201969%20%E5%8E%9F%E4%BD%9C%E3%82%AB%E3%83%A9%E3%83%BC&amp;price_min=10000&amp;sort=price&amp;order=asc&amp;status=on_sale</t>
  </si>
  <si>
    <t>https://fril.jp/s?query=EX%E5%90%88%E9%87%91%20%E3%83%9E%E3%82%B8%E3%83%B3%E3%82%AC%E3%83%BC%201969%20%E5%8E%9F%E4%BD%9C%E3%82%AB%E3%83%A9%E3%83%BC&amp;min=10000&amp;transaction=selling</t>
  </si>
  <si>
    <t>https://search.rakuten.co.jp/search/mall/EX%E5%90%88%E9%87%91%20%E3%83%9E%E3%82%B8%E3%83%B3%E3%82%AC%E3%83%BC%201969%20%E5%8E%9F%E4%BD%9C%E3%82%AB%E3%83%A9%E3%83%BC/?min=10000</t>
  </si>
  <si>
    <t>https://auctions.yahoo.co.jp/search/search?p=EX%E5%90%88%E9%87%91%20%E3%83%9E%E3%82%B8%E3%83%B3%E3%82%AC%E3%83%BC%201969%20%E5%8E%9F%E4%BD%9C%E3%82%AB%E3%83%A9%E3%83%BC&amp;aucminprice=10000</t>
  </si>
  <si>
    <t>https://shopping.yahoo.co.jp/search/EX%E5%90%88%E9%87%91%20%E3%83%9E%E3%82%B8%E3%83%B3%E3%82%AC%E3%83%BC%201969%20%E5%8E%9F%E4%BD%9C%E3%82%AB%E3%83%A9%E3%83%BC/0/?pf=10000</t>
  </si>
  <si>
    <t>https://jp.mercari.com/item/m84647861167</t>
  </si>
  <si>
    <t>https://jp.mercari.com/shops/product/nybfxjjBpGH4mzirwBGbhb</t>
  </si>
  <si>
    <t>https://jp.mercari.com/shops/product/2JV3gbY9pjyQjbj7gnBTku</t>
  </si>
  <si>
    <t>https://jp.mercari.com/shops/product/2JTp8fmkK8jYEct5AcjHvm</t>
  </si>
  <si>
    <t>https://jp.mercari.com/shops/product/2JTbWJSoRRQkyycbpeVNiL</t>
  </si>
  <si>
    <t>https://jp.mercari.com/shops/product/2JU2pYCneApF75ZDNoV4qg</t>
  </si>
  <si>
    <t>https://jp.mercari.com/shops/product/2JVJwKGGadBFBsEz3KXdwA</t>
  </si>
  <si>
    <t>SHODO SUPER Denshi Sentai Denziman Bandai Candy Toy Figure</t>
  </si>
  <si>
    <t>Art Storm EX Gokin Getter 2 &amp; Get Machine Jaguar Repaint Ver Getter Robo</t>
  </si>
  <si>
    <t>Art Storm Fewture EX Gokin Ultra Hawk No.3 Ultraseven Future Model</t>
  </si>
  <si>
    <t>Art Storm Fewture EX Gokin Ultra Hawk No.1 Ultraseven Reissue Movable Base</t>
  </si>
  <si>
    <t>Art Storm Fewture EX Gokin Mazinger Z 1969 Go Nagai Original Color</t>
  </si>
  <si>
    <t>https://jp.mercari.com/item/m11961995450</t>
  </si>
  <si>
    <t>https://jp.mercari.com/item/m84897636100</t>
  </si>
  <si>
    <t>https://jp.mercari.com/item/m18111562559</t>
  </si>
  <si>
    <t>https://jp.mercari.com/item/m31765099863</t>
  </si>
  <si>
    <t>https://jp.mercari.com/item/m33937211038</t>
  </si>
  <si>
    <t>https://jp.mercari.com/item/m74377038632</t>
  </si>
  <si>
    <t>https://jp.mercari.com/item/m95339393406</t>
  </si>
  <si>
    <t>https://jp.mercari.com/item/m89870482210</t>
  </si>
  <si>
    <t>https://jp.mercari.com/shops/product/2JTywq4TTHBoqeTDs4MVQs</t>
  </si>
  <si>
    <t>キーワード11</t>
  </si>
  <si>
    <t>ViXion2</t>
  </si>
  <si>
    <t>ViXion2 Auto Focus Eyewear Smart Glasses</t>
  </si>
  <si>
    <t>https://www.ebay.com/sch/i.html?_nkw=ViXion2%20auto%20focus%20eyewear&amp;_sacat=0&amp;_from=R40&amp;_sop=15&amp;rt=nc</t>
  </si>
  <si>
    <t>https://jp.mercari.com/search?keyword=ViXion2%20%E3%82%AA%E3%83%BC%E3%83%88%E3%83%95%E3%82%A9%E3%83%BC%E3%82%AB%E3%82%B9%E3%82%A2%E3%82%A4%E3%82%A6%E3%82%A7%E3%82%A2&amp;price_min=10000&amp;sort=price&amp;order=asc&amp;status=on_sale</t>
  </si>
  <si>
    <t>https://fril.jp/s?query=ViXion2%20%E3%82%AA%E3%83%BC%E3%83%88%E3%83%95%E3%82%A9%E3%83%BC%E3%82%AB%E3%82%B9%E3%82%A2%E3%82%A4%E3%82%A6%E3%82%A7%E3%82%A2&amp;min=10000&amp;transaction=selling</t>
  </si>
  <si>
    <t>https://search.rakuten.co.jp/search/mall/ViXion2%20%E3%82%AA%E3%83%BC%E3%83%88%E3%83%95%E3%82%A9%E3%83%BC%E3%82%AB%E3%82%B9%E3%82%A2%E3%82%A4%E3%82%A6%E3%82%A7%E3%82%A2/?min=10000</t>
  </si>
  <si>
    <t>https://auctions.yahoo.co.jp/search/search?p=ViXion2%20%E3%82%AA%E3%83%BC%E3%83%88%E3%83%95%E3%82%A9%E3%83%BC%E3%82%AB%E3%82%B9%E3%82%A2%E3%82%A4%E3%82%A6%E3%82%A7%E3%82%A2&amp;aucminprice=10000</t>
  </si>
  <si>
    <t>https://shopping.yahoo.co.jp/search/ViXion2%20%E3%82%AA%E3%83%BC%E3%83%88%E3%83%95%E3%82%A9%E3%83%BC%E3%82%AB%E3%82%B9%E3%82%A2%E3%82%A4%E3%82%A6%E3%82%A7%E3%82%A2/0/?pf=10000</t>
  </si>
  <si>
    <t>ViXion 01S Auto Focus Eyewear Smart Glasses</t>
  </si>
  <si>
    <t>https://www.ebay.com/sch/i.html?_nkw=ViXion%2001S%20auto%20focus%20eyewear&amp;_sacat=0&amp;_from=R40&amp;_sop=15&amp;rt=nc</t>
  </si>
  <si>
    <t>https://jp.mercari.com/search?keyword=ViXion01S%20%E3%82%AA%E3%83%BC%E3%83%88%E3%83%95%E3%82%A9%E3%83%BC%E3%82%AB%E3%82%B9%E3%82%A2%E3%82%A4%E3%82%A6%E3%82%A7%E3%82%A2&amp;price_min=10000&amp;sort=price&amp;order=asc&amp;status=on_sale</t>
  </si>
  <si>
    <t>https://fril.jp/s?query=ViXion01S%20%E3%82%AA%E3%83%BC%E3%83%88%E3%83%95%E3%82%A9%E3%83%BC%E3%82%AB%E3%82%B9%E3%82%A2%E3%82%A4%E3%82%A6%E3%82%A7%E3%82%A2&amp;min=10000&amp;transaction=selling</t>
  </si>
  <si>
    <t>https://search.rakuten.co.jp/search/mall/ViXion01S%20%E3%82%AA%E3%83%BC%E3%83%88%E3%83%95%E3%82%A9%E3%83%BC%E3%82%AB%E3%82%B9%E3%82%A2%E3%82%A4%E3%82%A6%E3%82%A7%E3%82%A2/?min=10000</t>
  </si>
  <si>
    <t>https://auctions.yahoo.co.jp/search/search?p=ViXion01S%20%E3%82%AA%E3%83%BC%E3%83%88%E3%83%95%E3%82%A9%E3%83%BC%E3%82%AB%E3%82%B9%E3%82%A2%E3%82%A4%E3%82%A6%E3%82%A7%E3%82%A2&amp;aucminprice=10000</t>
  </si>
  <si>
    <t>https://shopping.yahoo.co.jp/search/ViXion01S%20%E3%82%AA%E3%83%BC%E3%83%88%E3%83%95%E3%82%A9%E3%83%BC%E3%82%AB%E3%82%B9%E3%82%A2%E3%82%A4%E3%82%A6%E3%82%A7%E3%82%A2/0/?pf=10000</t>
  </si>
  <si>
    <t>オートフォーカスアイウェア ViXion01S</t>
  </si>
  <si>
    <t>hololive 4th fes. ライブ生写真 コンプリート</t>
  </si>
  <si>
    <t>https://www.ebay.com/sch/i.html?_nkw=hololive%204th%20fes%20bromide&amp;_sacat=0&amp;_from=R40&amp;_sop=15&amp;rt=nc</t>
  </si>
  <si>
    <t>https://jp.mercari.com/search?keyword=hololive%204th%20fes%20%E7%94%9F%E5%86%99%E7%9C%9F&amp;price_min=10000&amp;sort=price&amp;order=asc&amp;status=on_sale</t>
  </si>
  <si>
    <t>https://fril.jp/s?query=hololive%204th%20fes%20%E7%94%9F%E5%86%99%E7%9C%9F&amp;min=10000&amp;transaction=selling</t>
  </si>
  <si>
    <t>https://search.rakuten.co.jp/search/mall/hololive%204th%20fes%20%E7%94%9F%E5%86%99%E7%9C%9F/?min=10000</t>
  </si>
  <si>
    <t>https://auctions.yahoo.co.jp/search/search?p=hololive%204th%20fes%20%E7%94%9F%E5%86%99%E7%9C%9F&amp;aucminprice=10000</t>
  </si>
  <si>
    <t>https://shopping.yahoo.co.jp/search/hololive%204th%20fes%20%E7%94%9F%E5%86%99%E7%9C%9F/0/?pf=10000</t>
  </si>
  <si>
    <t>UNDONE 　ホロライブ　大空スバル　腕時計　置き時計セット</t>
  </si>
  <si>
    <t>UNDONE hololive Oozora Subaru Wrist &amp; Table Watch Set</t>
  </si>
  <si>
    <t>https://www.ebay.com/sch/i.html?_nkw=UNDONE%20hololive%20Subaru%20watch&amp;_sacat=0&amp;_from=R40&amp;_sop=15&amp;rt=nc</t>
  </si>
  <si>
    <t>https://jp.mercari.com/search?keyword=UNDONE%20%E3%83%9B%E3%83%AD%E3%83%A9%E3%82%A4%E3%83%96%20%E5%A4%A7%E7%A9%BA%E3%82%B9%E3%83%90%E3%83%AB%20%E8%85%95%E6%99%82%E8%A8%88&amp;price_min=10000&amp;sort=price&amp;order=asc&amp;status=on_sale</t>
  </si>
  <si>
    <t>https://fril.jp/s?query=UNDONE%20%E3%83%9B%E3%83%AD%E3%83%A9%E3%82%A4%E3%83%96%20%E5%A4%A7%E7%A9%BA%E3%82%B9%E3%83%90%E3%83%AB%20%E8%85%95%E6%99%82%E8%A8%88&amp;min=10000&amp;transaction=selling</t>
  </si>
  <si>
    <t>https://search.rakuten.co.jp/search/mall/UNDONE%20%E3%83%9B%E3%83%AD%E3%83%A9%E3%82%A4%E3%83%96%20%E5%A4%A7%E7%A9%BA%E3%82%B9%E3%83%90%E3%83%AB%20%E8%85%95%E6%99%82%E8%A8%88/?min=10000</t>
  </si>
  <si>
    <t>https://auctions.yahoo.co.jp/search/search?p=UNDONE%20%E3%83%9B%E3%83%AD%E3%83%A9%E3%82%A4%E3%83%96%20%E5%A4%A7%E7%A9%BA%E3%82%B9%E3%83%90%E3%83%AB%20%E8%85%95%E6%99%82%E8%A8%88&amp;aucminprice=10000</t>
  </si>
  <si>
    <t>https://shopping.yahoo.co.jp/search/UNDONE%20%E3%83%9B%E3%83%AD%E3%83%A9%E3%82%A4%E3%83%96%20%E5%A4%A7%E7%A9%BA%E3%82%B9%E3%83%90%E3%83%AB%20%E8%85%95%E6%99%82%E8%A8%88/0/?pf=10000</t>
  </si>
  <si>
    <t>コープスブライド レコード アナログ サントラ サウンドトラック 映画</t>
  </si>
  <si>
    <t>https://www.ebay.com/sch/i.html?_nkw=Corpse%20Bride%20soundtrack%20LP&amp;_sacat=0&amp;_from=R40&amp;_sop=15&amp;rt=nc</t>
  </si>
  <si>
    <t>https://jp.mercari.com/search?keyword=%E3%82%B3%E3%83%BC%E3%83%97%E3%82%B9%E3%83%96%E3%83%A9%E3%82%A4%E3%83%89%20%E3%82%B5%E3%83%B3%E3%83%88%E3%83%A9%20%E3%83%AC%E3%82%B3%E3%83%BC%E3%83%89&amp;price_min=10000&amp;sort=price&amp;order=asc&amp;status=on_sale</t>
  </si>
  <si>
    <t>https://fril.jp/s?query=%E3%82%B3%E3%83%BC%E3%83%97%E3%82%B9%E3%83%96%E3%83%A9%E3%82%A4%E3%83%89%20%E3%82%B5%E3%83%B3%E3%83%88%E3%83%A9%20%E3%83%AC%E3%82%B3%E3%83%BC%E3%83%89&amp;min=10000&amp;transaction=selling</t>
  </si>
  <si>
    <t>https://search.rakuten.co.jp/search/mall/%E3%82%B3%E3%83%BC%E3%83%97%E3%82%B9%E3%83%96%E3%83%A9%E3%82%A4%E3%83%89%20%E3%82%B5%E3%83%B3%E3%83%88%E3%83%A9%20%E3%83%AC%E3%82%B3%E3%83%BC%E3%83%89/?min=10000</t>
  </si>
  <si>
    <t>https://auctions.yahoo.co.jp/search/search?p=%E3%82%B3%E3%83%BC%E3%83%97%E3%82%B9%E3%83%96%E3%83%A9%E3%82%A4%E3%83%89%20%E3%82%B5%E3%83%B3%E3%83%88%E3%83%A9%20%E3%83%AC%E3%82%B3%E3%83%BC%E3%83%89&amp;aucminprice=10000</t>
  </si>
  <si>
    <t>https://shopping.yahoo.co.jp/search/%E3%82%B3%E3%83%BC%E3%83%97%E3%82%B9%E3%83%96%E3%83%A9%E3%82%A4%E3%83%89%20%E3%82%B5%E3%83%B3%E3%83%88%E3%83%A9%20%E3%83%AC%E3%82%B3%E3%83%BC%E3%83%89/0/?pf=10000</t>
  </si>
  <si>
    <t>WACKO MARIA JULIUS TART OPTICAL FDR46</t>
  </si>
  <si>
    <t>Wacko Maria x Julius Tart Optical FDR 46 Eyeglasses</t>
  </si>
  <si>
    <t>https://www.ebay.com/sch/i.html?_nkw=Wacko%20Maria%20Julius%20Tart%20FDR&amp;_sacat=0&amp;_from=R40&amp;_sop=15&amp;rt=nc</t>
  </si>
  <si>
    <t>https://jp.mercari.com/search?keyword=WACKO%20MARIA%20JULIUS%20TART%20OPTICAL%20FDR&amp;price_min=10000&amp;sort=price&amp;order=asc&amp;status=on_sale</t>
  </si>
  <si>
    <t>https://fril.jp/s?query=WACKO%20MARIA%20JULIUS%20TART%20OPTICAL%20FDR&amp;min=10000&amp;transaction=selling</t>
  </si>
  <si>
    <t>https://search.rakuten.co.jp/search/mall/WACKO%20MARIA%20JULIUS%20TART%20OPTICAL%20FDR/?min=10000</t>
  </si>
  <si>
    <t>https://auctions.yahoo.co.jp/search/search?p=WACKO%20MARIA%20JULIUS%20TART%20OPTICAL%20FDR&amp;aucminprice=10000</t>
  </si>
  <si>
    <t>https://shopping.yahoo.co.jp/search/WACKO%20MARIA%20JULIUS%20TART%20OPTICAL%20FDR/0/?pf=10000</t>
  </si>
  <si>
    <t>JULIUS TART OPTICAL BRYAN LIMITED 46□22</t>
  </si>
  <si>
    <t>https://www.ebay.com/sch/i.html?_nkw=Julius%20Tart%20Optical%20Bryan&amp;_sacat=0&amp;_from=R40&amp;_sop=15&amp;rt=nc</t>
  </si>
  <si>
    <t>https://jp.mercari.com/search?keyword=JULIUS%20TART%20OPTICAL%20BRYAN%20%E3%83%A1%E3%82%AC%E3%83%8D&amp;price_min=10000&amp;sort=price&amp;order=asc&amp;status=on_sale</t>
  </si>
  <si>
    <t>https://fril.jp/s?query=JULIUS%20TART%20OPTICAL%20BRYAN%20%E3%83%A1%E3%82%AC%E3%83%8D&amp;min=10000&amp;transaction=selling</t>
  </si>
  <si>
    <t>https://search.rakuten.co.jp/search/mall/JULIUS%20TART%20OPTICAL%20BRYAN%20%E3%83%A1%E3%82%AC%E3%83%8D/?min=10000</t>
  </si>
  <si>
    <t>https://auctions.yahoo.co.jp/search/search?p=JULIUS%20TART%20OPTICAL%20BRYAN%20%E3%83%A1%E3%82%AC%E3%83%8D&amp;aucminprice=10000</t>
  </si>
  <si>
    <t>https://shopping.yahoo.co.jp/search/JULIUS%20TART%20OPTICAL%20BRYAN%20%E3%83%A1%E3%82%AC%E3%83%8D/0/?pf=10000</t>
  </si>
  <si>
    <t>JULIUS TART OPTICAL BRYAN46-CHAMPAGNE</t>
  </si>
  <si>
    <t>Julius Tart Optical Bryan 46 Champagne Eyeglasses</t>
  </si>
  <si>
    <t>https://www.ebay.com/sch/i.html?_nkw=Julius%20Tart%20Optical%20Bryan%20champagne&amp;_sacat=0&amp;_from=R40&amp;_sop=15&amp;rt=nc</t>
  </si>
  <si>
    <t>https://jp.mercari.com/search?keyword=JULIUS%20TART%20OPTICAL%20BRYAN%20%E3%82%B7%E3%83%A3%E3%83%B3%E3%83%91%E3%83%B3&amp;price_min=10000&amp;sort=price&amp;order=asc&amp;status=on_sale</t>
  </si>
  <si>
    <t>https://fril.jp/s?query=JULIUS%20TART%20OPTICAL%20BRYAN%20%E3%82%B7%E3%83%A3%E3%83%B3%E3%83%91%E3%83%B3&amp;min=10000&amp;transaction=selling</t>
  </si>
  <si>
    <t>https://search.rakuten.co.jp/search/mall/JULIUS%20TART%20OPTICAL%20BRYAN%20%E3%82%B7%E3%83%A3%E3%83%B3%E3%83%91%E3%83%B3/?min=10000</t>
  </si>
  <si>
    <t>https://auctions.yahoo.co.jp/search/search?p=JULIUS%20TART%20OPTICAL%20BRYAN%20%E3%82%B7%E3%83%A3%E3%83%B3%E3%83%91%E3%83%B3&amp;aucminprice=10000</t>
  </si>
  <si>
    <t>https://shopping.yahoo.co.jp/search/JULIUS%20TART%20OPTICAL%20BRYAN%20%E3%82%B7%E3%83%A3%E3%83%B3%E3%83%91%E3%83%B3/0/?pf=10000</t>
  </si>
  <si>
    <t>Hazbin Hotel ハズビンホテル トレカ シークレット セラ 65/60</t>
  </si>
  <si>
    <t>https://www.ebay.com/sch/i.html?_nkw=Hazbin%20Hotel%20Cherri%20secret%20card&amp;_sacat=0&amp;_from=R40&amp;_sop=15&amp;rt=nc</t>
  </si>
  <si>
    <t>https://jp.mercari.com/search?keyword=%E3%83%8F%E3%82%BA%E3%83%93%E3%83%B3%E3%83%9B%E3%83%86%E3%83%AB%20%E3%83%88%E3%83%AC%E3%82%AB%20%E3%82%BB%E3%83%A9%2065/60%20%E3%82%B7%E3%83%BC%E3%82%AF%E3%83%AC%E3%83%83%E3%83%88&amp;price_min=10000&amp;sort=price&amp;order=asc&amp;status=on_sale</t>
  </si>
  <si>
    <t>https://fril.jp/s?query=%E3%83%8F%E3%82%BA%E3%83%93%E3%83%B3%E3%83%9B%E3%83%86%E3%83%AB%20%E3%83%88%E3%83%AC%E3%82%AB%20%E3%82%BB%E3%83%A9%2065/60%20%E3%82%B7%E3%83%BC%E3%82%AF%E3%83%AC%E3%83%83%E3%83%88&amp;min=10000&amp;transaction=selling</t>
  </si>
  <si>
    <t>https://search.rakuten.co.jp/search/mall/%E3%83%8F%E3%82%BA%E3%83%93%E3%83%B3%E3%83%9B%E3%83%86%E3%83%AB%20%E3%83%88%E3%83%AC%E3%82%AB%20%E3%82%BB%E3%83%A9%2065/60%20%E3%82%B7%E3%83%BC%E3%82%AF%E3%83%AC%E3%83%83%E3%83%88/?min=10000</t>
  </si>
  <si>
    <t>https://auctions.yahoo.co.jp/search/search?p=%E3%83%8F%E3%82%BA%E3%83%93%E3%83%B3%E3%83%9B%E3%83%86%E3%83%AB%20%E3%83%88%E3%83%AC%E3%82%AB%20%E3%82%BB%E3%83%A9%2065/60%20%E3%82%B7%E3%83%BC%E3%82%AF%E3%83%AC%E3%83%83%E3%83%88&amp;aucminprice=10000</t>
  </si>
  <si>
    <t>https://shopping.yahoo.co.jp/search/%E3%83%8F%E3%82%BA%E3%83%93%E3%83%B3%E3%83%9B%E3%83%86%E3%83%AB%20%E3%83%88%E3%83%AC%E3%82%AB%20%E3%82%BB%E3%83%A9%2065/60%20%E3%82%B7%E3%83%BC%E3%82%AF%E3%83%AC%E3%83%83%E3%83%88/0/?pf=10000</t>
  </si>
  <si>
    <t>DD衣装 雪ミク 2018 「タンチョウ巫女」セット</t>
  </si>
  <si>
    <t>https://www.ebay.com/sch/i.html?_nkw=VOLKS%20DD%20Snow%20Miku%20Tancho%20Miko&amp;_sacat=0&amp;_from=R40&amp;_sop=15&amp;rt=nc</t>
  </si>
  <si>
    <t>https://jp.mercari.com/search?keyword=%E3%83%9C%E3%83%BC%E3%82%AF%E3%82%B9%20DD%20%E9%9B%AA%E3%83%9F%E3%82%AF%202018%20%E3%82%BF%E3%83%B3%E3%83%81%E3%83%A7%E3%82%A6%E5%B7%AB%E5%A5%B3&amp;price_min=10000&amp;sort=price&amp;order=asc&amp;status=on_sale</t>
  </si>
  <si>
    <t>https://fril.jp/s?query=%E3%83%9C%E3%83%BC%E3%82%AF%E3%82%B9%20DD%20%E9%9B%AA%E3%83%9F%E3%82%AF%202018%20%E3%82%BF%E3%83%B3%E3%83%81%E3%83%A7%E3%82%A6%E5%B7%AB%E5%A5%B3&amp;min=10000&amp;transaction=selling</t>
  </si>
  <si>
    <t>https://search.rakuten.co.jp/search/mall/%E3%83%9C%E3%83%BC%E3%82%AF%E3%82%B9%20DD%20%E9%9B%AA%E3%83%9F%E3%82%AF%202018%20%E3%82%BF%E3%83%B3%E3%83%81%E3%83%A7%E3%82%A6%E5%B7%AB%E5%A5%B3/?min=10000</t>
  </si>
  <si>
    <t>https://auctions.yahoo.co.jp/search/search?p=%E3%83%9C%E3%83%BC%E3%82%AF%E3%82%B9%20DD%20%E9%9B%AA%E3%83%9F%E3%82%AF%202018%20%E3%82%BF%E3%83%B3%E3%83%81%E3%83%A7%E3%82%A6%E5%B7%AB%E5%A5%B3&amp;aucminprice=10000</t>
  </si>
  <si>
    <t>https://shopping.yahoo.co.jp/search/%E3%83%9C%E3%83%BC%E3%82%AF%E3%82%B9%20DD%20%E9%9B%AA%E3%83%9F%E3%82%AF%202018%20%E3%82%BF%E3%83%B3%E3%83%81%E3%83%A7%E3%82%A6%E5%B7%AB%E5%A5%B3/0/?pf=10000</t>
  </si>
  <si>
    <t>VOLKS DD Snow Miku 2025 Crystal Snow セット</t>
  </si>
  <si>
    <t>https://www.ebay.com/sch/i.html?_nkw=VOLKS%20DD%20Snow%20Miku%202025&amp;_sacat=0&amp;_from=R40&amp;_sop=15&amp;rt=nc</t>
  </si>
  <si>
    <t>https://jp.mercari.com/search?keyword=VOLKS%20DD%20%E9%9B%AA%E3%83%9F%E3%82%AF%202025%20Crystal%20Snow&amp;price_min=10000&amp;sort=price&amp;order=asc&amp;status=on_sale</t>
  </si>
  <si>
    <t>https://fril.jp/s?query=VOLKS%20DD%20%E9%9B%AA%E3%83%9F%E3%82%AF%202025%20Crystal%20Snow&amp;min=10000&amp;transaction=selling</t>
  </si>
  <si>
    <t>https://search.rakuten.co.jp/search/mall/VOLKS%20DD%20%E9%9B%AA%E3%83%9F%E3%82%AF%202025%20Crystal%20Snow/?min=10000</t>
  </si>
  <si>
    <t>https://auctions.yahoo.co.jp/search/search?p=VOLKS%20DD%20%E9%9B%AA%E3%83%9F%E3%82%AF%202025%20Crystal%20Snow&amp;aucminprice=10000</t>
  </si>
  <si>
    <t>https://shopping.yahoo.co.jp/search/VOLKS%20DD%20%E9%9B%AA%E3%83%9F%E3%82%AF%202025%20Crystal%20Snow/0/?pf=10000</t>
  </si>
  <si>
    <t>＊未開封＊200体限定受注＊BUCK-TICK 今井寿＊T-275テヤン</t>
  </si>
  <si>
    <t>https://www.ebay.com/sch/i.html?_nkw=Teyang%20Imai%20BUCK-TICK%20figure&amp;_sacat=0&amp;_from=R40&amp;_sop=15&amp;rt=nc</t>
  </si>
  <si>
    <t>https://jp.mercari.com/search?keyword=%E3%83%86%E3%83%A4%E3%83%B3%20T-275%20BUCK-TICK%20%E4%BB%8A%E4%BA%95%E5%AF%BF&amp;price_min=10000&amp;sort=price&amp;order=asc&amp;status=on_sale</t>
  </si>
  <si>
    <t>https://fril.jp/s?query=%E3%83%86%E3%83%A4%E3%83%B3%20T-275%20BUCK-TICK%20%E4%BB%8A%E4%BA%95%E5%AF%BF&amp;min=10000&amp;transaction=selling</t>
  </si>
  <si>
    <t>https://search.rakuten.co.jp/search/mall/%E3%83%86%E3%83%A4%E3%83%B3%20T-275%20BUCK-TICK%20%E4%BB%8A%E4%BA%95%E5%AF%BF/?min=10000</t>
  </si>
  <si>
    <t>https://auctions.yahoo.co.jp/search/search?p=%E3%83%86%E3%83%A4%E3%83%B3%20T-275%20BUCK-TICK%20%E4%BB%8A%E4%BA%95%E5%AF%BF&amp;aucminprice=10000</t>
  </si>
  <si>
    <t>https://shopping.yahoo.co.jp/search/%E3%83%86%E3%83%A4%E3%83%B3%20T-275%20BUCK-TICK%20%E4%BB%8A%E4%BA%95%E5%AF%BF/0/?pf=10000</t>
  </si>
  <si>
    <t>HIGUCHI YUTAKA BUCK-TICKドール ギター付きイスル</t>
  </si>
  <si>
    <t>https://www.ebay.com/sch/i.html?_nkw=Higuchi%20Yutaka%20BUCK-TICK%20doll&amp;_sacat=0&amp;_from=R40&amp;_sop=15&amp;rt=nc</t>
  </si>
  <si>
    <t>https://jp.mercari.com/search?keyword=HIGUCHI%20YUTAKA%20BUCK-TICK%20%E3%83%89%E3%83%BC%E3%83%AB%20%E3%82%A4%E3%82%B9%E3%83%AB&amp;price_min=10000&amp;sort=price&amp;order=asc&amp;status=on_sale</t>
  </si>
  <si>
    <t>https://fril.jp/s?query=HIGUCHI%20YUTAKA%20BUCK-TICK%20%E3%83%89%E3%83%BC%E3%83%AB%20%E3%82%A4%E3%82%B9%E3%83%AB&amp;min=10000&amp;transaction=selling</t>
  </si>
  <si>
    <t>https://search.rakuten.co.jp/search/mall/HIGUCHI%20YUTAKA%20BUCK-TICK%20%E3%83%89%E3%83%BC%E3%83%AB%20%E3%82%A4%E3%82%B9%E3%83%AB/?min=10000</t>
  </si>
  <si>
    <t>https://auctions.yahoo.co.jp/search/search?p=HIGUCHI%20YUTAKA%20BUCK-TICK%20%E3%83%89%E3%83%BC%E3%83%AB%20%E3%82%A4%E3%82%B9%E3%83%AB&amp;aucminprice=10000</t>
  </si>
  <si>
    <t>https://shopping.yahoo.co.jp/search/HIGUCHI%20YUTAKA%20BUCK-TICK%20%E3%83%89%E3%83%BC%E3%83%AB%20%E3%82%A4%E3%82%B9%E3%83%AB/0/?pf=10000</t>
  </si>
  <si>
    <t>https://jp.mercari.com/item/m59346030203</t>
  </si>
  <si>
    <t>https://jp.mercari.com/item/m92063364681</t>
  </si>
  <si>
    <t>https://auctions.yahoo.co.jp/jp/auction/x1237668220</t>
  </si>
  <si>
    <t>https://jp.mercari.com/item/m45719078217</t>
  </si>
  <si>
    <t>https://jp.mercari.com/shops/product/CwtofebLAWDid735UfRjvN</t>
  </si>
  <si>
    <t>https://jp.mercari.com/item/m58200082675</t>
  </si>
  <si>
    <t>https://paypayfleamarket.yahoo.co.jp/item/z619695076</t>
  </si>
  <si>
    <t>https://auctions.yahoo.co.jp/jp/auction/o1240188342</t>
  </si>
  <si>
    <t>Eyeglass Frames</t>
  </si>
  <si>
    <t>hololive 4th fes. Our Bright Parade Live Bromide Photo Complete Set 192</t>
  </si>
  <si>
    <t>Corpse Bride Danny Elfman Original Soundtrack 2 LP Vinyl Tim Burton 2005</t>
  </si>
  <si>
    <t>Julius Tart Optical Bryan Limited 46-22 Eyeglasses</t>
  </si>
  <si>
    <t>Hazbin Hotel Trading Card Sera's Holy Form 65/60 Secret Rare 2nd Edition</t>
  </si>
  <si>
    <t>VOLKS Dollfie Dream DD DDS Snow Miku Tancho Miko Costume Set Hatsune Miku</t>
  </si>
  <si>
    <t>VOLKS Dollfie Dream Snow Miku 2025 Crystal Snow Costume Set Hatsune Miku</t>
  </si>
  <si>
    <t>Taeyang T-275 BUCK-TICK Hisashi Imai Groove Doll 200 Limited Sealed</t>
  </si>
  <si>
    <t>Isul BUCK-TICK Yutaka Higuchi Groove Doll I-953 Show After Dark 2021 Sealed</t>
  </si>
  <si>
    <t>済月</t>
    <rPh sb="0" eb="1">
      <t>スミ</t>
    </rPh>
    <rPh sb="1" eb="2">
      <t>ツキ</t>
    </rPh>
    <phoneticPr fontId="1"/>
  </si>
  <si>
    <t>5月</t>
    <rPh sb="1" eb="2">
      <t>ガツ</t>
    </rPh>
    <phoneticPr fontId="1"/>
  </si>
  <si>
    <t>6月</t>
  </si>
  <si>
    <t>8月</t>
  </si>
  <si>
    <t>https://jp.mercari.com/item/m48430424318</t>
  </si>
  <si>
    <t>https://jp.mercari.com/item/m26610991880</t>
  </si>
  <si>
    <t>https://jp.mercari.com/item/m80439274078</t>
  </si>
  <si>
    <t>https://jp.mercari.com/item/m66674362031</t>
  </si>
  <si>
    <t>https://jp.mercari.com/item/m34314628413</t>
  </si>
  <si>
    <t>https://jp.mercari.com/item/m96635775491</t>
  </si>
  <si>
    <t>https://jp.mercari.com/item/m32152600405</t>
  </si>
  <si>
    <t>https://jp.mercari.com/item/m73437341596</t>
  </si>
  <si>
    <t>https://jp.mercari.com/item/m41436181204</t>
  </si>
  <si>
    <t>https://jp.mercari.com/item/m93279797460</t>
  </si>
  <si>
    <t>https://www.ebay.com/sch/i.html?_nkw=JoJo%20Super%20Action%20Statue%20Gyro&amp;_sacat=0&amp;_from=R40&amp;_sop=15&amp;rt=nc&amp;_udlo=20000</t>
  </si>
  <si>
    <t>https://jp.mercari.com/search?keyword=%E8%B6%85%E5%83%8F%E5%8F%AF%E5%8B%95%20%E3%82%B8%E3%83%A3%E3%82%A4%E3%83%AD%E3%83%BB%E3%83%84%E3%82%A7%E3%83%9A%E3%83%AA%20%E3%82%AF%E3%83%AA%E3%82%B9%E3%82%BF%E3%83%AB&amp;price_min=10000&amp;sort=price&amp;order=asc&amp;status=on_sale</t>
  </si>
  <si>
    <t>https://fril.jp/s?query=%E8%B6%85%E5%83%8F%E5%8F%AF%E5%8B%95%20%E3%82%B8%E3%83%A3%E3%82%A4%E3%83%AD%E3%83%BB%E3%83%84%E3%82%A7%E3%83%9A%E3%83%AA%20%E3%82%AF%E3%83%AA%E3%82%B9%E3%82%BF%E3%83%AB&amp;min=10000&amp;transaction=selling</t>
  </si>
  <si>
    <t>https://search.rakuten.co.jp/search/mall/%E8%B6%85%E5%83%8F%E5%8F%AF%E5%8B%95%20%E3%82%B8%E3%83%A3%E3%82%A4%E3%83%AD%E3%83%BB%E3%83%84%E3%82%A7%E3%83%9A%E3%83%AA%20%E3%82%AF%E3%83%AA%E3%82%B9%E3%82%BF%E3%83%AB/?min=10000</t>
  </si>
  <si>
    <t>https://auctions.yahoo.co.jp/search/search?p=%E8%B6%85%E5%83%8F%E5%8F%AF%E5%8B%95%20%E3%82%B8%E3%83%A3%E3%82%A4%E3%83%AD%E3%83%BB%E3%83%84%E3%82%A7%E3%83%9A%E3%83%AA%20%E3%82%AF%E3%83%AA%E3%82%B9%E3%82%BF%E3%83%AB&amp;aucminprice=10000</t>
  </si>
  <si>
    <t>https://shopping.yahoo.co.jp/search/%E8%B6%85%E5%83%8F%E5%8F%AF%E5%8B%95%20%E3%82%B8%E3%83%A3%E3%82%A4%E3%83%AD%E3%83%BB%E3%83%84%E3%82%A7%E3%83%9A%E3%83%AA%20%E3%82%AF%E3%83%AA%E3%82%B9%E3%82%BF%E3%83%AB/0/?pf=10000</t>
  </si>
  <si>
    <t>ジョジョ　クリスタル　ワンフェス　超像可動　「ジャイロ・ツェペリVer.1.5」</t>
  </si>
  <si>
    <t>Berserk ベルセルク 黄金時代篇 完全生産限定盤</t>
  </si>
  <si>
    <t>https://www.ebay.com/sch/i.html?_nkw=Berserk%20Golden%20Age%20Blu-ray&amp;_sacat=0&amp;_from=R40&amp;_sop=15&amp;rt=nc&amp;_udlo=20000</t>
  </si>
  <si>
    <t>https://jp.mercari.com/search?keyword=%E3%83%99%E3%83%AB%E3%82%BB%E3%83%AB%E3%82%AF%20%E9%BB%84%E9%87%91%E6%99%82%E4%BB%A3%E7%AF%87%20%E9%99%90%E5%AE%9A%E7%9B%A4&amp;price_min=10000&amp;sort=price&amp;order=asc&amp;status=on_sale</t>
  </si>
  <si>
    <t>https://fril.jp/s?query=%E3%83%99%E3%83%AB%E3%82%BB%E3%83%AB%E3%82%AF%20%E9%BB%84%E9%87%91%E6%99%82%E4%BB%A3%E7%AF%87%20%E9%99%90%E5%AE%9A%E7%9B%A4&amp;min=10000&amp;transaction=selling</t>
  </si>
  <si>
    <t>https://search.rakuten.co.jp/search/mall/%E3%83%99%E3%83%AB%E3%82%BB%E3%83%AB%E3%82%AF%20%E9%BB%84%E9%87%91%E6%99%82%E4%BB%A3%E7%AF%87%20%E9%99%90%E5%AE%9A%E7%9B%A4/?min=10000</t>
  </si>
  <si>
    <t>https://auctions.yahoo.co.jp/search/search?p=%E3%83%99%E3%83%AB%E3%82%BB%E3%83%AB%E3%82%AF%20%E9%BB%84%E9%87%91%E6%99%82%E4%BB%A3%E7%AF%87%20%E9%99%90%E5%AE%9A%E7%9B%A4&amp;aucminprice=10000</t>
  </si>
  <si>
    <t>https://shopping.yahoo.co.jp/search/%E3%83%99%E3%83%AB%E3%82%BB%E3%83%AB%E3%82%AF%20%E9%BB%84%E9%87%91%E6%99%82%E4%BB%A3%E7%AF%87%20%E9%99%90%E5%AE%9A%E7%9B%A4/0/?pf=10000</t>
  </si>
  <si>
    <t>ベルセルク 黄金時代篇 鷺巣詩郎 サントラ CD 全3巻</t>
  </si>
  <si>
    <t>https://www.ebay.com/sch/i.html?_nkw=Berserk%20Golden%20Age%20soundtrack%20CD&amp;_sacat=0&amp;_from=R40&amp;_sop=15&amp;rt=nc&amp;_udlo=20000</t>
  </si>
  <si>
    <t>https://jp.mercari.com/search?keyword=%E3%83%99%E3%83%AB%E3%82%BB%E3%83%AB%E3%82%AF%20%E9%BB%84%E9%87%91%E6%99%82%E4%BB%A3%E7%AF%87%20%E3%82%B5%E3%83%B3%E3%83%88%E3%83%A9%20CD&amp;price_min=10000&amp;sort=price&amp;order=asc&amp;status=on_sale</t>
  </si>
  <si>
    <t>https://fril.jp/s?query=%E3%83%99%E3%83%AB%E3%82%BB%E3%83%AB%E3%82%AF%20%E9%BB%84%E9%87%91%E6%99%82%E4%BB%A3%E7%AF%87%20%E3%82%B5%E3%83%B3%E3%83%88%E3%83%A9%20CD&amp;min=10000&amp;transaction=selling</t>
  </si>
  <si>
    <t>https://search.rakuten.co.jp/search/mall/%E3%83%99%E3%83%AB%E3%82%BB%E3%83%AB%E3%82%AF%20%E9%BB%84%E9%87%91%E6%99%82%E4%BB%A3%E7%AF%87%20%E3%82%B5%E3%83%B3%E3%83%88%E3%83%A9%20CD/?min=10000</t>
  </si>
  <si>
    <t>https://auctions.yahoo.co.jp/search/search?p=%E3%83%99%E3%83%AB%E3%82%BB%E3%83%AB%E3%82%AF%20%E9%BB%84%E9%87%91%E6%99%82%E4%BB%A3%E7%AF%87%20%E3%82%B5%E3%83%B3%E3%83%88%E3%83%A9%20CD&amp;aucminprice=10000</t>
  </si>
  <si>
    <t>https://shopping.yahoo.co.jp/search/%E3%83%99%E3%83%AB%E3%82%BB%E3%83%AB%E3%82%AF%20%E9%BB%84%E9%87%91%E6%99%82%E4%BB%A3%E7%AF%87%20%E3%82%B5%E3%83%B3%E3%83%88%E3%83%A9%20CD/0/?pf=10000</t>
  </si>
  <si>
    <t>○BIOPTRON2 バイオプトロン2 美顔器 光フェイシャル 動作確認済</t>
  </si>
  <si>
    <t>Bioptron 2 Light Therapy Beauty Device Zepter</t>
  </si>
  <si>
    <t>https://www.ebay.com/sch/i.html?_nkw=Bioptron%202%20light%20therapy&amp;_sacat=0&amp;_from=R40&amp;_sop=15&amp;rt=nc&amp;_udlo=20000</t>
  </si>
  <si>
    <t>https://jp.mercari.com/search?keyword=%E3%83%90%E3%82%A4%E3%82%AA%E3%83%97%E3%83%88%E3%83%AD%E3%83%B32%20%E7%BE%8E%E9%A1%94%E5%99%A8&amp;price_min=10000&amp;sort=price&amp;order=asc&amp;status=on_sale</t>
  </si>
  <si>
    <t>https://fril.jp/s?query=%E3%83%90%E3%82%A4%E3%82%AA%E3%83%97%E3%83%88%E3%83%AD%E3%83%B32%20%E7%BE%8E%E9%A1%94%E5%99%A8&amp;min=10000&amp;transaction=selling</t>
  </si>
  <si>
    <t>https://search.rakuten.co.jp/search/mall/%E3%83%90%E3%82%A4%E3%82%AA%E3%83%97%E3%83%88%E3%83%AD%E3%83%B32%20%E7%BE%8E%E9%A1%94%E5%99%A8/?min=10000</t>
  </si>
  <si>
    <t>https://auctions.yahoo.co.jp/search/search?p=%E3%83%90%E3%82%A4%E3%82%AA%E3%83%97%E3%83%88%E3%83%AD%E3%83%B32%20%E7%BE%8E%E9%A1%94%E5%99%A8&amp;aucminprice=10000</t>
  </si>
  <si>
    <t>https://shopping.yahoo.co.jp/search/%E3%83%90%E3%82%A4%E3%82%AA%E3%83%97%E3%83%88%E3%83%AD%E3%83%B32%20%E7%BE%8E%E9%A1%94%E5%99%A8/0/?pf=10000</t>
  </si>
  <si>
    <t>銃夢 Last Order 1 サイン本 木城ゆきと</t>
  </si>
  <si>
    <t>https://www.ebay.com/sch/i.html?_nkw=Battle%20Angel%20Alita%20signed&amp;_sacat=0&amp;_from=R40&amp;_sop=15&amp;rt=nc&amp;_udlo=20000</t>
  </si>
  <si>
    <t>https://jp.mercari.com/search?keyword=%E9%8A%83%E5%A4%A2%20Last%20Order%20%E3%82%B5%E3%82%A4%E3%83%B3%E6%9C%AC%20%E6%9C%A8%E5%9F%8E%E3%82%86%E3%81%8D%E3%81%A8&amp;price_min=10000&amp;sort=price&amp;order=asc&amp;status=on_sale</t>
  </si>
  <si>
    <t>https://fril.jp/s?query=%E9%8A%83%E5%A4%A2%20Last%20Order%20%E3%82%B5%E3%82%A4%E3%83%B3%E6%9C%AC%20%E6%9C%A8%E5%9F%8E%E3%82%86%E3%81%8D%E3%81%A8&amp;min=10000&amp;transaction=selling</t>
  </si>
  <si>
    <t>https://search.rakuten.co.jp/search/mall/%E9%8A%83%E5%A4%A2%20Last%20Order%20%E3%82%B5%E3%82%A4%E3%83%B3%E6%9C%AC%20%E6%9C%A8%E5%9F%8E%E3%82%86%E3%81%8D%E3%81%A8/?min=10000</t>
  </si>
  <si>
    <t>https://auctions.yahoo.co.jp/search/search?p=%E9%8A%83%E5%A4%A2%20Last%20Order%20%E3%82%B5%E3%82%A4%E3%83%B3%E6%9C%AC%20%E6%9C%A8%E5%9F%8E%E3%82%86%E3%81%8D%E3%81%A8&amp;aucminprice=10000</t>
  </si>
  <si>
    <t>https://shopping.yahoo.co.jp/search/%E9%8A%83%E5%A4%A2%20Last%20Order%20%E3%82%B5%E3%82%A4%E3%83%B3%E6%9C%AC%20%E6%9C%A8%E5%9F%8E%E3%82%86%E3%81%8D%E3%81%A8/0/?pf=10000</t>
  </si>
  <si>
    <t>https://www.ebay.com/sch/i.html?_nkw=Neo%20Blythe%20Dark%20Rabbit%20Hole&amp;_sacat=0&amp;_from=R40&amp;_sop=15&amp;rt=nc&amp;_udlo=20000</t>
  </si>
  <si>
    <t>Blythe Dark Rabbit Hole ブライス 人形本体</t>
  </si>
  <si>
    <t>https://jp.mercari.com/search?keyword=%E3%83%96%E3%83%A9%E3%82%A4%E3%82%B9%20%E3%83%80%E3%83%BC%E3%82%AF%E3%83%A9%E3%83%93%E3%83%83%E3%83%88%E3%83%9B%E3%83%BC%E3%83%AB%20%E6%9C%AC%E4%BD%93&amp;price_min=10000&amp;sort=price&amp;order=asc&amp;status=on_sale</t>
  </si>
  <si>
    <t>https://fril.jp/s?query=%E3%83%96%E3%83%A9%E3%82%A4%E3%82%B9%20%E3%83%80%E3%83%BC%E3%82%AF%E3%83%A9%E3%83%93%E3%83%83%E3%83%88%E3%83%9B%E3%83%BC%E3%83%AB%20%E6%9C%AC%E4%BD%93&amp;min=10000&amp;transaction=selling</t>
  </si>
  <si>
    <t>https://search.rakuten.co.jp/search/mall/%E3%83%96%E3%83%A9%E3%82%A4%E3%82%B9%20%E3%83%80%E3%83%BC%E3%82%AF%E3%83%A9%E3%83%93%E3%83%83%E3%83%88%E3%83%9B%E3%83%BC%E3%83%AB%20%E6%9C%AC%E4%BD%93/?min=10000</t>
  </si>
  <si>
    <t>https://auctions.yahoo.co.jp/search/search?p=%E3%83%96%E3%83%A9%E3%82%A4%E3%82%B9%20%E3%83%80%E3%83%BC%E3%82%AF%E3%83%A9%E3%83%93%E3%83%83%E3%83%88%E3%83%9B%E3%83%BC%E3%83%AB%20%E6%9C%AC%E4%BD%93&amp;aucminprice=10000</t>
  </si>
  <si>
    <t>https://shopping.yahoo.co.jp/search/%E3%83%96%E3%83%A9%E3%82%A4%E3%82%B9%20%E3%83%80%E3%83%BC%E3%82%AF%E3%83%A9%E3%83%93%E3%83%83%E3%83%88%E3%83%9B%E3%83%BC%E3%83%AB%20%E6%9C%AC%E4%BD%93/0/?pf=10000</t>
  </si>
  <si>
    <t>https://www.ebay.com/sch/i.html?_nkw=Neo%20Blythe%20Bloomy%20Bloomsbury&amp;_sacat=0&amp;_from=R40&amp;_sop=15&amp;rt=nc&amp;_udlo=20000</t>
  </si>
  <si>
    <t>https://jp.mercari.com/search?keyword=%E3%83%8D%E3%82%AA%E3%83%96%E3%83%A9%E3%82%A4%E3%82%B9%20%E3%83%96%E3%83%AB%E3%83%BC%E3%83%9F%E3%83%BC%E3%83%96%E3%83%AB%E3%83%BC%E3%83%A0%E3%82%BA%E3%83%99%E3%83%AA%E3%83%BC&amp;price_min=10000&amp;sort=price&amp;order=asc&amp;status=on_sale</t>
  </si>
  <si>
    <t>https://fril.jp/s?query=%E3%83%8D%E3%82%AA%E3%83%96%E3%83%A9%E3%82%A4%E3%82%B9%20%E3%83%96%E3%83%AB%E3%83%BC%E3%83%9F%E3%83%BC%E3%83%96%E3%83%AB%E3%83%BC%E3%83%A0%E3%82%BA%E3%83%99%E3%83%AA%E3%83%BC&amp;min=10000&amp;transaction=selling</t>
  </si>
  <si>
    <t>https://search.rakuten.co.jp/search/mall/%E3%83%8D%E3%82%AA%E3%83%96%E3%83%A9%E3%82%A4%E3%82%B9%20%E3%83%96%E3%83%AB%E3%83%BC%E3%83%9F%E3%83%BC%E3%83%96%E3%83%AB%E3%83%BC%E3%83%A0%E3%82%BA%E3%83%99%E3%83%AA%E3%83%BC/?min=10000</t>
  </si>
  <si>
    <t>https://auctions.yahoo.co.jp/search/search?p=%E3%83%8D%E3%82%AA%E3%83%96%E3%83%A9%E3%82%A4%E3%82%B9%20%E3%83%96%E3%83%AB%E3%83%BC%E3%83%9F%E3%83%BC%E3%83%96%E3%83%AB%E3%83%BC%E3%83%A0%E3%82%BA%E3%83%99%E3%83%AA%E3%83%BC&amp;aucminprice=10000</t>
  </si>
  <si>
    <t>https://shopping.yahoo.co.jp/search/%E3%83%8D%E3%82%AA%E3%83%96%E3%83%A9%E3%82%A4%E3%82%B9%20%E3%83%96%E3%83%AB%E3%83%BC%E3%83%9F%E3%83%BC%E3%83%96%E3%83%AB%E3%83%BC%E3%83%A0%E3%82%BA%E3%83%99%E3%83%AA%E3%83%BC/0/?pf=10000</t>
  </si>
  <si>
    <t>タカラトミー ネオブライス ブルーミーブルームズベリー チャーム付</t>
  </si>
  <si>
    <t>【未開封】ネオブライス　ハスブロ限定　カーリーブルーベイブ</t>
  </si>
  <si>
    <t>https://www.ebay.com/sch/i.html?_nkw=Neo%20Blythe%20Curly%20Blue%20Babe&amp;_sacat=0&amp;_from=R40&amp;_sop=15&amp;rt=nc&amp;_udlo=20000</t>
  </si>
  <si>
    <t>https://jp.mercari.com/search?keyword=%E3%83%8D%E3%82%AA%E3%83%96%E3%83%A9%E3%82%A4%E3%82%B9%20%E3%82%AB%E3%83%BC%E3%83%AA%E3%83%BC%E3%83%96%E3%83%AB%E3%83%BC%E3%83%99%E3%82%A4%E3%83%96&amp;price_min=10000&amp;sort=price&amp;order=asc&amp;status=on_sale</t>
  </si>
  <si>
    <t>https://fril.jp/s?query=%E3%83%8D%E3%82%AA%E3%83%96%E3%83%A9%E3%82%A4%E3%82%B9%20%E3%82%AB%E3%83%BC%E3%83%AA%E3%83%BC%E3%83%96%E3%83%AB%E3%83%BC%E3%83%99%E3%82%A4%E3%83%96&amp;min=10000&amp;transaction=selling</t>
  </si>
  <si>
    <t>https://search.rakuten.co.jp/search/mall/%E3%83%8D%E3%82%AA%E3%83%96%E3%83%A9%E3%82%A4%E3%82%B9%20%E3%82%AB%E3%83%BC%E3%83%AA%E3%83%BC%E3%83%96%E3%83%AB%E3%83%BC%E3%83%99%E3%82%A4%E3%83%96/?min=10000</t>
  </si>
  <si>
    <t>https://auctions.yahoo.co.jp/search/search?p=%E3%83%8D%E3%82%AA%E3%83%96%E3%83%A9%E3%82%A4%E3%82%B9%20%E3%82%AB%E3%83%BC%E3%83%AA%E3%83%BC%E3%83%96%E3%83%AB%E3%83%BC%E3%83%99%E3%82%A4%E3%83%96&amp;aucminprice=10000</t>
  </si>
  <si>
    <t>https://shopping.yahoo.co.jp/search/%E3%83%8D%E3%82%AA%E3%83%96%E3%83%A9%E3%82%A4%E3%82%B9%20%E3%82%AB%E3%83%BC%E3%83%AA%E3%83%BC%E3%83%96%E3%83%AB%E3%83%BC%E3%83%99%E3%82%A4%E3%83%96/0/?pf=10000</t>
  </si>
  <si>
    <t>ブライスデニズン・オブ・ザ・レイク クリスティーナ・ザ・ブライド</t>
  </si>
  <si>
    <t>https://www.ebay.com/sch/i.html?_nkw=Neo%20Blythe%20Denizen%20of%20the%20Lake&amp;_sacat=0&amp;_from=R40&amp;_sop=15&amp;rt=nc&amp;_udlo=20000</t>
  </si>
  <si>
    <t>https://jp.mercari.com/search?keyword=%E3%83%96%E3%83%A9%E3%82%A4%E3%82%B9%20%E3%83%87%E3%83%8B%E3%82%BA%E3%83%B3%E3%83%BB%E3%82%AA%E3%83%96%E3%83%BB%E3%82%B6%E3%83%BB%E3%83%AC%E3%82%A4%E3%82%AF%20%E3%82%AF%E3%83%AA%E3%82%B9%E3%83%86%E3%82%A3%E3%83%BC%E3%83%8A&amp;price_min=10000&amp;sort=price&amp;order=asc&amp;status=on_sale</t>
  </si>
  <si>
    <t>https://fril.jp/s?query=%E3%83%96%E3%83%A9%E3%82%A4%E3%82%B9%20%E3%83%87%E3%83%8B%E3%82%BA%E3%83%B3%E3%83%BB%E3%82%AA%E3%83%96%E3%83%BB%E3%82%B6%E3%83%BB%E3%83%AC%E3%82%A4%E3%82%AF%20%E3%82%AF%E3%83%AA%E3%82%B9%E3%83%86%E3%82%A3%E3%83%BC%E3%83%8A&amp;min=10000&amp;transaction=selling</t>
  </si>
  <si>
    <t>https://search.rakuten.co.jp/search/mall/%E3%83%96%E3%83%A9%E3%82%A4%E3%82%B9%20%E3%83%87%E3%83%8B%E3%82%BA%E3%83%B3%E3%83%BB%E3%82%AA%E3%83%96%E3%83%BB%E3%82%B6%E3%83%BB%E3%83%AC%E3%82%A4%E3%82%AF%20%E3%82%AF%E3%83%AA%E3%82%B9%E3%83%86%E3%82%A3%E3%83%BC%E3%83%8A/?min=10000</t>
  </si>
  <si>
    <t>https://auctions.yahoo.co.jp/search/search?p=%E3%83%96%E3%83%A9%E3%82%A4%E3%82%B9%20%E3%83%87%E3%83%8B%E3%82%BA%E3%83%B3%E3%83%BB%E3%82%AA%E3%83%96%E3%83%BB%E3%82%B6%E3%83%BB%E3%83%AC%E3%82%A4%E3%82%AF%20%E3%82%AF%E3%83%AA%E3%82%B9%E3%83%86%E3%82%A3%E3%83%BC%E3%83%8A&amp;aucminprice=10000</t>
  </si>
  <si>
    <t>https://shopping.yahoo.co.jp/search/%E3%83%96%E3%83%A9%E3%82%A4%E3%82%B9%20%E3%83%87%E3%83%8B%E3%82%BA%E3%83%B3%E3%83%BB%E3%82%AA%E3%83%96%E3%83%BB%E3%82%B6%E3%83%BB%E3%83%AC%E3%82%A4%E3%82%AF%20%E3%82%AF%E3%83%AA%E3%82%B9%E3%83%86%E3%82%A3%E3%83%BC%E3%83%8A/0/?pf=10000</t>
  </si>
  <si>
    <t>タミヤXBマイティフロッグ前後LEDライト付プロポ付き塗装済み完成品未使用品</t>
  </si>
  <si>
    <t>https://www.ebay.com/sch/i.html?_nkw=Tamiya%20XB%20Mighty%20Frog%20RC&amp;_sacat=0&amp;_from=R40&amp;_sop=15&amp;rt=nc&amp;_udlo=20000</t>
  </si>
  <si>
    <t>https://jp.mercari.com/search?keyword=%E3%82%BF%E3%83%9F%E3%83%A4%20XB%20%E3%83%9E%E3%82%A4%E3%83%86%E3%82%A3%E3%83%95%E3%83%AD%E3%83%83%E3%82%B0%20RC&amp;price_min=10000&amp;sort=price&amp;order=asc&amp;status=on_sale</t>
  </si>
  <si>
    <t>https://fril.jp/s?query=%E3%82%BF%E3%83%9F%E3%83%A4%20XB%20%E3%83%9E%E3%82%A4%E3%83%86%E3%82%A3%E3%83%95%E3%83%AD%E3%83%83%E3%82%B0%20RC&amp;min=10000&amp;transaction=selling</t>
  </si>
  <si>
    <t>https://search.rakuten.co.jp/search/mall/%E3%82%BF%E3%83%9F%E3%83%A4%20XB%20%E3%83%9E%E3%82%A4%E3%83%86%E3%82%A3%E3%83%95%E3%83%AD%E3%83%83%E3%82%B0%20RC/?min=10000</t>
  </si>
  <si>
    <t>https://auctions.yahoo.co.jp/search/search?p=%E3%82%BF%E3%83%9F%E3%83%A4%20XB%20%E3%83%9E%E3%82%A4%E3%83%86%E3%82%A3%E3%83%95%E3%83%AD%E3%83%83%E3%82%B0%20RC&amp;aucminprice=10000</t>
  </si>
  <si>
    <t>https://shopping.yahoo.co.jp/search/%E3%82%BF%E3%83%9F%E3%83%A4%20XB%20%E3%83%9E%E3%82%A4%E3%83%86%E3%82%A3%E3%83%95%E3%83%AD%E3%83%83%E3%82%B0%20RC/0/?pf=10000</t>
  </si>
  <si>
    <t>京商 ターボオプティマミッドスペシャル キット新品未開封</t>
  </si>
  <si>
    <t>https://www.ebay.com/sch/i.html?_nkw=Kyosho%20Turbo%20Optima%20Mid%20Special&amp;_sacat=0&amp;_from=R40&amp;_sop=15&amp;rt=nc&amp;_udlo=20000</t>
  </si>
  <si>
    <t>https://jp.mercari.com/search?keyword=%E4%BA%AC%E5%95%86%20%E3%82%BF%E3%83%BC%E3%83%9C%E3%82%AA%E3%83%97%E3%83%86%E3%82%A3%E3%83%9E%20%E3%83%9F%E3%83%83%E3%83%89%E3%82%B9%E3%83%9A%E3%82%B7%E3%83%A3%E3%83%AB&amp;price_min=10000&amp;sort=price&amp;order=asc&amp;status=on_sale</t>
  </si>
  <si>
    <t>https://fril.jp/s?query=%E4%BA%AC%E5%95%86%20%E3%82%BF%E3%83%BC%E3%83%9C%E3%82%AA%E3%83%97%E3%83%86%E3%82%A3%E3%83%9E%20%E3%83%9F%E3%83%83%E3%83%89%E3%82%B9%E3%83%9A%E3%82%B7%E3%83%A3%E3%83%AB&amp;min=10000&amp;transaction=selling</t>
  </si>
  <si>
    <t>https://search.rakuten.co.jp/search/mall/%E4%BA%AC%E5%95%86%20%E3%82%BF%E3%83%BC%E3%83%9C%E3%82%AA%E3%83%97%E3%83%86%E3%82%A3%E3%83%9E%20%E3%83%9F%E3%83%83%E3%83%89%E3%82%B9%E3%83%9A%E3%82%B7%E3%83%A3%E3%83%AB/?min=10000</t>
  </si>
  <si>
    <t>https://auctions.yahoo.co.jp/search/search?p=%E4%BA%AC%E5%95%86%20%E3%82%BF%E3%83%BC%E3%83%9C%E3%82%AA%E3%83%97%E3%83%86%E3%82%A3%E3%83%9E%20%E3%83%9F%E3%83%83%E3%83%89%E3%82%B9%E3%83%9A%E3%82%B7%E3%83%A3%E3%83%AB&amp;aucminprice=10000</t>
  </si>
  <si>
    <t>https://shopping.yahoo.co.jp/search/%E4%BA%AC%E5%95%86%20%E3%82%BF%E3%83%BC%E3%83%9C%E3%82%AA%E3%83%97%E3%83%86%E3%82%A3%E3%83%9E%20%E3%83%9F%E3%83%83%E3%83%89%E3%82%B9%E3%83%9A%E3%82%B7%E3%83%A3%E3%83%AB/0/?pf=10000</t>
  </si>
  <si>
    <t>https://paypayfleamarket.yahoo.co.jp/item/z598688868</t>
  </si>
  <si>
    <t>https://auctions.yahoo.co.jp/jp/auction/d319810978</t>
  </si>
  <si>
    <t>https://auctions.yahoo.co.jp/jp/auction/m1233816637</t>
  </si>
  <si>
    <t>JoJo Super Action Statue Gyro Zeppeli Ver.1.5 Crystal Limited WF2026 Medicos</t>
  </si>
  <si>
    <t>Berserk Golden Age Memorial Edition Original Soundtrack Blu-ray Limited</t>
  </si>
  <si>
    <t>Berserk Golden Age Arc Original Soundtrack CD 3 Vol Set Shiro Sagisu OBI</t>
  </si>
  <si>
    <t>Battle Angel Alita Last Order Vol 1 Signed by Yukito Kishiro Manga</t>
  </si>
  <si>
    <t>Neo Blythe Dark Rabbit Hole Takara Tomy Doll Blythe Shop Limited</t>
  </si>
  <si>
    <t>Neo Blythe Bloomy Bloomsbury Takara Tomy Doll</t>
  </si>
  <si>
    <t>Neo Blythe Curly Blue Babe Hasbro Limited Doll Sealed</t>
  </si>
  <si>
    <t>Neo Blythe Denizen of the Lake Christina the Bride 7th Anniversary CWC Limited</t>
  </si>
  <si>
    <t>Tamiya XB Mighty Frog 1/10 RC 2.4GHz Painted Built with LED Lights 57756</t>
  </si>
  <si>
    <t>Kyosho Turbo Optima Mid Special 1/10 EP 4WD RC Buggy Kit 30623 Sealed</t>
  </si>
  <si>
    <t>Beauty Light Therapy</t>
  </si>
  <si>
    <t>7月</t>
  </si>
  <si>
    <t>4月</t>
    <rPh sb="1" eb="2">
      <t>ガツ</t>
    </rPh>
    <phoneticPr fontId="1"/>
  </si>
  <si>
    <t>https://jp.mercari.com/item/m58234121059</t>
  </si>
  <si>
    <t>https://jp.mercari.com/item/m98555115573</t>
  </si>
  <si>
    <t>https://jp.mercari.com/item/m30154990240</t>
  </si>
  <si>
    <t>https://jp.mercari.com/shops/product/2JVVo47CJuJuo5G5SLywHu</t>
  </si>
  <si>
    <t>https://jp.mercari.com/item/m54938648012</t>
  </si>
  <si>
    <t>atmos 100体限定 SNOOPY JOE COOL</t>
  </si>
  <si>
    <t>https://www.ebay.com/sch/i.html?_nkw=atmos%20Snoopy%20Joe%20Cool&amp;_sacat=0&amp;_from=R40&amp;_sop=15&amp;rt=nc&amp;_udlo=20000</t>
  </si>
  <si>
    <t>https://jp.mercari.com/search?keyword=atmos%20%E3%82%B9%E3%83%8C%E3%83%BC%E3%83%94%E3%83%BC%20%E3%82%B8%E3%83%A7%E3%83%BC%E3%82%AF%E3%83%BC%E3%83%AB&amp;price_min=10000&amp;sort=price&amp;order=asc&amp;status=on_sale</t>
  </si>
  <si>
    <t>https://fril.jp/s?query=atmos%20%E3%82%B9%E3%83%8C%E3%83%BC%E3%83%94%E3%83%BC%20%E3%82%B8%E3%83%A7%E3%83%BC%E3%82%AF%E3%83%BC%E3%83%AB&amp;min=10000&amp;transaction=selling</t>
  </si>
  <si>
    <t>https://search.rakuten.co.jp/search/mall/atmos%20%E3%82%B9%E3%83%8C%E3%83%BC%E3%83%94%E3%83%BC%20%E3%82%B8%E3%83%A7%E3%83%BC%E3%82%AF%E3%83%BC%E3%83%AB/?min=10000</t>
  </si>
  <si>
    <t>https://auctions.yahoo.co.jp/search/search?p=atmos%20%E3%82%B9%E3%83%8C%E3%83%BC%E3%83%94%E3%83%BC%20%E3%82%B8%E3%83%A7%E3%83%BC%E3%82%AF%E3%83%BC%E3%83%AB&amp;aucminprice=10000</t>
  </si>
  <si>
    <t>https://shopping.yahoo.co.jp/search/atmos%20%E3%82%B9%E3%83%8C%E3%83%BC%E3%83%94%E3%83%BC%20%E3%82%B8%E3%83%A7%E3%83%BC%E3%82%AF%E3%83%BC%E3%83%AB/0/?pf=10000</t>
  </si>
  <si>
    <t>【第2弾 part2】PN017 Peanuts Super スヌーピー</t>
  </si>
  <si>
    <t>https://www.ebay.com/sch/i.html?_nkw=Super7%20Peanuts%20Snoopy%20PN017&amp;_sacat=0&amp;_from=R40&amp;_sop=15&amp;rt=nc&amp;_udlo=20000</t>
  </si>
  <si>
    <t>https://jp.mercari.com/search?keyword=Super7%20%E3%83%94%E3%83%BC%E3%83%8A%E3%83%83%E3%83%84%20%E3%82%B9%E3%83%8C%E3%83%BC%E3%83%94%E3%83%BC%20PN017&amp;price_min=10000&amp;sort=price&amp;order=asc&amp;status=on_sale</t>
  </si>
  <si>
    <t>https://fril.jp/s?query=Super7%20%E3%83%94%E3%83%BC%E3%83%8A%E3%83%83%E3%83%84%20%E3%82%B9%E3%83%8C%E3%83%BC%E3%83%94%E3%83%BC%20PN017&amp;min=10000&amp;transaction=selling</t>
  </si>
  <si>
    <t>https://search.rakuten.co.jp/search/mall/Super7%20%E3%83%94%E3%83%BC%E3%83%8A%E3%83%83%E3%83%84%20%E3%82%B9%E3%83%8C%E3%83%BC%E3%83%94%E3%83%BC%20PN017/?min=10000</t>
  </si>
  <si>
    <t>https://auctions.yahoo.co.jp/search/search?p=Super7%20%E3%83%94%E3%83%BC%E3%83%8A%E3%83%83%E3%83%84%20%E3%82%B9%E3%83%8C%E3%83%BC%E3%83%94%E3%83%BC%20PN017&amp;aucminprice=10000</t>
  </si>
  <si>
    <t>https://shopping.yahoo.co.jp/search/Super7%20%E3%83%94%E3%83%BC%E3%83%8A%E3%83%83%E3%83%84%20%E3%82%B9%E3%83%8C%E3%83%BC%E3%83%94%E3%83%BC%20PN017/0/?pf=10000</t>
  </si>
  <si>
    <t>【希少】サクラローレルぬいぐるみ競馬ウマ娘アイドルホースAVANTIオールカマー</t>
  </si>
  <si>
    <t>https://www.ebay.com/sch/i.html?_nkw=Sakura%20Laurel%20AVANTI%20plush&amp;_sacat=0&amp;_from=R40&amp;_sop=15&amp;rt=nc&amp;_udlo=20000</t>
  </si>
  <si>
    <t>https://jp.mercari.com/search?keyword=%E3%82%B5%E3%82%AF%E3%83%A9%E3%83%AD%E3%83%BC%E3%83%AC%E3%83%AB%20%E3%82%A2%E3%82%A4%E3%83%89%E3%83%AB%E3%83%9B%E3%83%BC%E3%82%B9%20%E3%81%AC%E3%81%84%E3%81%90%E3%82%8B%E3%81%BF%20AVANTI&amp;price_min=10000&amp;sort=price&amp;order=asc&amp;status=on_sale</t>
  </si>
  <si>
    <t>https://fril.jp/s?query=%E3%82%B5%E3%82%AF%E3%83%A9%E3%83%AD%E3%83%BC%E3%83%AC%E3%83%AB%20%E3%82%A2%E3%82%A4%E3%83%89%E3%83%AB%E3%83%9B%E3%83%BC%E3%82%B9%20%E3%81%AC%E3%81%84%E3%81%90%E3%82%8B%E3%81%BF%20AVANTI&amp;min=10000&amp;transaction=selling</t>
  </si>
  <si>
    <t>https://search.rakuten.co.jp/search/mall/%E3%82%B5%E3%82%AF%E3%83%A9%E3%83%AD%E3%83%BC%E3%83%AC%E3%83%AB%20%E3%82%A2%E3%82%A4%E3%83%89%E3%83%AB%E3%83%9B%E3%83%BC%E3%82%B9%20%E3%81%AC%E3%81%84%E3%81%90%E3%82%8B%E3%81%BF%20AVANTI/?min=10000</t>
  </si>
  <si>
    <t>https://auctions.yahoo.co.jp/search/search?p=%E3%82%B5%E3%82%AF%E3%83%A9%E3%83%AD%E3%83%BC%E3%83%AC%E3%83%AB%20%E3%82%A2%E3%82%A4%E3%83%89%E3%83%AB%E3%83%9B%E3%83%BC%E3%82%B9%20%E3%81%AC%E3%81%84%E3%81%90%E3%82%8B%E3%81%BF%20AVANTI&amp;aucminprice=10000</t>
  </si>
  <si>
    <t>https://shopping.yahoo.co.jp/search/%E3%82%B5%E3%82%AF%E3%83%A9%E3%83%AD%E3%83%BC%E3%83%AC%E3%83%AB%20%E3%82%A2%E3%82%A4%E3%83%89%E3%83%AB%E3%83%9B%E3%83%BC%E3%82%B9%20%E3%81%AC%E3%81%84%E3%81%90%E3%82%8B%E3%81%BF%20AVANTI/0/?pf=10000</t>
  </si>
  <si>
    <t>【限定品】タイキシャトル競馬スプリンターズSぬいぐるみウマ娘AVANTIアイドル</t>
  </si>
  <si>
    <t>https://www.ebay.com/sch/i.html?_nkw=Taiki%20Shuttle%20AVANTI%20plush&amp;_sacat=0&amp;_from=R40&amp;_sop=15&amp;rt=nc&amp;_udlo=20000</t>
  </si>
  <si>
    <t>https://jp.mercari.com/search?keyword=%E3%82%BF%E3%82%A4%E3%82%AD%E3%82%B7%E3%83%A3%E3%83%88%E3%83%AB%20%E3%82%A2%E3%82%A4%E3%83%89%E3%83%AB%E3%83%9B%E3%83%BC%E3%82%B9%20%E3%81%AC%E3%81%84%E3%81%90%E3%82%8B%E3%81%BF%20AVANTI&amp;price_min=10000&amp;sort=price&amp;order=asc&amp;status=on_sale</t>
  </si>
  <si>
    <t>https://fril.jp/s?query=%E3%82%BF%E3%82%A4%E3%82%AD%E3%82%B7%E3%83%A3%E3%83%88%E3%83%AB%20%E3%82%A2%E3%82%A4%E3%83%89%E3%83%AB%E3%83%9B%E3%83%BC%E3%82%B9%20%E3%81%AC%E3%81%84%E3%81%90%E3%82%8B%E3%81%BF%20AVANTI&amp;min=10000&amp;transaction=selling</t>
  </si>
  <si>
    <t>https://search.rakuten.co.jp/search/mall/%E3%82%BF%E3%82%A4%E3%82%AD%E3%82%B7%E3%83%A3%E3%83%88%E3%83%AB%20%E3%82%A2%E3%82%A4%E3%83%89%E3%83%AB%E3%83%9B%E3%83%BC%E3%82%B9%20%E3%81%AC%E3%81%84%E3%81%90%E3%82%8B%E3%81%BF%20AVANTI/?min=10000</t>
  </si>
  <si>
    <t>https://auctions.yahoo.co.jp/search/search?p=%E3%82%BF%E3%82%A4%E3%82%AD%E3%82%B7%E3%83%A3%E3%83%88%E3%83%AB%20%E3%82%A2%E3%82%A4%E3%83%89%E3%83%AB%E3%83%9B%E3%83%BC%E3%82%B9%20%E3%81%AC%E3%81%84%E3%81%90%E3%82%8B%E3%81%BF%20AVANTI&amp;aucminprice=10000</t>
  </si>
  <si>
    <t>https://shopping.yahoo.co.jp/search/%E3%82%BF%E3%82%A4%E3%82%AD%E3%82%B7%E3%83%A3%E3%83%88%E3%83%AB%20%E3%82%A2%E3%82%A4%E3%83%89%E3%83%AB%E3%83%9B%E3%83%BC%E3%82%B9%20%E3%81%AC%E3%81%84%E3%81%90%E3%82%8B%E3%81%BF%20AVANTI/0/?pf=10000</t>
  </si>
  <si>
    <t>SUNTORY オリジナルTシャツ　当選品 BOSS×ウマ娘 アストンマーチャン</t>
  </si>
  <si>
    <t>Suntory Boss x Uma Musume Aston Machan Original T-Shirt Prize</t>
  </si>
  <si>
    <t>https://www.ebay.com/sch/i.html?_nkw=Boss%20Uma%20Musume%20Aston%20Machan%20tshirt&amp;_sacat=0&amp;_from=R40&amp;_sop=15&amp;rt=nc&amp;_udlo=20000</t>
  </si>
  <si>
    <t>https://jp.mercari.com/search?keyword=BOSS%20%E3%82%A6%E3%83%9E%E5%A8%98%20%E3%82%A2%E3%82%B9%E3%83%88%E3%83%B3%E3%83%9E%E3%83%BC%E3%83%81%E3%83%A3%E3%83%B3%20T%E3%82%B7%E3%83%A3%E3%83%84&amp;price_min=10000&amp;sort=price&amp;order=asc&amp;status=on_sale</t>
  </si>
  <si>
    <t>https://fril.jp/s?query=BOSS%20%E3%82%A6%E3%83%9E%E5%A8%98%20%E3%82%A2%E3%82%B9%E3%83%88%E3%83%B3%E3%83%9E%E3%83%BC%E3%83%81%E3%83%A3%E3%83%B3%20T%E3%82%B7%E3%83%A3%E3%83%84&amp;min=10000&amp;transaction=selling</t>
  </si>
  <si>
    <t>https://search.rakuten.co.jp/search/mall/BOSS%20%E3%82%A6%E3%83%9E%E5%A8%98%20%E3%82%A2%E3%82%B9%E3%83%88%E3%83%B3%E3%83%9E%E3%83%BC%E3%83%81%E3%83%A3%E3%83%B3%20T%E3%82%B7%E3%83%A3%E3%83%84/?min=10000</t>
  </si>
  <si>
    <t>https://auctions.yahoo.co.jp/search/search?p=BOSS%20%E3%82%A6%E3%83%9E%E5%A8%98%20%E3%82%A2%E3%82%B9%E3%83%88%E3%83%B3%E3%83%9E%E3%83%BC%E3%83%81%E3%83%A3%E3%83%B3%20T%E3%82%B7%E3%83%A3%E3%83%84&amp;aucminprice=10000</t>
  </si>
  <si>
    <t>https://shopping.yahoo.co.jp/search/BOSS%20%E3%82%A6%E3%83%9E%E5%A8%98%20%E3%82%A2%E3%82%B9%E3%83%88%E3%83%B3%E3%83%9E%E3%83%BC%E3%83%81%E3%83%A3%E3%83%B3%20T%E3%82%B7%E3%83%A3%E3%83%84/0/?pf=10000</t>
  </si>
  <si>
    <t>BABYMETAL LEGEND I,D,Z 完全限定生産盤　マントストール付</t>
  </si>
  <si>
    <t>https://www.ebay.com/sch/i.html?_nkw=BABYMETAL%20Legend%20IDZ&amp;_sacat=0&amp;_from=R40&amp;_sop=15&amp;rt=nc&amp;_udlo=20000</t>
  </si>
  <si>
    <t>https://jp.mercari.com/search?keyword=BABYMETAL%20LEGEND%20I%2CD%2CZ%20%E3%83%9E%E3%83%B3%E3%83%88%E3%82%B9%E3%83%88%E3%83%BC%E3%83%AB&amp;price_min=10000&amp;sort=price&amp;order=asc&amp;status=on_sale</t>
  </si>
  <si>
    <t>https://fril.jp/s?query=BABYMETAL%20LEGEND%20I%2CD%2CZ%20%E3%83%9E%E3%83%B3%E3%83%88%E3%82%B9%E3%83%88%E3%83%BC%E3%83%AB&amp;min=10000&amp;transaction=selling</t>
  </si>
  <si>
    <t>https://search.rakuten.co.jp/search/mall/BABYMETAL%20LEGEND%20I%2CD%2CZ%20%E3%83%9E%E3%83%B3%E3%83%88%E3%82%B9%E3%83%88%E3%83%BC%E3%83%AB/?min=10000</t>
  </si>
  <si>
    <t>https://auctions.yahoo.co.jp/search/search?p=BABYMETAL%20LEGEND%20I%2CD%2CZ%20%E3%83%9E%E3%83%B3%E3%83%88%E3%82%B9%E3%83%88%E3%83%BC%E3%83%AB&amp;aucminprice=10000</t>
  </si>
  <si>
    <t>https://shopping.yahoo.co.jp/search/BABYMETAL%20LEGEND%20I%2CD%2CZ%20%E3%83%9E%E3%83%B3%E3%83%88%E3%82%B9%E3%83%88%E3%83%BC%E3%83%AB/0/?pf=10000</t>
  </si>
  <si>
    <t>hololive EXPO 2024 白上フブキ シリアルナンバーカード</t>
  </si>
  <si>
    <t>https://www.ebay.com/sch/i.html?_nkw=hololive%20Fubuki%20serial%20card&amp;_sacat=0&amp;_from=R40&amp;_sop=15&amp;rt=nc&amp;_udlo=20000</t>
  </si>
  <si>
    <t>https://jp.mercari.com/search?keyword=%E3%83%9B%E3%83%AD%E3%83%A9%E3%82%A4%E3%83%96%20%E7%99%BD%E4%B8%8A%E3%83%95%E3%83%96%E3%82%AD%20%E3%82%B7%E3%83%AA%E3%82%A2%E3%83%AB%E3%82%AB%E3%83%BC%E3%83%89&amp;price_min=10000&amp;sort=price&amp;order=asc&amp;status=on_sale</t>
  </si>
  <si>
    <t>https://fril.jp/s?query=%E3%83%9B%E3%83%AD%E3%83%A9%E3%82%A4%E3%83%96%20%E7%99%BD%E4%B8%8A%E3%83%95%E3%83%96%E3%82%AD%20%E3%82%B7%E3%83%AA%E3%82%A2%E3%83%AB%E3%82%AB%E3%83%BC%E3%83%89&amp;min=10000&amp;transaction=selling</t>
  </si>
  <si>
    <t>https://search.rakuten.co.jp/search/mall/%E3%83%9B%E3%83%AD%E3%83%A9%E3%82%A4%E3%83%96%20%E7%99%BD%E4%B8%8A%E3%83%95%E3%83%96%E3%82%AD%20%E3%82%B7%E3%83%AA%E3%82%A2%E3%83%AB%E3%82%AB%E3%83%BC%E3%83%89/?min=10000</t>
  </si>
  <si>
    <t>https://auctions.yahoo.co.jp/search/search?p=%E3%83%9B%E3%83%AD%E3%83%A9%E3%82%A4%E3%83%96%20%E7%99%BD%E4%B8%8A%E3%83%95%E3%83%96%E3%82%AD%20%E3%82%B7%E3%83%AA%E3%82%A2%E3%83%AB%E3%82%AB%E3%83%BC%E3%83%89&amp;aucminprice=10000</t>
  </si>
  <si>
    <t>https://shopping.yahoo.co.jp/search/%E3%83%9B%E3%83%AD%E3%83%A9%E3%82%A4%E3%83%96%20%E7%99%BD%E4%B8%8A%E3%83%95%E3%83%96%E3%82%AD%20%E3%82%B7%E3%83%AA%E3%82%A2%E3%83%AB%E3%82%AB%E3%83%BC%E3%83%89/0/?pf=10000</t>
  </si>
  <si>
    <t>https://paypayfleamarket.yahoo.co.jp/item/z629442628</t>
  </si>
  <si>
    <t>https://auctions.yahoo.co.jp/jp/auction/v1145850782</t>
  </si>
  <si>
    <t>atmos x Super7 Peanuts Snoopy Joe Cool 12inch Supersize Figure Limited 100</t>
  </si>
  <si>
    <t>Super7 Peanuts Snoopy Joe Cool 12inch Supersize Vinyl Figure</t>
  </si>
  <si>
    <t>Uma Musume Sakura Laurel AVANTI Idol Horse Plush All Comers Ver 5S</t>
  </si>
  <si>
    <t>Uma Musume Taiki Shuttle AVANTI Idol Horse Plush Sprinters Stakes Ver S</t>
  </si>
  <si>
    <t>BABYMETAL Live Legend I,D,Z Apocalypse 3DVD + Cape Stole Limited Edition</t>
  </si>
  <si>
    <t>hololive SUPER EXPO 2024 Shirakami Fubuki Serial Number Card Limited 150</t>
  </si>
  <si>
    <t>https://jp.mercari.com/item/m33290656722</t>
  </si>
  <si>
    <t>https://jp.mercari.com/item/m71688582244</t>
  </si>
  <si>
    <t>https://jp.mercari.com/item/m17536246144</t>
  </si>
  <si>
    <t>https://jp.mercari.com/item/m58043427078</t>
  </si>
  <si>
    <t>https://jp.mercari.com/item/m14960182429</t>
  </si>
  <si>
    <t>Ghost in the Shell Stand Alone Complex Blu-ray Box Special Edition</t>
  </si>
  <si>
    <t>https://www.ebay.com/sch/i.html?_nkw=Ghost%20in%20the%20Shell%20SAC%20Blu-ray%20box&amp;_sacat=0&amp;_from=R40&amp;_sop=15&amp;rt=nc&amp;_udlo=20000</t>
  </si>
  <si>
    <t>https://jp.mercari.com/search?keyword=%E6%94%BB%E6%AE%BB%E6%A9%9F%E5%8B%95%E9%9A%8A%20SAC%20Blu-ray%20BOX%20SPECIAL&amp;price_min=10000&amp;sort=price&amp;order=asc&amp;status=on_sale</t>
  </si>
  <si>
    <t>https://fril.jp/s?query=%E6%94%BB%E6%AE%BB%E6%A9%9F%E5%8B%95%E9%9A%8A%20SAC%20Blu-ray%20BOX%20SPECIAL&amp;min=10000&amp;transaction=selling</t>
  </si>
  <si>
    <t>https://search.rakuten.co.jp/search/mall/%E6%94%BB%E6%AE%BB%E6%A9%9F%E5%8B%95%E9%9A%8A%20SAC%20Blu-ray%20BOX%20SPECIAL/?min=10000</t>
  </si>
  <si>
    <t>https://auctions.yahoo.co.jp/search/search?p=%E6%94%BB%E6%AE%BB%E6%A9%9F%E5%8B%95%E9%9A%8A%20SAC%20Blu-ray%20BOX%20SPECIAL&amp;aucminprice=10000</t>
  </si>
  <si>
    <t>https://shopping.yahoo.co.jp/search/%E6%94%BB%E6%AE%BB%E6%A9%9F%E5%8B%95%E9%9A%8A%20SAC%20Blu-ray%20BOX%20SPECIAL/0/?pf=10000</t>
  </si>
  <si>
    <t>【中古】「未使用品」攻殻機動隊 STAND ALONE COMPLEX Blu-ray Disc BOX:SPECIAL EDITION</t>
  </si>
  <si>
    <t>攻殻機動隊 SAC_2045 イリヤ・クブシノブ氏複製サイン入り複製原画</t>
  </si>
  <si>
    <t>Ghost in the Shell SAC_2045 Ilya Kuvshinov Signed Reproduction Art</t>
  </si>
  <si>
    <t>https://www.ebay.com/sch/i.html?_nkw=Ghost%20in%20the%20Shell%20SAC%202045%20signed%20art&amp;_sacat=0&amp;_from=R40&amp;_sop=15&amp;rt=nc&amp;_udlo=20000</t>
  </si>
  <si>
    <t>https://jp.mercari.com/search?keyword=%E6%94%BB%E6%AE%BB%E6%A9%9F%E5%8B%95%E9%9A%8A%20SAC_2045%20%E8%A4%87%E8%A3%BD%E3%82%B5%E3%82%A4%E3%83%B3%20%E5%8E%9F%E7%94%BB&amp;price_min=10000&amp;sort=price&amp;order=asc&amp;status=on_sale</t>
  </si>
  <si>
    <t>https://fril.jp/s?query=%E6%94%BB%E6%AE%BB%E6%A9%9F%E5%8B%95%E9%9A%8A%20SAC_2045%20%E8%A4%87%E8%A3%BD%E3%82%B5%E3%82%A4%E3%83%B3%20%E5%8E%9F%E7%94%BB&amp;min=10000&amp;transaction=selling</t>
  </si>
  <si>
    <t>https://search.rakuten.co.jp/search/mall/%E6%94%BB%E6%AE%BB%E6%A9%9F%E5%8B%95%E9%9A%8A%20SAC_2045%20%E8%A4%87%E8%A3%BD%E3%82%B5%E3%82%A4%E3%83%B3%20%E5%8E%9F%E7%94%BB/?min=10000</t>
  </si>
  <si>
    <t>https://auctions.yahoo.co.jp/search/search?p=%E6%94%BB%E6%AE%BB%E6%A9%9F%E5%8B%95%E9%9A%8A%20SAC_2045%20%E8%A4%87%E8%A3%BD%E3%82%B5%E3%82%A4%E3%83%B3%20%E5%8E%9F%E7%94%BB&amp;aucminprice=10000</t>
  </si>
  <si>
    <t>https://shopping.yahoo.co.jp/search/%E6%94%BB%E6%AE%BB%E6%A9%9F%E5%8B%95%E9%9A%8A%20SAC_2045%20%E8%A4%87%E8%A3%BD%E3%82%B5%E3%82%A4%E3%83%B3%20%E5%8E%9F%E7%94%BB/0/?pf=10000</t>
  </si>
  <si>
    <t>未開封 リュウジンオオムカデ フィギュア いきもの大図鑑アルティメット</t>
  </si>
  <si>
    <t>Bandai Ikimono Daizukan Ultimate Ryujin Centipede Figure</t>
  </si>
  <si>
    <t>https://www.ebay.com/sch/i.html?_nkw=Ikimono%20Daizukan%20Ultimate%20Centipede&amp;_sacat=0&amp;_from=R40&amp;_sop=15&amp;rt=nc&amp;_udlo=20000</t>
  </si>
  <si>
    <t>https://jp.mercari.com/search?keyword=%E3%81%84%E3%81%8D%E3%82%82%E3%81%AE%E5%A4%A7%E5%9B%B3%E9%91%91%20%E3%82%A2%E3%83%AB%E3%83%86%E3%82%A3%E3%83%A1%E3%83%83%E3%83%88%20%E3%83%AA%E3%83%A5%E3%82%A6%E3%82%B8%E3%83%B3%E3%82%AA%E3%82%AA%E3%83%A0%E3%82%AB%E3%83%87&amp;price_min=10000&amp;sort=price&amp;order=asc&amp;status=on_sale</t>
  </si>
  <si>
    <t>https://fril.jp/s?query=%E3%81%84%E3%81%8D%E3%82%82%E3%81%AE%E5%A4%A7%E5%9B%B3%E9%91%91%20%E3%82%A2%E3%83%AB%E3%83%86%E3%82%A3%E3%83%A1%E3%83%83%E3%83%88%20%E3%83%AA%E3%83%A5%E3%82%A6%E3%82%B8%E3%83%B3%E3%82%AA%E3%82%AA%E3%83%A0%E3%82%AB%E3%83%87&amp;min=10000&amp;transaction=selling</t>
  </si>
  <si>
    <t>https://search.rakuten.co.jp/search/mall/%E3%81%84%E3%81%8D%E3%82%82%E3%81%AE%E5%A4%A7%E5%9B%B3%E9%91%91%20%E3%82%A2%E3%83%AB%E3%83%86%E3%82%A3%E3%83%A1%E3%83%83%E3%83%88%20%E3%83%AA%E3%83%A5%E3%82%A6%E3%82%B8%E3%83%B3%E3%82%AA%E3%82%AA%E3%83%A0%E3%82%AB%E3%83%87/?min=10000</t>
  </si>
  <si>
    <t>https://auctions.yahoo.co.jp/search/search?p=%E3%81%84%E3%81%8D%E3%82%82%E3%81%AE%E5%A4%A7%E5%9B%B3%E9%91%91%20%E3%82%A2%E3%83%AB%E3%83%86%E3%82%A3%E3%83%A1%E3%83%83%E3%83%88%20%E3%83%AA%E3%83%A5%E3%82%A6%E3%82%B8%E3%83%B3%E3%82%AA%E3%82%AA%E3%83%A0%E3%82%AB%E3%83%87&amp;aucminprice=10000</t>
  </si>
  <si>
    <t>https://shopping.yahoo.co.jp/search/%E3%81%84%E3%81%8D%E3%82%82%E3%81%AE%E5%A4%A7%E5%9B%B3%E9%91%91%20%E3%82%A2%E3%83%AB%E3%83%86%E3%82%A3%E3%83%A1%E3%83%83%E3%83%88%20%E3%83%AA%E3%83%A5%E3%82%A6%E3%82%B8%E3%83%B3%E3%82%AA%E3%82%AA%E3%83%A0%E3%82%AB%E3%83%87/0/?pf=10000</t>
  </si>
  <si>
    <t>https://www.ebay.com/sch/i.html?_nkw=Ikimono%20Daizukan%20Advance%20mantis&amp;_sacat=0&amp;_from=R40&amp;_sop=15&amp;rt=nc&amp;_udlo=20000</t>
  </si>
  <si>
    <t>いきもの大図鑑アドバンス　オオカマキリとショウリョウバッタ　オンライン版 全4種</t>
  </si>
  <si>
    <t>Bandai Ikimono Daizukan Advance Mantis &amp; Grasshopper Online 4 Set</t>
  </si>
  <si>
    <t>https://jp.mercari.com/search?keyword=%E3%81%84%E3%81%8D%E3%82%82%E3%81%AE%E5%A4%A7%E5%9B%B3%E9%91%91%E3%82%A2%E3%83%89%E3%83%90%E3%83%B3%E3%82%B9%20%E3%82%AA%E3%82%AA%E3%82%AB%E3%83%9E%E3%82%AD%E3%83%AA&amp;price_min=10000&amp;sort=price&amp;order=asc&amp;status=on_sale</t>
  </si>
  <si>
    <t>https://fril.jp/s?query=%E3%81%84%E3%81%8D%E3%82%82%E3%81%AE%E5%A4%A7%E5%9B%B3%E9%91%91%E3%82%A2%E3%83%89%E3%83%90%E3%83%B3%E3%82%B9%20%E3%82%AA%E3%82%AA%E3%82%AB%E3%83%9E%E3%82%AD%E3%83%AA&amp;min=10000&amp;transaction=selling</t>
  </si>
  <si>
    <t>https://search.rakuten.co.jp/search/mall/%E3%81%84%E3%81%8D%E3%82%82%E3%81%AE%E5%A4%A7%E5%9B%B3%E9%91%91%E3%82%A2%E3%83%89%E3%83%90%E3%83%B3%E3%82%B9%20%E3%82%AA%E3%82%AA%E3%82%AB%E3%83%9E%E3%82%AD%E3%83%AA/?min=10000</t>
  </si>
  <si>
    <t>https://auctions.yahoo.co.jp/search/search?p=%E3%81%84%E3%81%8D%E3%82%82%E3%81%AE%E5%A4%A7%E5%9B%B3%E9%91%91%E3%82%A2%E3%83%89%E3%83%90%E3%83%B3%E3%82%B9%20%E3%82%AA%E3%82%AA%E3%82%AB%E3%83%9E%E3%82%AD%E3%83%AA&amp;aucminprice=10000</t>
  </si>
  <si>
    <t>https://shopping.yahoo.co.jp/search/%E3%81%84%E3%81%8D%E3%82%82%E3%81%AE%E5%A4%A7%E5%9B%B3%E9%91%91%E3%82%A2%E3%83%89%E3%83%90%E3%83%B3%E3%82%B9%20%E3%82%AA%E3%82%AA%E3%82%AB%E3%83%9E%E3%82%AD%E3%83%AA/0/?pf=10000</t>
  </si>
  <si>
    <t>バンダイ いきもの大図鑑 プレミアム パンサー カメレオン フィギュア</t>
  </si>
  <si>
    <t>Bandai Ikimono Daizukan Premium Panther Chameleon Figure</t>
  </si>
  <si>
    <t>https://www.ebay.com/sch/i.html?_nkw=Ikimono%20Daizukan%20Premium%20chameleon&amp;_sacat=0&amp;_from=R40&amp;_sop=15&amp;rt=nc&amp;_udlo=20000</t>
  </si>
  <si>
    <t>https://jp.mercari.com/search?keyword=%E3%81%84%E3%81%8D%E3%82%82%E3%81%AE%E5%A4%A7%E5%9B%B3%E9%91%91%E3%83%97%E3%83%AC%E3%83%9F%E3%82%A2%E3%83%A0%20%E3%83%91%E3%83%B3%E3%82%B5%E3%83%BC%E3%82%AB%E3%83%A1%E3%83%AC%E3%82%AA%E3%83%B3&amp;price_min=10000&amp;sort=price&amp;order=asc&amp;status=on_sale</t>
  </si>
  <si>
    <t>https://fril.jp/s?query=%E3%81%84%E3%81%8D%E3%82%82%E3%81%AE%E5%A4%A7%E5%9B%B3%E9%91%91%E3%83%97%E3%83%AC%E3%83%9F%E3%82%A2%E3%83%A0%20%E3%83%91%E3%83%B3%E3%82%B5%E3%83%BC%E3%82%AB%E3%83%A1%E3%83%AC%E3%82%AA%E3%83%B3&amp;min=10000&amp;transaction=selling</t>
  </si>
  <si>
    <t>https://search.rakuten.co.jp/search/mall/%E3%81%84%E3%81%8D%E3%82%82%E3%81%AE%E5%A4%A7%E5%9B%B3%E9%91%91%E3%83%97%E3%83%AC%E3%83%9F%E3%82%A2%E3%83%A0%20%E3%83%91%E3%83%B3%E3%82%B5%E3%83%BC%E3%82%AB%E3%83%A1%E3%83%AC%E3%82%AA%E3%83%B3/?min=10000</t>
  </si>
  <si>
    <t>https://auctions.yahoo.co.jp/search/search?p=%E3%81%84%E3%81%8D%E3%82%82%E3%81%AE%E5%A4%A7%E5%9B%B3%E9%91%91%E3%83%97%E3%83%AC%E3%83%9F%E3%82%A2%E3%83%A0%20%E3%83%91%E3%83%B3%E3%82%B5%E3%83%BC%E3%82%AB%E3%83%A1%E3%83%AC%E3%82%AA%E3%83%B3&amp;aucminprice=10000</t>
  </si>
  <si>
    <t>https://shopping.yahoo.co.jp/search/%E3%81%84%E3%81%8D%E3%82%82%E3%81%AE%E5%A4%A7%E5%9B%B3%E9%91%91%E3%83%97%E3%83%AC%E3%83%9F%E3%82%A2%E3%83%A0%20%E3%83%91%E3%83%B3%E3%82%B5%E3%83%BC%E3%82%AB%E3%83%A1%E3%83%AC%E3%82%AA%E3%83%B3/0/?pf=10000</t>
  </si>
  <si>
    <t>スーパー激レア‼️バンダイ 初代たまごっち銀色✨1996年お正月限定✨</t>
  </si>
  <si>
    <t>Bandai Original Tamagotchi Silver 1996 New Year Limited Rare</t>
  </si>
  <si>
    <t>https://www.ebay.com/sch/i.html?_nkw=Tamagotchi%20silver%201996%20limited&amp;_sacat=0&amp;_from=R40&amp;_sop=15&amp;rt=nc&amp;_udlo=20000</t>
  </si>
  <si>
    <t>https://jp.mercari.com/search?keyword=%E5%88%9D%E4%BB%A3%E3%81%9F%E3%81%BE%E3%81%94%E3%81%A3%E3%81%A1%20%E9%8A%80%201996%20%E3%81%8A%E6%AD%A3%E6%9C%88%E9%99%90%E5%AE%9A&amp;price_min=10000&amp;sort=price&amp;order=asc&amp;status=on_sale</t>
  </si>
  <si>
    <t>https://fril.jp/s?query=%E5%88%9D%E4%BB%A3%E3%81%9F%E3%81%BE%E3%81%94%E3%81%A3%E3%81%A1%20%E9%8A%80%201996%20%E3%81%8A%E6%AD%A3%E6%9C%88%E9%99%90%E5%AE%9A&amp;min=10000&amp;transaction=selling</t>
  </si>
  <si>
    <t>https://search.rakuten.co.jp/search/mall/%E5%88%9D%E4%BB%A3%E3%81%9F%E3%81%BE%E3%81%94%E3%81%A3%E3%81%A1%20%E9%8A%80%201996%20%E3%81%8A%E6%AD%A3%E6%9C%88%E9%99%90%E5%AE%9A/?min=10000</t>
  </si>
  <si>
    <t>https://auctions.yahoo.co.jp/search/search?p=%E5%88%9D%E4%BB%A3%E3%81%9F%E3%81%BE%E3%81%94%E3%81%A3%E3%81%A1%20%E9%8A%80%201996%20%E3%81%8A%E6%AD%A3%E6%9C%88%E9%99%90%E5%AE%9A&amp;aucminprice=10000</t>
  </si>
  <si>
    <t>https://shopping.yahoo.co.jp/search/%E5%88%9D%E4%BB%A3%E3%81%9F%E3%81%BE%E3%81%94%E3%81%A3%E3%81%A1%20%E9%8A%80%201996%20%E3%81%8A%E6%AD%A3%E6%9C%88%E9%99%90%E5%AE%9A/0/?pf=10000</t>
  </si>
  <si>
    <t>スーパー激レア‼️バンダイ 初代たまごっち金色✨1996年お正月限定✨</t>
  </si>
  <si>
    <t>Bandai Original Tamagotchi Gold 1996 New Year Limited Rare</t>
  </si>
  <si>
    <t>https://www.ebay.com/sch/i.html?_nkw=Tamagotchi%20gold%201996%20limited&amp;_sacat=0&amp;_from=R40&amp;_sop=15&amp;rt=nc&amp;_udlo=20000</t>
  </si>
  <si>
    <t>https://jp.mercari.com/search?keyword=%E5%88%9D%E4%BB%A3%E3%81%9F%E3%81%BE%E3%81%94%E3%81%A3%E3%81%A1%20%E9%87%91%201996%20%E3%81%8A%E6%AD%A3%E6%9C%88%E9%99%90%E5%AE%9A&amp;price_min=10000&amp;sort=price&amp;order=asc&amp;status=on_sale</t>
  </si>
  <si>
    <t>https://fril.jp/s?query=%E5%88%9D%E4%BB%A3%E3%81%9F%E3%81%BE%E3%81%94%E3%81%A3%E3%81%A1%20%E9%87%91%201996%20%E3%81%8A%E6%AD%A3%E6%9C%88%E9%99%90%E5%AE%9A&amp;min=10000&amp;transaction=selling</t>
  </si>
  <si>
    <t>https://search.rakuten.co.jp/search/mall/%E5%88%9D%E4%BB%A3%E3%81%9F%E3%81%BE%E3%81%94%E3%81%A3%E3%81%A1%20%E9%87%91%201996%20%E3%81%8A%E6%AD%A3%E6%9C%88%E9%99%90%E5%AE%9A/?min=10000</t>
  </si>
  <si>
    <t>https://auctions.yahoo.co.jp/search/search?p=%E5%88%9D%E4%BB%A3%E3%81%9F%E3%81%BE%E3%81%94%E3%81%A3%E3%81%A1%20%E9%87%91%201996%20%E3%81%8A%E6%AD%A3%E6%9C%88%E9%99%90%E5%AE%9A&amp;aucminprice=10000</t>
  </si>
  <si>
    <t>https://shopping.yahoo.co.jp/search/%E5%88%9D%E4%BB%A3%E3%81%9F%E3%81%BE%E3%81%94%E3%81%A3%E3%81%A1%20%E9%87%91%201996%20%E3%81%8A%E6%AD%A3%E6%9C%88%E9%99%90%E5%AE%9A/0/?pf=10000</t>
  </si>
  <si>
    <t>【レコード未使用】ビートルズ　7inch BOXSET 2001</t>
  </si>
  <si>
    <t>The Beatles 7 inch Vinyl Box Set 2001</t>
  </si>
  <si>
    <t>https://www.ebay.com/sch/i.html?_nkw=Beatles%207%20inch%20box%20set%202001&amp;_sacat=0&amp;_from=R40&amp;_sop=15&amp;rt=nc&amp;_udlo=20000</t>
  </si>
  <si>
    <t>https://jp.mercari.com/search?keyword=%E3%83%93%E3%83%BC%E3%83%88%E3%83%AB%E3%82%BA%207inch%20BOX%20SET%202001&amp;price_min=10000&amp;sort=price&amp;order=asc&amp;status=on_sale</t>
  </si>
  <si>
    <t>https://fril.jp/s?query=%E3%83%93%E3%83%BC%E3%83%88%E3%83%AB%E3%82%BA%207inch%20BOX%20SET%202001&amp;min=10000&amp;transaction=selling</t>
  </si>
  <si>
    <t>https://search.rakuten.co.jp/search/mall/%E3%83%93%E3%83%BC%E3%83%88%E3%83%AB%E3%82%BA%207inch%20BOX%20SET%202001/?min=10000</t>
  </si>
  <si>
    <t>https://auctions.yahoo.co.jp/search/search?p=%E3%83%93%E3%83%BC%E3%83%88%E3%83%AB%E3%82%BA%207inch%20BOX%20SET%202001&amp;aucminprice=10000</t>
  </si>
  <si>
    <t>https://shopping.yahoo.co.jp/search/%E3%83%93%E3%83%BC%E3%83%88%E3%83%AB%E3%82%BA%207inch%20BOX%20SET%202001/0/?pf=10000</t>
  </si>
  <si>
    <t>https://www.ebay.com/sch/i.html?_nkw=Beatles%20Anthology%20VHS&amp;_sacat=0&amp;_from=R40&amp;_sop=15&amp;rt=nc&amp;_udlo=20000</t>
  </si>
  <si>
    <t>https://jp.mercari.com/search?keyword=%E3%83%93%E3%83%BC%E3%83%88%E3%83%AB%E3%82%BA%20%E3%82%A2%E3%83%B3%E3%82%BD%E3%83%AD%E3%82%B8%E3%83%BC%20VHS&amp;price_min=10000&amp;sort=price&amp;order=asc&amp;status=on_sale</t>
  </si>
  <si>
    <t>https://fril.jp/s?query=%E3%83%93%E3%83%BC%E3%83%88%E3%83%AB%E3%82%BA%20%E3%82%A2%E3%83%B3%E3%82%BD%E3%83%AD%E3%82%B8%E3%83%BC%20VHS&amp;min=10000&amp;transaction=selling</t>
  </si>
  <si>
    <t>https://search.rakuten.co.jp/search/mall/%E3%83%93%E3%83%BC%E3%83%88%E3%83%AB%E3%82%BA%20%E3%82%A2%E3%83%B3%E3%82%BD%E3%83%AD%E3%82%B8%E3%83%BC%20VHS/?min=10000</t>
  </si>
  <si>
    <t>https://auctions.yahoo.co.jp/search/search?p=%E3%83%93%E3%83%BC%E3%83%88%E3%83%AB%E3%82%BA%20%E3%82%A2%E3%83%B3%E3%82%BD%E3%83%AD%E3%82%B8%E3%83%BC%20VHS&amp;aucminprice=10000</t>
  </si>
  <si>
    <t>https://shopping.yahoo.co.jp/search/%E3%83%93%E3%83%BC%E3%83%88%E3%83%AB%E3%82%BA%20%E3%82%A2%E3%83%B3%E3%82%BD%E3%83%AD%E3%82%B8%E3%83%BC%20VHS/0/?pf=10000</t>
  </si>
  <si>
    <t>The Beatles Anthology Box VHS Set</t>
  </si>
  <si>
    <t>【中古-非常に良い】The Beatles ?? Anthology Box (8 VHS)</t>
  </si>
  <si>
    <t>未組立　元祖SDガンダム　108 スターガンダムGP01</t>
  </si>
  <si>
    <t>Bandai Ganso SD Gundam 108 Star Gundam GP01 Unassembled</t>
  </si>
  <si>
    <t>https://www.ebay.com/sch/i.html?_nkw=SD%20Gundam%20Star%20Gundam%20GP01&amp;_sacat=0&amp;_from=R40&amp;_sop=15&amp;rt=nc&amp;_udlo=20000</t>
  </si>
  <si>
    <t>https://jp.mercari.com/search?keyword=%E5%85%83%E7%A5%96SD%E3%82%AC%E3%83%B3%E3%83%80%E3%83%A0%20%E3%82%B9%E3%82%BF%E3%83%BC%E3%82%AC%E3%83%B3%E3%83%80%E3%83%A0%20GP01&amp;price_min=10000&amp;sort=price&amp;order=asc&amp;status=on_sale</t>
  </si>
  <si>
    <t>https://fril.jp/s?query=%E5%85%83%E7%A5%96SD%E3%82%AC%E3%83%B3%E3%83%80%E3%83%A0%20%E3%82%B9%E3%82%BF%E3%83%BC%E3%82%AC%E3%83%B3%E3%83%80%E3%83%A0%20GP01&amp;min=10000&amp;transaction=selling</t>
  </si>
  <si>
    <t>https://search.rakuten.co.jp/search/mall/%E5%85%83%E7%A5%96SD%E3%82%AC%E3%83%B3%E3%83%80%E3%83%A0%20%E3%82%B9%E3%82%BF%E3%83%BC%E3%82%AC%E3%83%B3%E3%83%80%E3%83%A0%20GP01/?min=10000</t>
  </si>
  <si>
    <t>https://auctions.yahoo.co.jp/search/search?p=%E5%85%83%E7%A5%96SD%E3%82%AC%E3%83%B3%E3%83%80%E3%83%A0%20%E3%82%B9%E3%82%BF%E3%83%BC%E3%82%AC%E3%83%B3%E3%83%80%E3%83%A0%20GP01&amp;aucminprice=10000</t>
  </si>
  <si>
    <t>https://shopping.yahoo.co.jp/search/%E5%85%83%E7%A5%96SD%E3%82%AC%E3%83%B3%E3%83%80%E3%83%A0%20%E3%82%B9%E3%82%BF%E3%83%BC%E3%82%AC%E3%83%B3%E3%83%80%E3%83%A0%20GP01/0/?pf=10000</t>
  </si>
  <si>
    <t>デフォリアル　モスラ 幼虫 (1961) フィギュア　ゴジラ</t>
  </si>
  <si>
    <t>X-Plus DefoReal Mothra Larva 1961 Figure</t>
  </si>
  <si>
    <t>https://www.ebay.com/sch/i.html?_nkw=DefoReal%20Mothra%20Larva%201961&amp;_sacat=0&amp;_from=R40&amp;_sop=15&amp;rt=nc&amp;_udlo=20000</t>
  </si>
  <si>
    <t>https://jp.mercari.com/search?keyword=%E3%83%87%E3%83%95%E3%82%A9%E3%83%AA%E3%82%A2%E3%83%AB%20%E3%83%A2%E3%82%B9%E3%83%A9%20%E5%B9%BC%E8%99%AB%201961&amp;price_min=10000&amp;sort=price&amp;order=asc&amp;status=on_sale</t>
  </si>
  <si>
    <t>https://fril.jp/s?query=%E3%83%87%E3%83%95%E3%82%A9%E3%83%AA%E3%82%A2%E3%83%AB%20%E3%83%A2%E3%82%B9%E3%83%A9%20%E5%B9%BC%E8%99%AB%201961&amp;min=10000&amp;transaction=selling</t>
  </si>
  <si>
    <t>https://search.rakuten.co.jp/search/mall/%E3%83%87%E3%83%95%E3%82%A9%E3%83%AA%E3%82%A2%E3%83%AB%20%E3%83%A2%E3%82%B9%E3%83%A9%20%E5%B9%BC%E8%99%AB%201961/?min=10000</t>
  </si>
  <si>
    <t>https://auctions.yahoo.co.jp/search/search?p=%E3%83%87%E3%83%95%E3%82%A9%E3%83%AA%E3%82%A2%E3%83%AB%20%E3%83%A2%E3%82%B9%E3%83%A9%20%E5%B9%BC%E8%99%AB%201961&amp;aucminprice=10000</t>
  </si>
  <si>
    <t>https://shopping.yahoo.co.jp/search/%E3%83%87%E3%83%95%E3%82%A9%E3%83%AA%E3%82%A2%E3%83%AB%20%E3%83%A2%E3%82%B9%E3%83%A9%20%E5%B9%BC%E8%99%AB%201961/0/?pf=10000</t>
  </si>
  <si>
    <t>出品テンプレート一覧</t>
    <rPh sb="0" eb="2">
      <t>シュッピン</t>
    </rPh>
    <rPh sb="8" eb="10">
      <t>イチラン</t>
    </rPh>
    <phoneticPr fontId="1"/>
  </si>
  <si>
    <t>出品テンプレート</t>
    <rPh sb="0" eb="2">
      <t>シュッピン</t>
    </rPh>
    <phoneticPr fontId="1"/>
  </si>
  <si>
    <t>https://auctions.yahoo.co.jp/jp/auction/s1228119591</t>
  </si>
  <si>
    <t>https://jp.mercari.com/shops/product/2JQYziEoNQkFvXVoEKDYxv</t>
  </si>
  <si>
    <t>https://jp.mercari.com/item/m27919614773</t>
  </si>
  <si>
    <t>https://paypayfleamarket.yahoo.co.jp/item/z586416552</t>
  </si>
  <si>
    <t>https://auctions.yahoo.co.jp/jp/auction/d1233452025</t>
  </si>
  <si>
    <t>https://jp.mercari.com/item/m76930289648</t>
  </si>
  <si>
    <t>VHS Tapes</t>
  </si>
  <si>
    <t>https://paypayfleamarket.yahoo.co.jp/item/z609782286</t>
  </si>
  <si>
    <t>https://jp.mercari.com/shops/product/2JUzSsYkB4awfLUf5ru7eJ</t>
  </si>
  <si>
    <t>https://jp.mercari.com/shops/product/2JPVgse9wMRXhWFjFzWyVg</t>
  </si>
  <si>
    <t>https://jp.mercari.com/item/m71485704359</t>
  </si>
  <si>
    <t>https://jp.mercari.com/item/m65640220593</t>
  </si>
  <si>
    <t>https://jp.mercari.com/item/m63529623103</t>
  </si>
  <si>
    <t>キングダムハーツ 20th Anniversary バムバッグ 限定 未使用</t>
  </si>
  <si>
    <t>https://www.ebay.com/sch/i.html?_nkw=Kingdom%20Hearts%2020th%20Anniversary%20Bum&amp;_sacat=0&amp;_from=R40&amp;_sop=15&amp;rt=nc&amp;_udlo=20000</t>
  </si>
  <si>
    <t>https://jp.mercari.com/search?keyword=%E3%82%AD%E3%83%B3%E3%82%B0%E3%83%80%E3%83%A0%E3%83%8F%E3%83%BC%E3%83%84%2020th%20%E3%83%90%E3%83%A0%E3%83%90%E3%83%83%E3%82%B0&amp;price_min=10000&amp;sort=price&amp;order=asc&amp;status=on_sale</t>
  </si>
  <si>
    <t>https://fril.jp/s?query=%E3%82%AD%E3%83%B3%E3%82%B0%E3%83%80%E3%83%A0%E3%83%8F%E3%83%BC%E3%83%84%2020th%20%E3%83%90%E3%83%A0%E3%83%90%E3%83%83%E3%82%B0&amp;min=10000&amp;transaction=selling</t>
  </si>
  <si>
    <t>https://search.rakuten.co.jp/search/mall/%E3%82%AD%E3%83%B3%E3%82%B0%E3%83%80%E3%83%A0%E3%83%8F%E3%83%BC%E3%83%84%2020th%20%E3%83%90%E3%83%A0%E3%83%90%E3%83%83%E3%82%B0/?min=10000</t>
  </si>
  <si>
    <t>https://auctions.yahoo.co.jp/search/search?p=%E3%82%AD%E3%83%B3%E3%82%B0%E3%83%80%E3%83%A0%E3%83%8F%E3%83%BC%E3%83%84%2020th%20%E3%83%90%E3%83%A0%E3%83%90%E3%83%83%E3%82%B0&amp;aucminprice=10000</t>
  </si>
  <si>
    <t>https://shopping.yahoo.co.jp/search/%E3%82%AD%E3%83%B3%E3%82%B0%E3%83%80%E3%83%A0%E3%83%8F%E3%83%BC%E3%83%84%2020th%20%E3%83%90%E3%83%A0%E3%83%90%E3%83%83%E3%82%B0/0/?pf=10000</t>
  </si>
  <si>
    <t>KINGDOM HEARTS The Other Promise オルゴール</t>
  </si>
  <si>
    <t>https://www.ebay.com/sch/i.html?_nkw=Kingdom%20Hearts%20The%20Other%20Promise&amp;_sacat=0&amp;_from=R40&amp;_sop=15&amp;rt=nc&amp;_udlo=20000</t>
  </si>
  <si>
    <t>https://jp.mercari.com/search?keyword=%E3%82%AD%E3%83%B3%E3%82%B0%E3%83%80%E3%83%A0%E3%83%8F%E3%83%BC%E3%83%84%20The%20Other%20Promise%20%E3%82%AA%E3%83%AB%E3%82%B4%E3%83%BC%E3%83%AB&amp;price_min=10000&amp;sort=price&amp;order=asc&amp;status=on_sale</t>
  </si>
  <si>
    <t>https://fril.jp/s?query=%E3%82%AD%E3%83%B3%E3%82%B0%E3%83%80%E3%83%A0%E3%83%8F%E3%83%BC%E3%83%84%20The%20Other%20Promise%20%E3%82%AA%E3%83%AB%E3%82%B4%E3%83%BC%E3%83%AB&amp;min=10000&amp;transaction=selling</t>
  </si>
  <si>
    <t>https://search.rakuten.co.jp/search/mall/%E3%82%AD%E3%83%B3%E3%82%B0%E3%83%80%E3%83%A0%E3%83%8F%E3%83%BC%E3%83%84%20The%20Other%20Promise%20%E3%82%AA%E3%83%AB%E3%82%B4%E3%83%BC%E3%83%AB/?min=10000</t>
  </si>
  <si>
    <t>https://auctions.yahoo.co.jp/search/search?p=%E3%82%AD%E3%83%B3%E3%82%B0%E3%83%80%E3%83%A0%E3%83%8F%E3%83%BC%E3%83%84%20The%20Other%20Promise%20%E3%82%AA%E3%83%AB%E3%82%B4%E3%83%BC%E3%83%AB&amp;aucminprice=10000</t>
  </si>
  <si>
    <t>https://shopping.yahoo.co.jp/search/%E3%82%AD%E3%83%B3%E3%82%B0%E3%83%80%E3%83%A0%E3%83%8F%E3%83%BC%E3%83%84%20The%20Other%20Promise%20%E3%82%AA%E3%83%AB%E3%82%B4%E3%83%BC%E3%83%AB/0/?pf=10000</t>
  </si>
  <si>
    <t>【中古】雑貨 シオン オルゴール Vector to the Heavens 「キングダムハーツ」</t>
  </si>
  <si>
    <t>https://www.ebay.com/sch/i.html?_nkw=Kingdom%20Hearts%20Xion%20Music%20Box&amp;_sacat=0&amp;_from=R40&amp;_sop=15&amp;rt=nc&amp;_udlo=20000</t>
  </si>
  <si>
    <t>https://jp.mercari.com/search?keyword=%E3%82%AD%E3%83%B3%E3%82%B0%E3%83%80%E3%83%A0%E3%83%8F%E3%83%BC%E3%83%84%20%E3%82%B7%E3%82%AA%E3%83%B3%20%E3%82%AA%E3%83%AB%E3%82%B4%E3%83%BC%E3%83%AB&amp;price_min=10000&amp;sort=price&amp;order=asc&amp;status=on_sale</t>
  </si>
  <si>
    <t>https://fril.jp/s?query=%E3%82%AD%E3%83%B3%E3%82%B0%E3%83%80%E3%83%A0%E3%83%8F%E3%83%BC%E3%83%84%20%E3%82%B7%E3%82%AA%E3%83%B3%20%E3%82%AA%E3%83%AB%E3%82%B4%E3%83%BC%E3%83%AB&amp;min=10000&amp;transaction=selling</t>
  </si>
  <si>
    <t>https://search.rakuten.co.jp/search/mall/%E3%82%AD%E3%83%B3%E3%82%B0%E3%83%80%E3%83%A0%E3%83%8F%E3%83%BC%E3%83%84%20%E3%82%B7%E3%82%AA%E3%83%B3%20%E3%82%AA%E3%83%AB%E3%82%B4%E3%83%BC%E3%83%AB/?min=10000</t>
  </si>
  <si>
    <t>https://auctions.yahoo.co.jp/search/search?p=%E3%82%AD%E3%83%B3%E3%82%B0%E3%83%80%E3%83%A0%E3%83%8F%E3%83%BC%E3%83%84%20%E3%82%B7%E3%82%AA%E3%83%B3%20%E3%82%AA%E3%83%AB%E3%82%B4%E3%83%BC%E3%83%AB&amp;aucminprice=10000</t>
  </si>
  <si>
    <t>https://shopping.yahoo.co.jp/search/%E3%82%AD%E3%83%B3%E3%82%B0%E3%83%80%E3%83%A0%E3%83%8F%E3%83%BC%E3%83%84%20%E3%82%B7%E3%82%AA%E3%83%B3%20%E3%82%AA%E3%83%AB%E3%82%B4%E3%83%BC%E3%83%AB/0/?pf=10000</t>
  </si>
  <si>
    <t>https://www.ebay.com/sch/i.html?_nkw=Mataro%20Edo%20Kimekomi%20Doll%20Pokemon&amp;_sacat=0&amp;_from=R40&amp;_sop=15&amp;rt=nc&amp;_udlo=20000</t>
  </si>
  <si>
    <t>ミルタンク　伝統工芸品　木目込　ポケモン　Pokémon　正規品</t>
  </si>
  <si>
    <t>https://www.ebay.com/sch/i.html?_nkw=Edo%20Kimekomi%20Doll%20Pokemon%20Miltank&amp;_sacat=0&amp;_from=R40&amp;_sop=15&amp;rt=nc&amp;_udlo=20000</t>
  </si>
  <si>
    <t>https://jp.mercari.com/search?keyword=%E6%9C%A8%E7%9B%AE%E8%BE%BC%20%E3%83%9D%E3%82%B1%E3%83%A2%E3%83%B3%20%E3%83%9F%E3%83%AB%E3%82%BF%E3%83%B3%E3%82%AF&amp;price_min=10000&amp;sort=price&amp;order=asc&amp;status=on_sale</t>
  </si>
  <si>
    <t>https://fril.jp/s?query=%E6%9C%A8%E7%9B%AE%E8%BE%BC%20%E3%83%9D%E3%82%B1%E3%83%A2%E3%83%B3%20%E3%83%9F%E3%83%AB%E3%82%BF%E3%83%B3%E3%82%AF&amp;min=10000&amp;transaction=selling</t>
  </si>
  <si>
    <t>https://search.rakuten.co.jp/search/mall/%E6%9C%A8%E7%9B%AE%E8%BE%BC%20%E3%83%9D%E3%82%B1%E3%83%A2%E3%83%B3%20%E3%83%9F%E3%83%AB%E3%82%BF%E3%83%B3%E3%82%AF/?min=10000</t>
  </si>
  <si>
    <t>https://auctions.yahoo.co.jp/search/search?p=%E6%9C%A8%E7%9B%AE%E8%BE%BC%20%E3%83%9D%E3%82%B1%E3%83%A2%E3%83%B3%20%E3%83%9F%E3%83%AB%E3%82%BF%E3%83%B3%E3%82%AF&amp;aucminprice=10000</t>
  </si>
  <si>
    <t>https://shopping.yahoo.co.jp/search/%E6%9C%A8%E7%9B%AE%E8%BE%BC%20%E3%83%9D%E3%82%B1%E3%83%A2%E3%83%B3%20%E3%83%9F%E3%83%AB%E3%82%BF%E3%83%B3%E3%82%AF/0/?pf=10000</t>
  </si>
  <si>
    <t>江戸木目込　ライコウ　伝統工芸品 正規品新品　未使用　ポケモン</t>
  </si>
  <si>
    <t>https://jp.mercari.com/search?keyword=%E6%B1%9F%E6%88%B8%E6%9C%A8%E7%9B%AE%E8%BE%BC%20%E3%83%A9%E3%82%A4%E3%82%B3%E3%82%A6%20%E3%83%9D%E3%82%B1%E3%83%A2%E3%83%B3&amp;price_min=10000&amp;sort=price&amp;order=asc&amp;status=on_sale</t>
  </si>
  <si>
    <t>https://fril.jp/s?query=%E6%B1%9F%E6%88%B8%E6%9C%A8%E7%9B%AE%E8%BE%BC%20%E3%83%A9%E3%82%A4%E3%82%B3%E3%82%A6%20%E3%83%9D%E3%82%B1%E3%83%A2%E3%83%B3&amp;min=10000&amp;transaction=selling</t>
  </si>
  <si>
    <t>https://search.rakuten.co.jp/search/mall/%E6%B1%9F%E6%88%B8%E6%9C%A8%E7%9B%AE%E8%BE%BC%20%E3%83%A9%E3%82%A4%E3%82%B3%E3%82%A6%20%E3%83%9D%E3%82%B1%E3%83%A2%E3%83%B3/?min=10000</t>
  </si>
  <si>
    <t>https://auctions.yahoo.co.jp/search/search?p=%E6%B1%9F%E6%88%B8%E6%9C%A8%E7%9B%AE%E8%BE%BC%20%E3%83%A9%E3%82%A4%E3%82%B3%E3%82%A6%20%E3%83%9D%E3%82%B1%E3%83%A2%E3%83%B3&amp;aucminprice=10000</t>
  </si>
  <si>
    <t>https://shopping.yahoo.co.jp/search/%E6%B1%9F%E6%88%B8%E6%9C%A8%E7%9B%AE%E8%BE%BC%20%E3%83%A9%E3%82%A4%E3%82%B3%E3%82%A6%20%E3%83%9D%E3%82%B1%E3%83%A2%E3%83%B3/0/?pf=10000</t>
  </si>
  <si>
    <t>[新品未開封]真多呂人形　木目込み　ポケモン　ミミロル　伝統工芸　江戸木目込人形</t>
  </si>
  <si>
    <t>https://www.ebay.com/sch/i.html?_nkw=Mataro%20Kimekomi%20Doll%20Pokemon%20Buneary&amp;_sacat=0&amp;_from=R40&amp;_sop=15&amp;rt=nc&amp;_udlo=20000</t>
  </si>
  <si>
    <t>https://jp.mercari.com/search?keyword=%E7%9C%9F%E5%A4%9A%E5%91%82%20%E6%9C%A8%E7%9B%AE%E8%BE%BC%20%E3%83%9D%E3%82%B1%E3%83%A2%E3%83%B3%20%E3%83%9F%E3%83%9F%E3%83%AD%E3%83%AB&amp;price_min=10000&amp;sort=price&amp;order=asc&amp;status=on_sale</t>
  </si>
  <si>
    <t>https://fril.jp/s?query=%E7%9C%9F%E5%A4%9A%E5%91%82%20%E6%9C%A8%E7%9B%AE%E8%BE%BC%20%E3%83%9D%E3%82%B1%E3%83%A2%E3%83%B3%20%E3%83%9F%E3%83%9F%E3%83%AD%E3%83%AB&amp;min=10000&amp;transaction=selling</t>
  </si>
  <si>
    <t>https://search.rakuten.co.jp/search/mall/%E7%9C%9F%E5%A4%9A%E5%91%82%20%E6%9C%A8%E7%9B%AE%E8%BE%BC%20%E3%83%9D%E3%82%B1%E3%83%A2%E3%83%B3%20%E3%83%9F%E3%83%9F%E3%83%AD%E3%83%AB/?min=10000</t>
  </si>
  <si>
    <t>https://auctions.yahoo.co.jp/search/search?p=%E7%9C%9F%E5%A4%9A%E5%91%82%20%E6%9C%A8%E7%9B%AE%E8%BE%BC%20%E3%83%9D%E3%82%B1%E3%83%A2%E3%83%B3%20%E3%83%9F%E3%83%9F%E3%83%AD%E3%83%AB&amp;aucminprice=10000</t>
  </si>
  <si>
    <t>https://shopping.yahoo.co.jp/search/%E7%9C%9F%E5%A4%9A%E5%91%82%20%E6%9C%A8%E7%9B%AE%E8%BE%BC%20%E3%83%9D%E3%82%B1%E3%83%A2%E3%83%B3%20%E3%83%9F%E3%83%9F%E3%83%AD%E3%83%AB/0/?pf=10000</t>
  </si>
  <si>
    <t>https://www.ebay.com/sch/i.html?_nkw=Kamen%20Rider%20Geats%20Premium%20DX&amp;_sacat=0&amp;_from=R40&amp;_sop=15&amp;rt=nc&amp;_udlo=20000</t>
  </si>
  <si>
    <t>【動作確認済】PREMIUM DX 武刃 仮面ライダーギーツ</t>
  </si>
  <si>
    <t>https://jp.mercari.com/search?keyword=PREMIUM%20DX%20%E6%AD%A6%E5%88%83%20%E3%82%AE%E3%83%BC%E3%83%84&amp;price_min=10000&amp;sort=price&amp;order=asc&amp;status=on_sale</t>
  </si>
  <si>
    <t>https://fril.jp/s?query=PREMIUM%20DX%20%E6%AD%A6%E5%88%83%20%E3%82%AE%E3%83%BC%E3%83%84&amp;min=10000&amp;transaction=selling</t>
  </si>
  <si>
    <t>https://search.rakuten.co.jp/search/mall/PREMIUM%20DX%20%E6%AD%A6%E5%88%83%20%E3%82%AE%E3%83%BC%E3%83%84/?min=10000</t>
  </si>
  <si>
    <t>https://auctions.yahoo.co.jp/search/search?p=PREMIUM%20DX%20%E6%AD%A6%E5%88%83%20%E3%82%AE%E3%83%BC%E3%83%84&amp;aucminprice=10000</t>
  </si>
  <si>
    <t>https://shopping.yahoo.co.jp/search/PREMIUM%20DX%20%E6%AD%A6%E5%88%83%20%E3%82%AE%E3%83%BC%E3%83%84/0/?pf=10000</t>
  </si>
  <si>
    <t>【Portrait of Hong Kong： Fan Ho 】ファン・ホー</t>
  </si>
  <si>
    <t>https://www.ebay.com/sch/i.html?_nkw=Fan%20Ho%20Portrait%20of%20Hong&amp;_sacat=0&amp;_from=R40&amp;_sop=15&amp;rt=nc&amp;_udlo=20000</t>
  </si>
  <si>
    <t>https://jp.mercari.com/search?keyword=Fan%20Ho%20Portrait%20of%20Hong%20Kong&amp;price_min=10000&amp;sort=price&amp;order=asc&amp;status=on_sale</t>
  </si>
  <si>
    <t>https://fril.jp/s?query=Fan%20Ho%20Portrait%20of%20Hong%20Kong&amp;min=10000&amp;transaction=selling</t>
  </si>
  <si>
    <t>https://search.rakuten.co.jp/search/mall/Fan%20Ho%20Portrait%20of%20Hong%20Kong/?min=10000</t>
  </si>
  <si>
    <t>https://auctions.yahoo.co.jp/search/search?p=Fan%20Ho%20Portrait%20of%20Hong%20Kong&amp;aucminprice=10000</t>
  </si>
  <si>
    <t>https://shopping.yahoo.co.jp/search/Fan%20Ho%20Portrait%20of%20Hong%20Kong/0/?pf=10000</t>
  </si>
  <si>
    <t>Nujabes luv sic final アナログレコード 新品未使用</t>
  </si>
  <si>
    <t>https://www.ebay.com/sch/i.html?_nkw=Nujabes%20Luv%28sic%29%20Final%20Vinyl%20Record&amp;_sacat=0&amp;_from=R40&amp;_sop=15&amp;rt=nc&amp;_udlo=20000</t>
  </si>
  <si>
    <t>https://jp.mercari.com/search?keyword=Nujabes%20luv%20sic%20final%20%E3%83%AC%E3%82%B3%E3%83%BC%E3%83%89&amp;price_min=10000&amp;sort=price&amp;order=asc&amp;status=on_sale</t>
  </si>
  <si>
    <t>https://fril.jp/s?query=Nujabes%20luv%20sic%20final%20%E3%83%AC%E3%82%B3%E3%83%BC%E3%83%89&amp;min=10000&amp;transaction=selling</t>
  </si>
  <si>
    <t>https://search.rakuten.co.jp/search/mall/Nujabes%20luv%20sic%20final%20%E3%83%AC%E3%82%B3%E3%83%BC%E3%83%89/?min=10000</t>
  </si>
  <si>
    <t>https://auctions.yahoo.co.jp/search/search?p=Nujabes%20luv%20sic%20final%20%E3%83%AC%E3%82%B3%E3%83%BC%E3%83%89&amp;aucminprice=10000</t>
  </si>
  <si>
    <t>https://shopping.yahoo.co.jp/search/Nujabes%20luv%20sic%20final%20%E3%83%AC%E3%82%B3%E3%83%BC%E3%83%89/0/?pf=10000</t>
  </si>
  <si>
    <t>Nujabes / Luv(sic) Part 5 レコード</t>
  </si>
  <si>
    <t>https://www.ebay.com/sch/i.html?_nkw=Nujabes%20Luv%28sic%29%20Part%205%20Vinyl&amp;_sacat=0&amp;_from=R40&amp;_sop=15&amp;rt=nc&amp;_udlo=20000</t>
  </si>
  <si>
    <t>https://jp.mercari.com/search?keyword=Nujabes%20Luv%20sic%20Part%205%20%E3%83%AC%E3%82%B3%E3%83%BC%E3%83%89&amp;price_min=10000&amp;sort=price&amp;order=asc&amp;status=on_sale</t>
  </si>
  <si>
    <t>https://fril.jp/s?query=Nujabes%20Luv%20sic%20Part%205%20%E3%83%AC%E3%82%B3%E3%83%BC%E3%83%89&amp;min=10000&amp;transaction=selling</t>
  </si>
  <si>
    <t>https://search.rakuten.co.jp/search/mall/Nujabes%20Luv%20sic%20Part%205%20%E3%83%AC%E3%82%B3%E3%83%BC%E3%83%89/?min=10000</t>
  </si>
  <si>
    <t>https://auctions.yahoo.co.jp/search/search?p=Nujabes%20Luv%20sic%20Part%205%20%E3%83%AC%E3%82%B3%E3%83%BC%E3%83%89&amp;aucminprice=10000</t>
  </si>
  <si>
    <t>https://shopping.yahoo.co.jp/search/Nujabes%20Luv%20sic%20Part%205%20%E3%83%AC%E3%82%B3%E3%83%BC%E3%83%89/0/?pf=10000</t>
  </si>
  <si>
    <t>Nujabes Reflection Eternal 12インチアナログ 新品</t>
  </si>
  <si>
    <t>https://www.ebay.com/sch/i.html?_nkw=Nujabes%20Reflection%20Eternal%2012%20inch&amp;_sacat=0&amp;_from=R40&amp;_sop=15&amp;rt=nc&amp;_udlo=20000</t>
  </si>
  <si>
    <t>https://jp.mercari.com/search?keyword=Nujabes%20Reflection%20Eternal%2012%E3%82%A4%E3%83%B3%E3%83%81&amp;price_min=10000&amp;sort=price&amp;order=asc&amp;status=on_sale</t>
  </si>
  <si>
    <t>https://fril.jp/s?query=Nujabes%20Reflection%20Eternal%2012%E3%82%A4%E3%83%B3%E3%83%81&amp;min=10000&amp;transaction=selling</t>
  </si>
  <si>
    <t>https://search.rakuten.co.jp/search/mall/Nujabes%20Reflection%20Eternal%2012%E3%82%A4%E3%83%B3%E3%83%81/?min=10000</t>
  </si>
  <si>
    <t>https://auctions.yahoo.co.jp/search/search?p=Nujabes%20Reflection%20Eternal%2012%E3%82%A4%E3%83%B3%E3%83%81&amp;aucminprice=10000</t>
  </si>
  <si>
    <t>https://shopping.yahoo.co.jp/search/Nujabes%20Reflection%20Eternal%2012%E3%82%A4%E3%83%B3%E3%83%81/0/?pf=10000</t>
  </si>
  <si>
    <t>https://jp.mercari.com/item/m88152039671</t>
  </si>
  <si>
    <t>https://jp.mercari.com/item/m34126513622</t>
  </si>
  <si>
    <t>https://jp.mercari.com/item/m40874186486</t>
  </si>
  <si>
    <t>https://auctions.yahoo.co.jp/jp/auction/o1241209173</t>
  </si>
  <si>
    <t>https://paypayfleamarket.yahoo.co.jp/item/z603694846</t>
  </si>
  <si>
    <t>https://jp.mercari.com/item/m34177368551</t>
  </si>
  <si>
    <t>https://jp.mercari.com/shops/product/2JUwGKEyyLhenMSL2SVF3S</t>
  </si>
  <si>
    <t>https://auctions.yahoo.co.jp/jp/auction/b1226058228</t>
  </si>
  <si>
    <t>https://auctions.yahoo.co.jp/jp/auction/l1223908431</t>
  </si>
  <si>
    <t>https://jp.mercari.com/item/m58656203121</t>
  </si>
  <si>
    <t>https://paypayfleamarket.yahoo.co.jp/item/z655208574</t>
  </si>
  <si>
    <t>https://jp.mercari.com/item/m28953892110</t>
  </si>
  <si>
    <t>https://jp.mercari.com/item/m21353088123</t>
  </si>
  <si>
    <t>3月</t>
    <rPh sb="1" eb="2">
      <t>ガツ</t>
    </rPh>
    <phoneticPr fontId="1"/>
  </si>
  <si>
    <t>https://jp.mercari.com/shops/product/2JVE7GurkXLSs6a7HNM8cy</t>
  </si>
  <si>
    <t>https://jp.mercari.com/item/m64902022762</t>
  </si>
  <si>
    <t>https://jp.mercari.com/item/m78669753870</t>
  </si>
  <si>
    <t>https://jp.mercari.com/item/m49869172059</t>
  </si>
  <si>
    <t>https://jp.mercari.com/item/m59992952907</t>
  </si>
  <si>
    <t>https://jp.mercari.com/item/m42031255826</t>
  </si>
  <si>
    <t>https://jp.mercari.com/item/m20205865198</t>
  </si>
  <si>
    <t>https://jp.mercari.com/item/m32500582976</t>
  </si>
  <si>
    <t>https://jp.mercari.com/shops/product/2JLWSHxJhyHSUJkLzmCvNW</t>
  </si>
  <si>
    <t>https://jp.mercari.com/shops/product/2JT8rCLsqAMZCm7tA7e2Hs</t>
  </si>
  <si>
    <t>【中古】未開封 バンダイ ペルソナ3 P3 D-Arts タナトス[17]</t>
  </si>
  <si>
    <t>D-Arts Persona 3 Thanatos Action Figure Bandai Japan Import</t>
  </si>
  <si>
    <t>https://www.ebay.com/sch/i.html?_nkw=D-Arts%20Persona%203%20Thanatos%20Action&amp;_sacat=0&amp;_from=R40&amp;_sop=15&amp;rt=nc&amp;_udlo=20000</t>
  </si>
  <si>
    <t>https://jp.mercari.com/search?keyword=%E3%83%9A%E3%83%AB%E3%82%BD%E3%83%8A3%20D-Arts%20%E3%82%BF%E3%83%8A%E3%83%88%E3%82%B9&amp;price_min=10000&amp;sort=price&amp;order=asc&amp;status=on_sale</t>
  </si>
  <si>
    <t>https://fril.jp/s?query=%E3%83%9A%E3%83%AB%E3%82%BD%E3%83%8A3%20D-Arts%20%E3%82%BF%E3%83%8A%E3%83%88%E3%82%B9&amp;min=10000&amp;transaction=selling</t>
  </si>
  <si>
    <t>https://search.rakuten.co.jp/search/mall/%E3%83%9A%E3%83%AB%E3%82%BD%E3%83%8A3%20D-Arts%20%E3%82%BF%E3%83%8A%E3%83%88%E3%82%B9/?min=10000</t>
  </si>
  <si>
    <t>https://auctions.yahoo.co.jp/search/search?p=%E3%83%9A%E3%83%AB%E3%82%BD%E3%83%8A3%20D-Arts%20%E3%82%BF%E3%83%8A%E3%83%88%E3%82%B9&amp;aucminprice=10000</t>
  </si>
  <si>
    <t>https://shopping.yahoo.co.jp/search/%E3%83%9A%E3%83%AB%E3%82%BD%E3%83%8A3%20D-Arts%20%E3%82%BF%E3%83%8A%E3%83%88%E3%82%B9/0/?pf=10000</t>
  </si>
  <si>
    <t>未開封　希少　当時物　ファイナルファンタジー7 メカニカルアーツ フェンリル</t>
  </si>
  <si>
    <t>Final Fantasy VII Mechanical Arts Fenrir Cloud Motorcycle Model Kotobukiya JP</t>
  </si>
  <si>
    <t>https://www.ebay.com/sch/i.html?_nkw=Final%20Fantasy%20VII%20Mechanical%20Arts&amp;_sacat=0&amp;_from=R40&amp;_sop=15&amp;rt=nc&amp;_udlo=20000</t>
  </si>
  <si>
    <t>https://jp.mercari.com/search?keyword=FF7%20%E3%83%A1%E3%82%AB%E3%83%8B%E3%82%AB%E3%83%AB%E3%82%A2%E3%83%BC%E3%83%84%20%E3%83%95%E3%82%A7%E3%83%B3%E3%83%AA%E3%83%AB&amp;price_min=10000&amp;sort=price&amp;order=asc&amp;status=on_sale</t>
  </si>
  <si>
    <t>https://fril.jp/s?query=FF7%20%E3%83%A1%E3%82%AB%E3%83%8B%E3%82%AB%E3%83%AB%E3%82%A2%E3%83%BC%E3%83%84%20%E3%83%95%E3%82%A7%E3%83%B3%E3%83%AA%E3%83%AB&amp;min=10000&amp;transaction=selling</t>
  </si>
  <si>
    <t>https://search.rakuten.co.jp/search/mall/FF7%20%E3%83%A1%E3%82%AB%E3%83%8B%E3%82%AB%E3%83%AB%E3%82%A2%E3%83%BC%E3%83%84%20%E3%83%95%E3%82%A7%E3%83%B3%E3%83%AA%E3%83%AB/?min=10000</t>
  </si>
  <si>
    <t>https://auctions.yahoo.co.jp/search/search?p=FF7%20%E3%83%A1%E3%82%AB%E3%83%8B%E3%82%AB%E3%83%AB%E3%82%A2%E3%83%BC%E3%83%84%20%E3%83%95%E3%82%A7%E3%83%B3%E3%83%AA%E3%83%AB&amp;aucminprice=10000</t>
  </si>
  <si>
    <t>https://shopping.yahoo.co.jp/search/FF7%20%E3%83%A1%E3%82%AB%E3%83%8B%E3%82%AB%E3%83%AB%E3%82%A2%E3%83%BC%E3%83%84%20%E3%83%95%E3%82%A7%E3%83%B3%E3%83%AA%E3%83%AB/0/?pf=10000</t>
  </si>
  <si>
    <t>Swatch MoMaコラボレーション腕時計　クリムト</t>
  </si>
  <si>
    <t>Swatch x MoMA Gustav Klimt Art Collaboration Wrist Watch Japan Import</t>
  </si>
  <si>
    <t>https://jp.mercari.com/search?keyword=Swatch%20MoMA%20%E3%82%AF%E3%83%AA%E3%83%A0%E3%83%88%20%E8%85%95%E6%99%82%E8%A8%88&amp;price_min=10000&amp;sort=price&amp;order=asc&amp;status=on_sale</t>
  </si>
  <si>
    <t>https://fril.jp/s?query=Swatch%20MoMA%20%E3%82%AF%E3%83%AA%E3%83%A0%E3%83%88%20%E8%85%95%E6%99%82%E8%A8%88&amp;min=10000&amp;transaction=selling</t>
  </si>
  <si>
    <t>https://search.rakuten.co.jp/search/mall/Swatch%20MoMA%20%E3%82%AF%E3%83%AA%E3%83%A0%E3%83%88%20%E8%85%95%E6%99%82%E8%A8%88/?min=10000</t>
  </si>
  <si>
    <t>https://auctions.yahoo.co.jp/search/search?p=Swatch%20MoMA%20%E3%82%AF%E3%83%AA%E3%83%A0%E3%83%88%20%E8%85%95%E6%99%82%E8%A8%88&amp;aucminprice=10000</t>
  </si>
  <si>
    <t>https://shopping.yahoo.co.jp/search/Swatch%20MoMA%20%E3%82%AF%E3%83%AA%E3%83%A0%E3%83%88%20%E8%85%95%E6%99%82%E8%A8%88/0/?pf=10000</t>
  </si>
  <si>
    <t>ローゼンメイデン、真紅 、アートパネル 、PEACH-PIT 、21周年</t>
  </si>
  <si>
    <t>Rozen Maiden Shinku Art Panel Peach-Pit 21st Anniversary Wall Art Japan Import</t>
  </si>
  <si>
    <t>https://www.ebay.com/sch/i.html?_nkw=Rozen%20Maiden%20Shinku%20Art%20Panel&amp;_sacat=0&amp;_from=R40&amp;_sop=15&amp;rt=nc&amp;_udlo=20000</t>
  </si>
  <si>
    <t>https://jp.mercari.com/search?keyword=%E3%83%AD%E3%83%BC%E3%82%BC%E3%83%B3%E3%83%A1%E3%82%A4%E3%83%87%E3%83%B3%20%E7%9C%9F%E7%B4%85%20%E3%82%A2%E3%83%BC%E3%83%88%E3%83%91%E3%83%8D%E3%83%AB&amp;price_min=10000&amp;sort=price&amp;order=asc&amp;status=on_sale</t>
  </si>
  <si>
    <t>https://fril.jp/s?query=%E3%83%AD%E3%83%BC%E3%82%BC%E3%83%B3%E3%83%A1%E3%82%A4%E3%83%87%E3%83%B3%20%E7%9C%9F%E7%B4%85%20%E3%82%A2%E3%83%BC%E3%83%88%E3%83%91%E3%83%8D%E3%83%AB&amp;min=10000&amp;transaction=selling</t>
  </si>
  <si>
    <t>https://search.rakuten.co.jp/search/mall/%E3%83%AD%E3%83%BC%E3%82%BC%E3%83%B3%E3%83%A1%E3%82%A4%E3%83%87%E3%83%B3%20%E7%9C%9F%E7%B4%85%20%E3%82%A2%E3%83%BC%E3%83%88%E3%83%91%E3%83%8D%E3%83%AB/?min=10000</t>
  </si>
  <si>
    <t>https://auctions.yahoo.co.jp/search/search?p=%E3%83%AD%E3%83%BC%E3%82%BC%E3%83%B3%E3%83%A1%E3%82%A4%E3%83%87%E3%83%B3%20%E7%9C%9F%E7%B4%85%20%E3%82%A2%E3%83%BC%E3%83%88%E3%83%91%E3%83%8D%E3%83%AB&amp;aucminprice=10000</t>
  </si>
  <si>
    <t>https://shopping.yahoo.co.jp/search/%E3%83%AD%E3%83%BC%E3%82%BC%E3%83%B3%E3%83%A1%E3%82%A4%E3%83%87%E3%83%B3%20%E7%9C%9F%E7%B4%85%20%E3%82%A2%E3%83%BC%E3%83%88%E3%83%91%E3%83%8D%E3%83%AB/0/?pf=10000</t>
  </si>
  <si>
    <t>ローゼンメイデン　ニコイチメイデン　サイン入り 複製原画　蒼星石　真紅</t>
  </si>
  <si>
    <t>Rozen Maiden Signed Reproduction Art Souseiseki Shinku Peach-Pit Japan Import</t>
  </si>
  <si>
    <t>https://www.ebay.com/sch/i.html?_nkw=Rozen%20Maiden%20Signed%20Reproduction%20Art&amp;_sacat=0&amp;_from=R40&amp;_sop=15&amp;rt=nc&amp;_udlo=20000</t>
  </si>
  <si>
    <t>https://jp.mercari.com/search?keyword=%E3%83%AD%E3%83%BC%E3%82%BC%E3%83%B3%E3%83%A1%E3%82%A4%E3%83%87%E3%83%B3%20%E8%A4%87%E8%A3%BD%E5%8E%9F%E7%94%BB%20%E8%92%BC%E6%98%9F%E7%9F%B3%20%E7%9C%9F%E7%B4%85&amp;price_min=10000&amp;sort=price&amp;order=asc&amp;status=on_sale</t>
  </si>
  <si>
    <t>https://fril.jp/s?query=%E3%83%AD%E3%83%BC%E3%82%BC%E3%83%B3%E3%83%A1%E3%82%A4%E3%83%87%E3%83%B3%20%E8%A4%87%E8%A3%BD%E5%8E%9F%E7%94%BB%20%E8%92%BC%E6%98%9F%E7%9F%B3%20%E7%9C%9F%E7%B4%85&amp;min=10000&amp;transaction=selling</t>
  </si>
  <si>
    <t>https://search.rakuten.co.jp/search/mall/%E3%83%AD%E3%83%BC%E3%82%BC%E3%83%B3%E3%83%A1%E3%82%A4%E3%83%87%E3%83%B3%20%E8%A4%87%E8%A3%BD%E5%8E%9F%E7%94%BB%20%E8%92%BC%E6%98%9F%E7%9F%B3%20%E7%9C%9F%E7%B4%85/?min=10000</t>
  </si>
  <si>
    <t>https://auctions.yahoo.co.jp/search/search?p=%E3%83%AD%E3%83%BC%E3%82%BC%E3%83%B3%E3%83%A1%E3%82%A4%E3%83%87%E3%83%B3%20%E8%A4%87%E8%A3%BD%E5%8E%9F%E7%94%BB%20%E8%92%BC%E6%98%9F%E7%9F%B3%20%E7%9C%9F%E7%B4%85&amp;aucminprice=10000</t>
  </si>
  <si>
    <t>https://shopping.yahoo.co.jp/search/%E3%83%AD%E3%83%BC%E3%82%BC%E3%83%B3%E3%83%A1%E3%82%A4%E3%83%87%E3%83%B3%20%E8%A4%87%E8%A3%BD%E5%8E%9F%E7%94%BB%20%E8%92%BC%E6%98%9F%E7%9F%B3%20%E7%9C%9F%E7%B4%85/0/?pf=10000</t>
  </si>
  <si>
    <t>プーリップ 雛苺 ローゼンメイデン 未開封 Pullip</t>
  </si>
  <si>
    <t>Pullip Rozen Maiden Hinaichigo Fashion Doll Groove Sealed Japan Import</t>
  </si>
  <si>
    <t>https://www.ebay.com/sch/i.html?_nkw=Pullip%20Rozen%20Maiden%20Hinaichigo%20Fashion&amp;_sacat=0&amp;_from=R40&amp;_sop=15&amp;rt=nc&amp;_udlo=20000</t>
  </si>
  <si>
    <t>https://jp.mercari.com/search?keyword=Pullip%20%E9%9B%9B%E8%8B%BA%20%E3%83%AD%E3%83%BC%E3%82%BC%E3%83%B3%E3%83%A1%E3%82%A4%E3%83%87%E3%83%B3&amp;price_min=10000&amp;sort=price&amp;order=asc&amp;status=on_sale</t>
  </si>
  <si>
    <t>https://fril.jp/s?query=Pullip%20%E9%9B%9B%E8%8B%BA%20%E3%83%AD%E3%83%BC%E3%82%BC%E3%83%B3%E3%83%A1%E3%82%A4%E3%83%87%E3%83%B3&amp;min=10000&amp;transaction=selling</t>
  </si>
  <si>
    <t>https://search.rakuten.co.jp/search/mall/Pullip%20%E9%9B%9B%E8%8B%BA%20%E3%83%AD%E3%83%BC%E3%82%BC%E3%83%B3%E3%83%A1%E3%82%A4%E3%83%87%E3%83%B3/?min=10000</t>
  </si>
  <si>
    <t>https://auctions.yahoo.co.jp/search/search?p=Pullip%20%E9%9B%9B%E8%8B%BA%20%E3%83%AD%E3%83%BC%E3%82%BC%E3%83%B3%E3%83%A1%E3%82%A4%E3%83%87%E3%83%B3&amp;aucminprice=10000</t>
  </si>
  <si>
    <t>https://shopping.yahoo.co.jp/search/Pullip%20%E9%9B%9B%E8%8B%BA%20%E3%83%AD%E3%83%BC%E3%82%BC%E3%83%B3%E3%83%A1%E3%82%A4%E3%83%87%E3%83%B3/0/?pf=10000</t>
  </si>
  <si>
    <t>希少　3本セット　魔法騎士レイアース　魔法剣　ペン</t>
  </si>
  <si>
    <t>Magic Knight Rayearth Magic Sword Pen 3 Set Rare Japan Import</t>
  </si>
  <si>
    <t>https://www.ebay.com/sch/i.html?_nkw=Magic%20Knight%20Rayearth%20Magic%20Sword&amp;_sacat=0&amp;_from=R40&amp;_sop=15&amp;rt=nc&amp;_udlo=20000</t>
  </si>
  <si>
    <t>https://jp.mercari.com/search?keyword=%E3%83%AC%E3%82%A4%E3%82%A2%E3%83%BC%E3%82%B9%20%E9%AD%94%E6%B3%95%E5%89%A3%20%E3%83%9A%E3%83%B3%203%E6%9C%AC%E3%82%BB%E3%83%83%E3%83%88&amp;price_min=10000&amp;sort=price&amp;order=asc&amp;status=on_sale</t>
  </si>
  <si>
    <t>https://fril.jp/s?query=%E3%83%AC%E3%82%A4%E3%82%A2%E3%83%BC%E3%82%B9%20%E9%AD%94%E6%B3%95%E5%89%A3%20%E3%83%9A%E3%83%B3%203%E6%9C%AC%E3%82%BB%E3%83%83%E3%83%88&amp;min=10000&amp;transaction=selling</t>
  </si>
  <si>
    <t>https://search.rakuten.co.jp/search/mall/%E3%83%AC%E3%82%A4%E3%82%A2%E3%83%BC%E3%82%B9%20%E9%AD%94%E6%B3%95%E5%89%A3%20%E3%83%9A%E3%83%B3%203%E6%9C%AC%E3%82%BB%E3%83%83%E3%83%88/?min=10000</t>
  </si>
  <si>
    <t>https://auctions.yahoo.co.jp/search/search?p=%E3%83%AC%E3%82%A4%E3%82%A2%E3%83%BC%E3%82%B9%20%E9%AD%94%E6%B3%95%E5%89%A3%20%E3%83%9A%E3%83%B3%203%E6%9C%AC%E3%82%BB%E3%83%83%E3%83%88&amp;aucminprice=10000</t>
  </si>
  <si>
    <t>https://shopping.yahoo.co.jp/search/%E3%83%AC%E3%82%A4%E3%82%A2%E3%83%BC%E3%82%B9%20%E9%AD%94%E6%B3%95%E5%89%A3%20%E3%83%9A%E3%83%B3%203%E6%9C%AC%E3%82%BB%E3%83%83%E3%83%88/0/?pf=10000</t>
  </si>
  <si>
    <t>UA Monsters ゼットン　メガハウス　受注生産品</t>
  </si>
  <si>
    <t>UA Monsters Zetton Megahouse Ultimate Article Ultraman Figure Japan Import</t>
  </si>
  <si>
    <t>https://www.ebay.com/sch/i.html?_nkw=UA%20Monsters%20Zetton%20Megahouse%20Ultimate&amp;_sacat=0&amp;_from=R40&amp;_sop=15&amp;rt=nc&amp;_udlo=20000</t>
  </si>
  <si>
    <t>https://jp.mercari.com/search?keyword=UA%20Monsters%20%E3%82%BC%E3%83%83%E3%83%88%E3%83%B3%20%E3%83%A1%E3%82%AC%E3%83%8F%E3%82%A6%E3%82%B9&amp;price_min=10000&amp;sort=price&amp;order=asc&amp;status=on_sale</t>
  </si>
  <si>
    <t>https://fril.jp/s?query=UA%20Monsters%20%E3%82%BC%E3%83%83%E3%83%88%E3%83%B3%20%E3%83%A1%E3%82%AC%E3%83%8F%E3%82%A6%E3%82%B9&amp;min=10000&amp;transaction=selling</t>
  </si>
  <si>
    <t>https://search.rakuten.co.jp/search/mall/UA%20Monsters%20%E3%82%BC%E3%83%83%E3%83%88%E3%83%B3%20%E3%83%A1%E3%82%AC%E3%83%8F%E3%82%A6%E3%82%B9/?min=10000</t>
  </si>
  <si>
    <t>https://auctions.yahoo.co.jp/search/search?p=UA%20Monsters%20%E3%82%BC%E3%83%83%E3%83%88%E3%83%B3%20%E3%83%A1%E3%82%AC%E3%83%8F%E3%82%A6%E3%82%B9&amp;aucminprice=10000</t>
  </si>
  <si>
    <t>https://shopping.yahoo.co.jp/search/UA%20Monsters%20%E3%82%BC%E3%83%83%E3%83%88%E3%83%B3%20%E3%83%A1%E3%82%AC%E3%83%8F%E3%82%A6%E3%82%B9/0/?pf=10000</t>
  </si>
  <si>
    <t>Ultimate Article Monsters ゴジラ(1995) ゴジラvsデストロイア 完成品 フィギュア プレミアムバンダイ&amp;一部店舗限定 メガハウス</t>
  </si>
  <si>
    <t>UA Monsters Godzilla 1995 vs Destoroyah Megahouse Figure Japan Import</t>
  </si>
  <si>
    <t>https://www.ebay.com/sch/i.html?_nkw=UA%20Monsters%20Godzilla%201995%20vs&amp;_sacat=0&amp;_from=R40&amp;_sop=15&amp;rt=nc&amp;_udlo=20000</t>
  </si>
  <si>
    <t>https://jp.mercari.com/search?keyword=UA%20Monsters%20%E3%82%B4%E3%82%B8%E3%83%A9%201995%20%E3%83%87%E3%82%B9%E3%83%88%E3%83%AD%E3%82%A4%E3%82%A2&amp;price_min=10000&amp;sort=price&amp;order=asc&amp;status=on_sale</t>
  </si>
  <si>
    <t>https://fril.jp/s?query=UA%20Monsters%20%E3%82%B4%E3%82%B8%E3%83%A9%201995%20%E3%83%87%E3%82%B9%E3%83%88%E3%83%AD%E3%82%A4%E3%82%A2&amp;min=10000&amp;transaction=selling</t>
  </si>
  <si>
    <t>https://search.rakuten.co.jp/search/mall/UA%20Monsters%20%E3%82%B4%E3%82%B8%E3%83%A9%201995%20%E3%83%87%E3%82%B9%E3%83%88%E3%83%AD%E3%82%A4%E3%82%A2/?min=10000</t>
  </si>
  <si>
    <t>https://auctions.yahoo.co.jp/search/search?p=UA%20Monsters%20%E3%82%B4%E3%82%B8%E3%83%A9%201995%20%E3%83%87%E3%82%B9%E3%83%88%E3%83%AD%E3%82%A4%E3%82%A2&amp;aucminprice=10000</t>
  </si>
  <si>
    <t>https://shopping.yahoo.co.jp/search/UA%20Monsters%20%E3%82%B4%E3%82%B8%E3%83%A9%201995%20%E3%83%87%E3%82%B9%E3%83%88%E3%83%AD%E3%82%A4%E3%82%A2/0/?pf=10000</t>
  </si>
  <si>
    <t>Figuarts Zero Ranma 1/2 Genma Saotome Panda Soul Web Limited Bandai Japan</t>
  </si>
  <si>
    <t>https://www.ebay.com/sch/i.html?_nkw=Figuarts%20Zero%20Ranma%201/2%20Genma&amp;_sacat=0&amp;_from=R40&amp;_sop=15&amp;rt=nc&amp;_udlo=20000</t>
  </si>
  <si>
    <t>https://jp.mercari.com/search?keyword=%E3%83%95%E3%82%A3%E3%82%AE%E3%83%A5%E3%82%A2%E3%83%BC%E3%83%84ZERO%20%E6%97%A9%E4%B9%99%E5%A5%B3%E7%8E%84%E9%A6%AC%20%E3%82%89%E3%82%93%E3%81%BE&amp;price_min=10000&amp;sort=price&amp;order=asc&amp;status=on_sale</t>
  </si>
  <si>
    <t>https://fril.jp/s?query=%E3%83%95%E3%82%A3%E3%82%AE%E3%83%A5%E3%82%A2%E3%83%BC%E3%83%84ZERO%20%E6%97%A9%E4%B9%99%E5%A5%B3%E7%8E%84%E9%A6%AC%20%E3%82%89%E3%82%93%E3%81%BE&amp;min=10000&amp;transaction=selling</t>
  </si>
  <si>
    <t>https://search.rakuten.co.jp/search/mall/%E3%83%95%E3%82%A3%E3%82%AE%E3%83%A5%E3%82%A2%E3%83%BC%E3%83%84ZERO%20%E6%97%A9%E4%B9%99%E5%A5%B3%E7%8E%84%E9%A6%AC%20%E3%82%89%E3%82%93%E3%81%BE/?min=10000</t>
  </si>
  <si>
    <t>https://auctions.yahoo.co.jp/search/search?p=%E3%83%95%E3%82%A3%E3%82%AE%E3%83%A5%E3%82%A2%E3%83%BC%E3%83%84ZERO%20%E6%97%A9%E4%B9%99%E5%A5%B3%E7%8E%84%E9%A6%AC%20%E3%82%89%E3%82%93%E3%81%BE&amp;aucminprice=10000</t>
  </si>
  <si>
    <t>https://shopping.yahoo.co.jp/search/%E3%83%95%E3%82%A3%E3%82%AE%E3%83%A5%E3%82%A2%E3%83%BC%E3%83%84ZERO%20%E6%97%A9%E4%B9%99%E5%A5%B3%E7%8E%84%E9%A6%AC%20%E3%82%89%E3%82%93%E3%81%BE/0/?pf=10000</t>
  </si>
  <si>
    <t>▽▽BANDAI バンダイ フィギュアーツZERO 早乙女玄馬 「らんま1/2」 魂ウェブ商店限定</t>
  </si>
  <si>
    <t>Kingdom Hearts 20th Anniversary Waist Bum Bag Pouch Square Enix Japan Limited</t>
  </si>
  <si>
    <t>Kingdom Hearts Roxas Music Box The Other Promise Square Enix Japan Collectible</t>
  </si>
  <si>
    <t>Kingdom Hearts Xion Music Box Vector to the Heavens Square Enix Japan Import</t>
  </si>
  <si>
    <t>Mataro Edo Kimekomi Doll Pokemon Miltank Japanese Traditional Craft Figure New</t>
  </si>
  <si>
    <t>Mataro Edo Kimekomi Doll Pokemon Raikou Japanese Traditional Craft Figure Japan</t>
  </si>
  <si>
    <t>Mataro Edo Kimekomi Doll Pokemon Buneary Japanese Traditional Craft Figure Japan</t>
  </si>
  <si>
    <t>Bandai Kamen Rider Geats Premium DX Bujin Sword Henshin Weapon Toy Japan Import</t>
  </si>
  <si>
    <t>Fan Ho Portrait of Hong Kong Photo Book Photography Art Hardcover Japan Import</t>
  </si>
  <si>
    <t>Nujabes Shing02 Luv(sic) Grand Finale 12 inch Vinyl Record Hip Hop Japan Import</t>
  </si>
  <si>
    <t>Nujabes Shing02 Luv(sic) Part 5 12 inch Vinyl Record Hip Hop LP Japan Import</t>
  </si>
  <si>
    <t>Nujabes Reflection Eternal 12 inch Vinyl Record Hip Hop LP Japan Import Analog</t>
  </si>
  <si>
    <t>https://auctions.yahoo.co.jp/jp/auction/w1187693619</t>
  </si>
  <si>
    <t>https://www.ebay.com/sch/i.html?_nkw=Swatch+MoMA+Gustav+Klimt&amp;_sacat=0&amp;_from=R40&amp;_trksid=m570.l1313&amp;_udlo=20000&amp;rt=nc&amp;_odkw=Swatch+x+MoMA+Gustav+Klimt&amp;_osacat=0&amp;_sop=15</t>
  </si>
  <si>
    <t>Wristwatches</t>
  </si>
  <si>
    <t>Wristwatches</t>
    <phoneticPr fontId="1"/>
  </si>
  <si>
    <t>https://jp.mercari.com/item/m80544939897</t>
  </si>
  <si>
    <t>https://jp.mercari.com/item/m36349845304</t>
  </si>
  <si>
    <t>https://jp.mercari.com/item/m60103868180</t>
  </si>
  <si>
    <t>https://jp.mercari.com/item/m64216675431</t>
  </si>
  <si>
    <t>https://jp.mercari.com/item/m46245889829</t>
  </si>
  <si>
    <t>https://jp.mercari.com/item/m29433975837</t>
  </si>
  <si>
    <t>【ほぼ新品】海洋堂 アメイジングヤマグチ スパイダーマン No.002 フィギュア MARVEL マーベル コレクターアイテム</t>
  </si>
  <si>
    <t>Kaiyodo Amazing Yamaguchi Spider-Man No.002 Revoltech Figure Marvel Japan</t>
  </si>
  <si>
    <t>https://www.ebay.com/sch/i.html?_nkw=Kaiyodo%20Amazing%20Yamaguchi%20Spider-Man%20No.002&amp;_sacat=0&amp;_from=R40&amp;_sop=15&amp;rt=nc&amp;_udlo=20000</t>
  </si>
  <si>
    <t>https://jp.mercari.com/search?keyword=%E3%82%A2%E3%83%A1%E3%82%A4%E3%82%B8%E3%83%B3%E3%82%B0%E3%83%A4%E3%83%9E%E3%82%B0%E3%83%81%20%E3%82%B9%E3%83%91%E3%82%A4%E3%83%80%E3%83%BC%E3%83%9E%E3%83%B3%20No.002&amp;price_min=10000&amp;sort=price&amp;order=asc&amp;status=on_sale</t>
  </si>
  <si>
    <t>https://fril.jp/s?query=%E3%82%A2%E3%83%A1%E3%82%A4%E3%82%B8%E3%83%B3%E3%82%B0%E3%83%A4%E3%83%9E%E3%82%B0%E3%83%81%20%E3%82%B9%E3%83%91%E3%82%A4%E3%83%80%E3%83%BC%E3%83%9E%E3%83%B3%20No.002&amp;min=10000&amp;transaction=selling</t>
  </si>
  <si>
    <t>https://search.rakuten.co.jp/search/mall/%E3%82%A2%E3%83%A1%E3%82%A4%E3%82%B8%E3%83%B3%E3%82%B0%E3%83%A4%E3%83%9E%E3%82%B0%E3%83%81%20%E3%82%B9%E3%83%91%E3%82%A4%E3%83%80%E3%83%BC%E3%83%9E%E3%83%B3%20No.002/?min=10000</t>
  </si>
  <si>
    <t>https://auctions.yahoo.co.jp/search/search?p=%E3%82%A2%E3%83%A1%E3%82%A4%E3%82%B8%E3%83%B3%E3%82%B0%E3%83%A4%E3%83%9E%E3%82%B0%E3%83%81%20%E3%82%B9%E3%83%91%E3%82%A4%E3%83%80%E3%83%BC%E3%83%9E%E3%83%B3%20No.002&amp;aucminprice=10000</t>
  </si>
  <si>
    <t>https://shopping.yahoo.co.jp/search/%E3%82%A2%E3%83%A1%E3%82%A4%E3%82%B8%E3%83%B3%E3%82%B0%E3%83%A4%E3%83%9E%E3%82%B0%E3%83%81%20%E3%82%B9%E3%83%91%E3%82%A4%E3%83%80%E3%83%BC%E3%83%9E%E3%83%B3%20No.002/0/?pf=10000</t>
  </si>
  <si>
    <t>【未開封品】 海洋堂 アメイジング・ヤマグチ カーネイジ クリア</t>
  </si>
  <si>
    <t>Kaiyodo Amazing Yamaguchi Carnage Clear Revoltech Figure Marvel Japan Import</t>
  </si>
  <si>
    <t>https://www.ebay.com/sch/i.html?_nkw=Kaiyodo%20Amazing%20Yamaguchi%20Carnage%20Clear&amp;_sacat=0&amp;_from=R40&amp;_sop=15&amp;rt=nc&amp;_udlo=20000</t>
  </si>
  <si>
    <t>https://jp.mercari.com/search?keyword=%E3%82%A2%E3%83%A1%E3%82%A4%E3%82%B8%E3%83%B3%E3%82%B0%E3%83%A4%E3%83%9E%E3%82%B0%E3%83%81%20%E3%82%AB%E3%83%BC%E3%83%8D%E3%82%A4%E3%82%B8%20%E3%82%AF%E3%83%AA%E3%82%A2&amp;price_min=10000&amp;sort=price&amp;order=asc&amp;status=on_sale</t>
  </si>
  <si>
    <t>https://fril.jp/s?query=%E3%82%A2%E3%83%A1%E3%82%A4%E3%82%B8%E3%83%B3%E3%82%B0%E3%83%A4%E3%83%9E%E3%82%B0%E3%83%81%20%E3%82%AB%E3%83%BC%E3%83%8D%E3%82%A4%E3%82%B8%20%E3%82%AF%E3%83%AA%E3%82%A2&amp;min=10000&amp;transaction=selling</t>
  </si>
  <si>
    <t>https://search.rakuten.co.jp/search/mall/%E3%82%A2%E3%83%A1%E3%82%A4%E3%82%B8%E3%83%B3%E3%82%B0%E3%83%A4%E3%83%9E%E3%82%B0%E3%83%81%20%E3%82%AB%E3%83%BC%E3%83%8D%E3%82%A4%E3%82%B8%20%E3%82%AF%E3%83%AA%E3%82%A2/?min=10000</t>
  </si>
  <si>
    <t>https://auctions.yahoo.co.jp/search/search?p=%E3%82%A2%E3%83%A1%E3%82%A4%E3%82%B8%E3%83%B3%E3%82%B0%E3%83%A4%E3%83%9E%E3%82%B0%E3%83%81%20%E3%82%AB%E3%83%BC%E3%83%8D%E3%82%A4%E3%82%B8%20%E3%82%AF%E3%83%AA%E3%82%A2&amp;aucminprice=10000</t>
  </si>
  <si>
    <t>https://shopping.yahoo.co.jp/search/%E3%82%A2%E3%83%A1%E3%82%A4%E3%82%B8%E3%83%B3%E3%82%B0%E3%83%A4%E3%83%9E%E3%82%B0%E3%83%81%20%E3%82%AB%E3%83%BC%E3%83%8D%E3%82%A4%E3%82%B8%20%E3%82%AF%E3%83%AA%E3%82%A2/0/?pf=10000</t>
  </si>
  <si>
    <t>BUFFALO ZINE No.3 希少　J.W.アンダーソン　ヴィヴィアン</t>
  </si>
  <si>
    <t>Buffalo Zine No.3 Magazine JW Anderson Vivienne Rare Fashion Japan Import</t>
  </si>
  <si>
    <t>https://www.ebay.com/sch/i.html?_nkw=Buffalo%20Zine%20No.3%20Magazine%20JW&amp;_sacat=0&amp;_from=R40&amp;_sop=15&amp;rt=nc&amp;_udlo=20000</t>
  </si>
  <si>
    <t>https://jp.mercari.com/search?keyword=BUFFALO%20ZINE%20No.3&amp;price_min=10000&amp;sort=price&amp;order=asc&amp;status=on_sale</t>
  </si>
  <si>
    <t>https://fril.jp/s?query=BUFFALO%20ZINE%20No.3&amp;min=10000&amp;transaction=selling</t>
  </si>
  <si>
    <t>https://search.rakuten.co.jp/search/mall/BUFFALO%20ZINE%20No.3/?min=10000</t>
  </si>
  <si>
    <t>https://auctions.yahoo.co.jp/search/search?p=BUFFALO%20ZINE%20No.3&amp;aucminprice=10000</t>
  </si>
  <si>
    <t>https://shopping.yahoo.co.jp/search/BUFFALO%20ZINE%20No.3/0/?pf=10000</t>
  </si>
  <si>
    <t>SENNHEISER ゼンハイザー EW100 G4-945-S-JB</t>
  </si>
  <si>
    <t>Sennheiser EW 100 G4-945-S-JB Wireless Microphone System Japan Import</t>
  </si>
  <si>
    <t>https://jp.mercari.com/search?keyword=SENNHEISER%20EW100%20G4%20945&amp;price_min=10000&amp;sort=price&amp;order=asc&amp;status=on_sale</t>
  </si>
  <si>
    <t>https://fril.jp/s?query=SENNHEISER%20EW100%20G4%20945&amp;min=10000&amp;transaction=selling</t>
  </si>
  <si>
    <t>https://search.rakuten.co.jp/search/mall/SENNHEISER%20EW100%20G4%20945/?min=10000</t>
  </si>
  <si>
    <t>https://auctions.yahoo.co.jp/search/search?p=SENNHEISER%20EW100%20G4%20945&amp;aucminprice=10000</t>
  </si>
  <si>
    <t>https://shopping.yahoo.co.jp/search/SENNHEISER%20EW100%20G4%20945/0/?pf=10000</t>
  </si>
  <si>
    <t>【激レア】 ゴジラッパー ゴジラっち たまごっち</t>
  </si>
  <si>
    <t>Bandai Godzilla Godzillatch Tamagotchi Virtual Pet Rare Japan Import</t>
  </si>
  <si>
    <t>https://www.ebay.com/sch/i.html?_nkw=Bandai%20Godzilla%20Godzillatch%20Tamagotchi%20Virtual&amp;_sacat=0&amp;_from=R40&amp;_sop=15&amp;rt=nc&amp;_udlo=20000</t>
  </si>
  <si>
    <t>https://jp.mercari.com/search?keyword=%E3%82%B4%E3%82%B8%E3%83%A9%E3%81%A3%E3%81%A1%20%E3%81%9F%E3%81%BE%E3%81%94%E3%81%A3%E3%81%A1&amp;price_min=10000&amp;sort=price&amp;order=asc&amp;status=on_sale</t>
  </si>
  <si>
    <t>https://fril.jp/s?query=%E3%82%B4%E3%82%B8%E3%83%A9%E3%81%A3%E3%81%A1%20%E3%81%9F%E3%81%BE%E3%81%94%E3%81%A3%E3%81%A1&amp;min=10000&amp;transaction=selling</t>
  </si>
  <si>
    <t>https://search.rakuten.co.jp/search/mall/%E3%82%B4%E3%82%B8%E3%83%A9%E3%81%A3%E3%81%A1%20%E3%81%9F%E3%81%BE%E3%81%94%E3%81%A3%E3%81%A1/?min=10000</t>
  </si>
  <si>
    <t>https://auctions.yahoo.co.jp/search/search?p=%E3%82%B4%E3%82%B8%E3%83%A9%E3%81%A3%E3%81%A1%20%E3%81%9F%E3%81%BE%E3%81%94%E3%81%A3%E3%81%A1&amp;aucminprice=10000</t>
  </si>
  <si>
    <t>https://shopping.yahoo.co.jp/search/%E3%82%B4%E3%82%B8%E3%83%A9%E3%81%A3%E3%81%A1%20%E3%81%9F%E3%81%BE%E3%81%94%E3%81%A3%E3%81%A1/0/?pf=10000</t>
  </si>
  <si>
    <t>海で発見たまごっち海外版 Tamagotchi Ocean 1997初期Ver</t>
  </si>
  <si>
    <t>Bandai Tamagotchi Ocean 1997 Overseas Version Rare Virtual Pet Japan Import</t>
  </si>
  <si>
    <t>https://www.ebay.com/sch/i.html?_nkw=Bandai%20Tamagotchi%20Ocean%201997%20Overseas&amp;_sacat=0&amp;_from=R40&amp;_sop=15&amp;rt=nc&amp;_udlo=20000</t>
  </si>
  <si>
    <t>https://jp.mercari.com/search?keyword=%E3%81%9F%E3%81%BE%E3%81%94%E3%81%A3%E3%81%A1%20%E6%B5%B7%20Ocean%201997&amp;price_min=10000&amp;sort=price&amp;order=asc&amp;status=on_sale</t>
  </si>
  <si>
    <t>https://fril.jp/s?query=%E3%81%9F%E3%81%BE%E3%81%94%E3%81%A3%E3%81%A1%20%E6%B5%B7%20Ocean%201997&amp;min=10000&amp;transaction=selling</t>
  </si>
  <si>
    <t>https://search.rakuten.co.jp/search/mall/%E3%81%9F%E3%81%BE%E3%81%94%E3%81%A3%E3%81%A1%20%E6%B5%B7%20Ocean%201997/?min=10000</t>
  </si>
  <si>
    <t>https://auctions.yahoo.co.jp/search/search?p=%E3%81%9F%E3%81%BE%E3%81%94%E3%81%A3%E3%81%A1%20%E6%B5%B7%20Ocean%201997&amp;aucminprice=10000</t>
  </si>
  <si>
    <t>https://shopping.yahoo.co.jp/search/%E3%81%9F%E3%81%BE%E3%81%94%E3%81%A3%E3%81%A1%20%E6%B5%B7%20Ocean%201997/0/?pf=10000</t>
  </si>
  <si>
    <t>https://jp.mercari.com/item/m48600916071</t>
  </si>
  <si>
    <t>https://www.ebay.com/sch/i.html?_nkw=Sennheiser+EW100+G4-945-S-JB&amp;_sacat=0&amp;_from=R40&amp;_trksid=m570.l1313&amp;_udlo=20000&amp;rt=nc&amp;_odkw=Sennheiser+EW+100+G4-945-S-JB+Wireless&amp;_osacat=0&amp;_sop=15</t>
  </si>
  <si>
    <t>File149</t>
  </si>
  <si>
    <t>File150</t>
  </si>
  <si>
    <t>File151</t>
  </si>
  <si>
    <t>File152</t>
  </si>
  <si>
    <t>File153</t>
  </si>
  <si>
    <t>File154</t>
  </si>
  <si>
    <t>https://jp.mercari.com/item/m63863248390</t>
  </si>
  <si>
    <t>https://jp.mercari.com/item/m84815750081</t>
  </si>
  <si>
    <t>https://jp.mercari.com/item/m25943292357</t>
  </si>
  <si>
    <t>https://jp.mercari.com/item/m67971033014</t>
  </si>
  <si>
    <t>https://jp.mercari.com/item/m80669034434</t>
  </si>
  <si>
    <t>https://jp.mercari.com/item/m96201562123</t>
  </si>
  <si>
    <t>ねんどろいど NieR：Automata フィギュア ニーア オートマタ</t>
  </si>
  <si>
    <t>https://www.ebay.com/sch/i.html?_nkw=Nendoroid%20NieR%20Automata%202B%20YoRHa&amp;_sacat=0&amp;_from=R40&amp;_sop=15&amp;rt=nc&amp;_udlo=20000</t>
  </si>
  <si>
    <t>https://jp.mercari.com/search?keyword=%E3%81%AD%E3%82%93%E3%81%A9%E3%82%8D%E3%81%84%E3%81%A9%20%E3%83%8B%E3%83%BC%E3%82%A2%E3%82%AA%E3%83%BC%E3%83%88%E3%83%9E%E3%82%BF%202B&amp;price_min=10000&amp;sort=price&amp;order=asc&amp;status=on_sale</t>
  </si>
  <si>
    <t>https://fril.jp/s?query=%E3%81%AD%E3%82%93%E3%81%A9%E3%82%8D%E3%81%84%E3%81%A9%20%E3%83%8B%E3%83%BC%E3%82%A2%E3%82%AA%E3%83%BC%E3%83%88%E3%83%9E%E3%82%BF%202B&amp;min=10000&amp;transaction=selling</t>
  </si>
  <si>
    <t>https://search.rakuten.co.jp/search/mall/%E3%81%AD%E3%82%93%E3%81%A9%E3%82%8D%E3%81%84%E3%81%A9%20%E3%83%8B%E3%83%BC%E3%82%A2%E3%82%AA%E3%83%BC%E3%83%88%E3%83%9E%E3%82%BF%202B/?min=10000</t>
  </si>
  <si>
    <t>https://auctions.yahoo.co.jp/search/search?p=%E3%81%AD%E3%82%93%E3%81%A9%E3%82%8D%E3%81%84%E3%81%A9%20%E3%83%8B%E3%83%BC%E3%82%A2%E3%82%AA%E3%83%BC%E3%83%88%E3%83%9E%E3%82%BF%202B&amp;aucminprice=10000</t>
  </si>
  <si>
    <t>https://shopping.yahoo.co.jp/search/%E3%81%AD%E3%82%93%E3%81%A9%E3%82%8D%E3%81%84%E3%81%A9%20%E3%83%8B%E3%83%BC%E3%82%A2%E3%82%AA%E3%83%BC%E3%83%88%E3%83%9E%E3%82%BF%202B/0/?pf=10000</t>
  </si>
  <si>
    <t>【新品未開封】プレイアーツ改 ニーア オートマタ 2B ＆ 9S DX版セット</t>
  </si>
  <si>
    <t>NieR Automata Play Arts Kai 2B &amp; 9S DX Version Figure Set Square Enix Japan</t>
  </si>
  <si>
    <t>https://jp.mercari.com/search?keyword=%E3%83%97%E3%83%AC%E3%82%A4%E3%82%A2%E3%83%BC%E3%83%84%E6%94%B9%20%E3%83%8B%E3%83%BC%E3%82%A2%E3%82%AA%E3%83%BC%E3%83%88%E3%83%9E%E3%82%BF%202B%209S%20DX&amp;price_min=10000&amp;sort=price&amp;order=asc&amp;status=on_sale</t>
  </si>
  <si>
    <t>https://fril.jp/s?query=%E3%83%97%E3%83%AC%E3%82%A4%E3%82%A2%E3%83%BC%E3%83%84%E6%94%B9%20%E3%83%8B%E3%83%BC%E3%82%A2%E3%82%AA%E3%83%BC%E3%83%88%E3%83%9E%E3%82%BF%202B%209S%20DX&amp;min=10000&amp;transaction=selling</t>
  </si>
  <si>
    <t>https://search.rakuten.co.jp/search/mall/%E3%83%97%E3%83%AC%E3%82%A4%E3%82%A2%E3%83%BC%E3%83%84%E6%94%B9%20%E3%83%8B%E3%83%BC%E3%82%A2%E3%82%AA%E3%83%BC%E3%83%88%E3%83%9E%E3%82%BF%202B%209S%20DX/?min=10000</t>
  </si>
  <si>
    <t>https://auctions.yahoo.co.jp/search/search?p=%E3%83%97%E3%83%AC%E3%82%A4%E3%82%A2%E3%83%BC%E3%83%84%E6%94%B9%20%E3%83%8B%E3%83%BC%E3%82%A2%E3%82%AA%E3%83%BC%E3%83%88%E3%83%9E%E3%82%BF%202B%209S%20DX&amp;aucminprice=10000</t>
  </si>
  <si>
    <t>https://shopping.yahoo.co.jp/search/%E3%83%97%E3%83%AC%E3%82%A4%E3%82%A2%E3%83%BC%E3%83%84%E6%94%B9%20%E3%83%8B%E3%83%BC%E3%82%A2%E3%82%AA%E3%83%BC%E3%83%88%E3%83%9E%E3%82%BF%202B%209S%20DX/0/?pf=10000</t>
  </si>
  <si>
    <t>ねんどろいど 文豪ストレイドッグス　織田作之助 坂口安吾　2087 2088</t>
  </si>
  <si>
    <t>Nendoroid Bungo Stray Dogs Odasaku &amp; Ango 2087 2088 Figure Set Good Smile</t>
  </si>
  <si>
    <t>https://www.ebay.com/sch/i.html?_nkw=Nendoroid%20Bungo%20Stray%20Dogs%20Odasaku&amp;_sacat=0&amp;_from=R40&amp;_sop=15&amp;rt=nc&amp;_udlo=20000</t>
  </si>
  <si>
    <t>https://jp.mercari.com/search?keyword=%E3%81%AD%E3%82%93%E3%81%A9%E3%82%8D%E3%81%84%E3%81%A9%20%E6%96%87%E8%B1%AA%E3%82%B9%E3%83%88%E3%83%AC%E3%82%A4%E3%83%89%E3%83%83%E3%82%B0%E3%82%B9%20%E7%B9%94%E7%94%B0%E4%BD%9C%20%E5%9D%82%E5%8F%A3%E5%AE%89%E5%90%BE&amp;price_min=10000&amp;sort=price&amp;order=asc&amp;status=on_sale</t>
  </si>
  <si>
    <t>https://fril.jp/s?query=%E3%81%AD%E3%82%93%E3%81%A9%E3%82%8D%E3%81%84%E3%81%A9%20%E6%96%87%E8%B1%AA%E3%82%B9%E3%83%88%E3%83%AC%E3%82%A4%E3%83%89%E3%83%83%E3%82%B0%E3%82%B9%20%E7%B9%94%E7%94%B0%E4%BD%9C%20%E5%9D%82%E5%8F%A3%E5%AE%89%E5%90%BE&amp;min=10000&amp;transaction=selling</t>
  </si>
  <si>
    <t>https://search.rakuten.co.jp/search/mall/%E3%81%AD%E3%82%93%E3%81%A9%E3%82%8D%E3%81%84%E3%81%A9%20%E6%96%87%E8%B1%AA%E3%82%B9%E3%83%88%E3%83%AC%E3%82%A4%E3%83%89%E3%83%83%E3%82%B0%E3%82%B9%20%E7%B9%94%E7%94%B0%E4%BD%9C%20%E5%9D%82%E5%8F%A3%E5%AE%89%E5%90%BE/?min=10000</t>
  </si>
  <si>
    <t>https://auctions.yahoo.co.jp/search/search?p=%E3%81%AD%E3%82%93%E3%81%A9%E3%82%8D%E3%81%84%E3%81%A9%20%E6%96%87%E8%B1%AA%E3%82%B9%E3%83%88%E3%83%AC%E3%82%A4%E3%83%89%E3%83%83%E3%82%B0%E3%82%B9%20%E7%B9%94%E7%94%B0%E4%BD%9C%20%E5%9D%82%E5%8F%A3%E5%AE%89%E5%90%BE&amp;aucminprice=10000</t>
  </si>
  <si>
    <t>https://shopping.yahoo.co.jp/search/%E3%81%AD%E3%82%93%E3%81%A9%E3%82%8D%E3%81%84%E3%81%A9%20%E6%96%87%E8%B1%AA%E3%82%B9%E3%83%88%E3%83%AC%E3%82%A4%E3%83%89%E3%83%83%E3%82%B0%E3%82%B9%20%E7%B9%94%E7%94%B0%E4%BD%9C%20%E5%9D%82%E5%8F%A3%E5%AE%89%E5%90%BE/0/?pf=10000</t>
  </si>
  <si>
    <t>ワンタマ商店限定 フィギュアーツZERO Artist Special ロロノア・ゾロ as トラ ONE PIECE(ワンピース) 完成品 フィギュア バンダイ</t>
  </si>
  <si>
    <t>One Piece Figuarts Zero Artist Special Zoro as Tiger Bandai Japan Import</t>
  </si>
  <si>
    <t>https://www.ebay.com/sch/i.html?_nkw=One%20Piece%20Figuarts%20Zero%20Artist&amp;_sacat=0&amp;_from=R40&amp;_sop=15&amp;rt=nc&amp;_udlo=20000</t>
  </si>
  <si>
    <t>https://jp.mercari.com/search?keyword=%E3%83%95%E3%82%A3%E3%82%AE%E3%83%A5%E3%82%A2%E3%83%BC%E3%83%84ZERO%20%E3%82%BE%E3%83%AD%20%E3%83%88%E3%83%A9%20%E3%82%A2%E3%83%BC%E3%83%86%E3%82%A3%E3%82%B9%E3%83%88%E3%82%B9%E3%83%9A%E3%82%B7%E3%83%A3%E3%83%AB&amp;price_min=10000&amp;sort=price&amp;order=asc&amp;status=on_sale</t>
  </si>
  <si>
    <t>https://fril.jp/s?query=%E3%83%95%E3%82%A3%E3%82%AE%E3%83%A5%E3%82%A2%E3%83%BC%E3%83%84ZERO%20%E3%82%BE%E3%83%AD%20%E3%83%88%E3%83%A9%20%E3%82%A2%E3%83%BC%E3%83%86%E3%82%A3%E3%82%B9%E3%83%88%E3%82%B9%E3%83%9A%E3%82%B7%E3%83%A3%E3%83%AB&amp;min=10000&amp;transaction=selling</t>
  </si>
  <si>
    <t>https://search.rakuten.co.jp/search/mall/%E3%83%95%E3%82%A3%E3%82%AE%E3%83%A5%E3%82%A2%E3%83%BC%E3%83%84ZERO%20%E3%82%BE%E3%83%AD%20%E3%83%88%E3%83%A9%20%E3%82%A2%E3%83%BC%E3%83%86%E3%82%A3%E3%82%B9%E3%83%88%E3%82%B9%E3%83%9A%E3%82%B7%E3%83%A3%E3%83%AB/?min=10000</t>
  </si>
  <si>
    <t>https://auctions.yahoo.co.jp/search/search?p=%E3%83%95%E3%82%A3%E3%82%AE%E3%83%A5%E3%82%A2%E3%83%BC%E3%83%84ZERO%20%E3%82%BE%E3%83%AD%20%E3%83%88%E3%83%A9%20%E3%82%A2%E3%83%BC%E3%83%86%E3%82%A3%E3%82%B9%E3%83%88%E3%82%B9%E3%83%9A%E3%82%B7%E3%83%A3%E3%83%AB&amp;aucminprice=10000</t>
  </si>
  <si>
    <t>https://shopping.yahoo.co.jp/search/%E3%83%95%E3%82%A3%E3%82%AE%E3%83%A5%E3%82%A2%E3%83%BC%E3%83%84ZERO%20%E3%82%BE%E3%83%AD%20%E3%83%88%E3%83%A9%20%E3%82%A2%E3%83%BC%E3%83%86%E3%82%A3%E3%82%B9%E3%83%88%E3%82%B9%E3%83%9A%E3%82%B7%E3%83%A3%E3%83%AB/0/?pf=10000</t>
  </si>
  <si>
    <t>アズールレーン　ENサーバー　三周年記念グッズセットBox　重桜Ver</t>
  </si>
  <si>
    <t>Azur Lane EN Server 3rd Anniversary Goods Box Sakura Empire Japan Import</t>
  </si>
  <si>
    <t>https://www.ebay.com/sch/i.html?_nkw=Azur%20Lane%20EN%20Server%203rd&amp;_sacat=0&amp;_from=R40&amp;_sop=15&amp;rt=nc&amp;_udlo=20000</t>
  </si>
  <si>
    <t>https://jp.mercari.com/search?keyword=%E3%82%A2%E3%82%BA%E3%83%BC%E3%83%AB%E3%83%AC%E3%83%BC%E3%83%B3%20%E4%B8%89%E5%91%A8%E5%B9%B4%E8%A8%98%E5%BF%B5%20%E9%87%8D%E6%A1%9C%20EN%E3%82%B5%E3%83%BC%E3%83%90%E3%83%BC&amp;price_min=10000&amp;sort=price&amp;order=asc&amp;status=on_sale</t>
  </si>
  <si>
    <t>https://fril.jp/s?query=%E3%82%A2%E3%82%BA%E3%83%BC%E3%83%AB%E3%83%AC%E3%83%BC%E3%83%B3%20%E4%B8%89%E5%91%A8%E5%B9%B4%E8%A8%98%E5%BF%B5%20%E9%87%8D%E6%A1%9C%20EN%E3%82%B5%E3%83%BC%E3%83%90%E3%83%BC&amp;min=10000&amp;transaction=selling</t>
  </si>
  <si>
    <t>https://search.rakuten.co.jp/search/mall/%E3%82%A2%E3%82%BA%E3%83%BC%E3%83%AB%E3%83%AC%E3%83%BC%E3%83%B3%20%E4%B8%89%E5%91%A8%E5%B9%B4%E8%A8%98%E5%BF%B5%20%E9%87%8D%E6%A1%9C%20EN%E3%82%B5%E3%83%BC%E3%83%90%E3%83%BC/?min=10000</t>
  </si>
  <si>
    <t>https://auctions.yahoo.co.jp/search/search?p=%E3%82%A2%E3%82%BA%E3%83%BC%E3%83%AB%E3%83%AC%E3%83%BC%E3%83%B3%20%E4%B8%89%E5%91%A8%E5%B9%B4%E8%A8%98%E5%BF%B5%20%E9%87%8D%E6%A1%9C%20EN%E3%82%B5%E3%83%BC%E3%83%90%E3%83%BC&amp;aucminprice=10000</t>
  </si>
  <si>
    <t>https://shopping.yahoo.co.jp/search/%E3%82%A2%E3%82%BA%E3%83%BC%E3%83%AB%E3%83%AC%E3%83%BC%E3%83%B3%20%E4%B8%89%E5%91%A8%E5%B9%B4%E8%A8%98%E5%BF%B5%20%E9%87%8D%E6%A1%9C%20EN%E3%82%B5%E3%83%BC%E3%83%90%E3%83%BC/0/?pf=10000</t>
  </si>
  <si>
    <t>ユニオンクリエイティブ 猫物語 ブラック羽川 &amp; 羽川翼 セット</t>
  </si>
  <si>
    <t>Nekomonogatari Black Hanekawa &amp; Tsubasa Hanekawa Figure Set Union Creative</t>
  </si>
  <si>
    <t>https://www.ebay.com/sch/i.html?_nkw=Nekomonogatari%20Black%20Hanekawa%20Tsubasa%20Hanekawa&amp;_sacat=0&amp;_from=R40&amp;_sop=15&amp;rt=nc&amp;_udlo=20000</t>
  </si>
  <si>
    <t>https://jp.mercari.com/search?keyword=%E7%8C%AB%E7%89%A9%E8%AA%9E%20%E3%83%96%E3%83%A9%E3%83%83%E3%82%AF%E7%BE%BD%E5%B7%9D%20%E7%BE%BD%E5%B7%9D%E7%BF%BC%20%E3%82%BB%E3%83%83%E3%83%88&amp;price_min=10000&amp;sort=price&amp;order=asc&amp;status=on_sale</t>
  </si>
  <si>
    <t>https://fril.jp/s?query=%E7%8C%AB%E7%89%A9%E8%AA%9E%20%E3%83%96%E3%83%A9%E3%83%83%E3%82%AF%E7%BE%BD%E5%B7%9D%20%E7%BE%BD%E5%B7%9D%E7%BF%BC%20%E3%82%BB%E3%83%83%E3%83%88&amp;min=10000&amp;transaction=selling</t>
  </si>
  <si>
    <t>https://search.rakuten.co.jp/search/mall/%E7%8C%AB%E7%89%A9%E8%AA%9E%20%E3%83%96%E3%83%A9%E3%83%83%E3%82%AF%E7%BE%BD%E5%B7%9D%20%E7%BE%BD%E5%B7%9D%E7%BF%BC%20%E3%82%BB%E3%83%83%E3%83%88/?min=10000</t>
  </si>
  <si>
    <t>https://auctions.yahoo.co.jp/search/search?p=%E7%8C%AB%E7%89%A9%E8%AA%9E%20%E3%83%96%E3%83%A9%E3%83%83%E3%82%AF%E7%BE%BD%E5%B7%9D%20%E7%BE%BD%E5%B7%9D%E7%BF%BC%20%E3%82%BB%E3%83%83%E3%83%88&amp;aucminprice=10000</t>
  </si>
  <si>
    <t>https://shopping.yahoo.co.jp/search/%E7%8C%AB%E7%89%A9%E8%AA%9E%20%E3%83%96%E3%83%A9%E3%83%83%E3%82%AF%E7%BE%BD%E5%B7%9D%20%E7%BE%BD%E5%B7%9D%E7%BF%BC%20%E3%82%BB%E3%83%83%E3%83%88/0/?pf=10000</t>
  </si>
  <si>
    <t>https://www.ebay.com/sch/i.html?_nkw=Home%20Run%20Magazine%20July%202012&amp;_sacat=0&amp;_from=R40&amp;_sop=15&amp;rt=nc&amp;_udlo=20000</t>
  </si>
  <si>
    <t>Shohei Ohtani 大谷翔平 2012 ホームラン7月号 高校野球激レア</t>
  </si>
  <si>
    <t>Home Run Magazine July 2012 Shohei Ohtani High School Baseball Rare Japan</t>
  </si>
  <si>
    <t>https://jp.mercari.com/search?keyword=%E3%83%9B%E3%83%BC%E3%83%A0%E3%83%A9%E3%83%B3%202012%207%E6%9C%88%E5%8F%B7%20%E5%A4%A7%E8%B0%B7%E7%BF%94%E5%B9%B3&amp;price_min=10000&amp;sort=price&amp;order=asc&amp;status=on_sale</t>
  </si>
  <si>
    <t>https://fril.jp/s?query=%E3%83%9B%E3%83%BC%E3%83%A0%E3%83%A9%E3%83%B3%202012%207%E6%9C%88%E5%8F%B7%20%E5%A4%A7%E8%B0%B7%E7%BF%94%E5%B9%B3&amp;min=10000&amp;transaction=selling</t>
  </si>
  <si>
    <t>https://search.rakuten.co.jp/search/mall/%E3%83%9B%E3%83%BC%E3%83%A0%E3%83%A9%E3%83%B3%202012%207%E6%9C%88%E5%8F%B7%20%E5%A4%A7%E8%B0%B7%E7%BF%94%E5%B9%B3/?min=10000</t>
  </si>
  <si>
    <t>https://auctions.yahoo.co.jp/search/search?p=%E3%83%9B%E3%83%BC%E3%83%A0%E3%83%A9%E3%83%B3%202012%207%E6%9C%88%E5%8F%B7%20%E5%A4%A7%E8%B0%B7%E7%BF%94%E5%B9%B3&amp;aucminprice=10000</t>
  </si>
  <si>
    <t>https://shopping.yahoo.co.jp/search/%E3%83%9B%E3%83%BC%E3%83%A0%E3%83%A9%E3%83%B3%202012%207%E6%9C%88%E5%8F%B7%20%E5%A4%A7%E8%B0%B7%E7%BF%94%E5%B9%B3/0/?pf=10000</t>
  </si>
  <si>
    <t>ホームラン 2012年11月号 ドラフト特集</t>
  </si>
  <si>
    <t>Home Run Magazine November 2012 Draft Special High School Baseball Japan</t>
  </si>
  <si>
    <t>https://www.ebay.com/sch/i.html?_nkw=Home%20Run%20Magazine%20November%202012&amp;_sacat=0&amp;_from=R40&amp;_sop=15&amp;rt=nc&amp;_udlo=20000</t>
  </si>
  <si>
    <t>https://jp.mercari.com/search?keyword=%E3%83%9B%E3%83%BC%E3%83%A0%E3%83%A9%E3%83%B3%202012%E5%B9%B411%E6%9C%88%E5%8F%B7%20%E3%83%89%E3%83%A9%E3%83%95%E3%83%88&amp;price_min=10000&amp;sort=price&amp;order=asc&amp;status=on_sale</t>
  </si>
  <si>
    <t>https://fril.jp/s?query=%E3%83%9B%E3%83%BC%E3%83%A0%E3%83%A9%E3%83%B3%202012%E5%B9%B411%E6%9C%88%E5%8F%B7%20%E3%83%89%E3%83%A9%E3%83%95%E3%83%88&amp;min=10000&amp;transaction=selling</t>
  </si>
  <si>
    <t>https://search.rakuten.co.jp/search/mall/%E3%83%9B%E3%83%BC%E3%83%A0%E3%83%A9%E3%83%B3%202012%E5%B9%B411%E6%9C%88%E5%8F%B7%20%E3%83%89%E3%83%A9%E3%83%95%E3%83%88/?min=10000</t>
  </si>
  <si>
    <t>https://auctions.yahoo.co.jp/search/search?p=%E3%83%9B%E3%83%BC%E3%83%A0%E3%83%A9%E3%83%B3%202012%E5%B9%B411%E6%9C%88%E5%8F%B7%20%E3%83%89%E3%83%A9%E3%83%95%E3%83%88&amp;aucminprice=10000</t>
  </si>
  <si>
    <t>https://shopping.yahoo.co.jp/search/%E3%83%9B%E3%83%BC%E3%83%A0%E3%83%A9%E3%83%B3%202012%E5%B9%B411%E6%9C%88%E5%8F%B7%20%E3%83%89%E3%83%A9%E3%83%95%E3%83%88/0/?pf=10000</t>
  </si>
  <si>
    <t>ダークソウル シリーズ デザインワークス 初版セット トリロジー 画集</t>
  </si>
  <si>
    <t>Dark Souls Design Works First Edition Art Book Trilogy Set Japan Import</t>
  </si>
  <si>
    <t>https://www.ebay.com/sch/i.html?_nkw=Dark%20Souls%20Design%20Works%20First&amp;_sacat=0&amp;_from=R40&amp;_sop=15&amp;rt=nc&amp;_udlo=20000</t>
  </si>
  <si>
    <t>https://jp.mercari.com/search?keyword=%E3%83%80%E3%83%BC%E3%82%AF%E3%82%BD%E3%82%A6%E3%83%AB%20%E3%83%87%E3%82%B6%E3%82%A4%E3%83%B3%E3%83%AF%E3%83%BC%E3%82%AF%E3%82%B9%20%E5%88%9D%E7%89%88%20%E7%94%BB%E9%9B%86&amp;price_min=10000&amp;sort=price&amp;order=asc&amp;status=on_sale</t>
  </si>
  <si>
    <t>https://fril.jp/s?query=%E3%83%80%E3%83%BC%E3%82%AF%E3%82%BD%E3%82%A6%E3%83%AB%20%E3%83%87%E3%82%B6%E3%82%A4%E3%83%B3%E3%83%AF%E3%83%BC%E3%82%AF%E3%82%B9%20%E5%88%9D%E7%89%88%20%E7%94%BB%E9%9B%86&amp;min=10000&amp;transaction=selling</t>
  </si>
  <si>
    <t>https://search.rakuten.co.jp/search/mall/%E3%83%80%E3%83%BC%E3%82%AF%E3%82%BD%E3%82%A6%E3%83%AB%20%E3%83%87%E3%82%B6%E3%82%A4%E3%83%B3%E3%83%AF%E3%83%BC%E3%82%AF%E3%82%B9%20%E5%88%9D%E7%89%88%20%E7%94%BB%E9%9B%86/?min=10000</t>
  </si>
  <si>
    <t>https://auctions.yahoo.co.jp/search/search?p=%E3%83%80%E3%83%BC%E3%82%AF%E3%82%BD%E3%82%A6%E3%83%AB%20%E3%83%87%E3%82%B6%E3%82%A4%E3%83%B3%E3%83%AF%E3%83%BC%E3%82%AF%E3%82%B9%20%E5%88%9D%E7%89%88%20%E7%94%BB%E9%9B%86&amp;aucminprice=10000</t>
  </si>
  <si>
    <t>https://shopping.yahoo.co.jp/search/%E3%83%80%E3%83%BC%E3%82%AF%E3%82%BD%E3%82%A6%E3%83%AB%20%E3%83%87%E3%82%B6%E3%82%A4%E3%83%B3%E3%83%AF%E3%83%BC%E3%82%AF%E3%82%B9%20%E5%88%9D%E7%89%88%20%E7%94%BB%E9%9B%86/0/?pf=10000</t>
  </si>
  <si>
    <t>当時物 希少 遊戯王OCG マスターコレクション VOLUME 1 2 金 銀</t>
  </si>
  <si>
    <t>Yu-Gi-Oh Master Collection Volume 1 &amp; 2 Gold Silver Rare Vintage Japan Import</t>
  </si>
  <si>
    <t>https://www.ebay.com/sch/i.html?_nkw=Yu-Gi-Oh%20Master%20Collection%20Volume%201&amp;_sacat=0&amp;_from=R40&amp;_sop=15&amp;rt=nc&amp;_udlo=20000</t>
  </si>
  <si>
    <t>https://jp.mercari.com/search?keyword=%E9%81%8A%E6%88%AF%E7%8E%8B%20%E3%83%9E%E3%82%B9%E3%82%BF%E3%83%BC%E3%82%B3%E3%83%AC%E3%82%AF%E3%82%B7%E3%83%A7%E3%83%B3%20VOLUME%201%202%20%E9%87%91%20%E9%8A%80&amp;price_min=10000&amp;sort=price&amp;order=asc&amp;status=on_sale</t>
  </si>
  <si>
    <t>https://fril.jp/s?query=%E9%81%8A%E6%88%AF%E7%8E%8B%20%E3%83%9E%E3%82%B9%E3%82%BF%E3%83%BC%E3%82%B3%E3%83%AC%E3%82%AF%E3%82%B7%E3%83%A7%E3%83%B3%20VOLUME%201%202%20%E9%87%91%20%E9%8A%80&amp;min=10000&amp;transaction=selling</t>
  </si>
  <si>
    <t>https://search.rakuten.co.jp/search/mall/%E9%81%8A%E6%88%AF%E7%8E%8B%20%E3%83%9E%E3%82%B9%E3%82%BF%E3%83%BC%E3%82%B3%E3%83%AC%E3%82%AF%E3%82%B7%E3%83%A7%E3%83%B3%20VOLUME%201%202%20%E9%87%91%20%E9%8A%80/?min=10000</t>
  </si>
  <si>
    <t>https://auctions.yahoo.co.jp/search/search?p=%E9%81%8A%E6%88%AF%E7%8E%8B%20%E3%83%9E%E3%82%B9%E3%82%BF%E3%83%BC%E3%82%B3%E3%83%AC%E3%82%AF%E3%82%B7%E3%83%A7%E3%83%B3%20VOLUME%201%202%20%E9%87%91%20%E9%8A%80&amp;aucminprice=10000</t>
  </si>
  <si>
    <t>https://shopping.yahoo.co.jp/search/%E9%81%8A%E6%88%AF%E7%8E%8B%20%E3%83%9E%E3%82%B9%E3%82%BF%E3%83%BC%E3%82%B3%E3%83%AC%E3%82%AF%E3%82%B7%E3%83%A7%E3%83%B3%20VOLUME%201%202%20%E9%87%91%20%E9%8A%80/0/?pf=10000</t>
  </si>
  <si>
    <t>https://jp.mercari.com/item/m88115783116</t>
  </si>
  <si>
    <t>https://www.ebay.com/sch/i.html?_nkw=NieR+Automata+Play+Arts+Kai+2B+9S+DX&amp;_sacat=0&amp;_from=R40&amp;_trksid=m570.l1313&amp;_udlo=20000&amp;rt=nc&amp;_odkw=NieR+Automata+Play+Arts+Kai&amp;_osacat=0&amp;_sop=15</t>
  </si>
  <si>
    <t>https://paypayfleamarket.yahoo.co.jp/item/z632594980</t>
  </si>
  <si>
    <t>https://paypayfleamarket.yahoo.co.jp/item/z669356130</t>
  </si>
  <si>
    <t>https://jp.mercari.com/item/m42209323111</t>
  </si>
  <si>
    <t>https://auctions.yahoo.co.jp/jp/auction/p1241833965</t>
  </si>
  <si>
    <t>File155</t>
  </si>
  <si>
    <t>Nendoroid NieR Automata 2B 9S A2 Emil 4 Figure Set Good Smile Japan Import</t>
  </si>
  <si>
    <t>File156</t>
  </si>
  <si>
    <t>File157</t>
  </si>
  <si>
    <t>File158</t>
  </si>
  <si>
    <t>File159</t>
  </si>
  <si>
    <t>File160</t>
  </si>
  <si>
    <t>File161</t>
  </si>
  <si>
    <t>File162</t>
  </si>
  <si>
    <t>File163</t>
  </si>
  <si>
    <t>File164</t>
  </si>
  <si>
    <t>https://jp.mercari.com/item/m73396182446</t>
  </si>
  <si>
    <t>https://jp.mercari.com/item/m93449978665</t>
  </si>
  <si>
    <t>https://jp.mercari.com/item/m75055071658</t>
  </si>
  <si>
    <t>https://jp.mercari.com/item/m26325150892</t>
  </si>
  <si>
    <t>https://jp.mercari.com/item/m65818900156</t>
  </si>
  <si>
    <t>https://jp.mercari.com/item/m22461767582</t>
  </si>
  <si>
    <t>https://jp.mercari.com/item/m74777943633</t>
  </si>
  <si>
    <t>https://jp.mercari.com/item/m79633824187</t>
  </si>
  <si>
    <t>https://jp.mercari.com/item/m59562715709</t>
  </si>
  <si>
    <t>https://jp.mercari.com/item/m25317337059</t>
  </si>
  <si>
    <t>希少！ヴァイスシュヴァルツ　ニセコイ　桐崎 千棘 【NK】W30-T07SP</t>
  </si>
  <si>
    <t>https://www.ebay.com/sch/i.html?_nkw=Weiss%20Schwarz%20Nisekoi%20Chitoge%20Kirisaki&amp;_sacat=0&amp;_from=R40&amp;_sop=15&amp;rt=nc&amp;_udlo=20000</t>
  </si>
  <si>
    <t>https://jp.mercari.com/search?keyword=%E3%83%B4%E3%82%A1%E3%82%A4%E3%82%B9%E3%82%B7%E3%83%A5%E3%83%B4%E3%82%A1%E3%83%AB%E3%83%84%20%E3%83%8B%E3%82%BB%E3%82%B3%E3%82%A4%20%E6%A1%90%E5%B4%8E%E5%8D%83%E6%A3%98%20SP&amp;price_min=10000&amp;sort=price&amp;order=asc&amp;status=on_sale</t>
  </si>
  <si>
    <t>https://fril.jp/s?query=%E3%83%B4%E3%82%A1%E3%82%A4%E3%82%B9%E3%82%B7%E3%83%A5%E3%83%B4%E3%82%A1%E3%83%AB%E3%83%84%20%E3%83%8B%E3%82%BB%E3%82%B3%E3%82%A4%20%E6%A1%90%E5%B4%8E%E5%8D%83%E6%A3%98%20SP&amp;min=10000&amp;transaction=selling</t>
  </si>
  <si>
    <t>https://search.rakuten.co.jp/search/mall/%E3%83%B4%E3%82%A1%E3%82%A4%E3%82%B9%E3%82%B7%E3%83%A5%E3%83%B4%E3%82%A1%E3%83%AB%E3%83%84%20%E3%83%8B%E3%82%BB%E3%82%B3%E3%82%A4%20%E6%A1%90%E5%B4%8E%E5%8D%83%E6%A3%98%20SP/?min=10000</t>
  </si>
  <si>
    <t>https://auctions.yahoo.co.jp/search/search?p=%E3%83%B4%E3%82%A1%E3%82%A4%E3%82%B9%E3%82%B7%E3%83%A5%E3%83%B4%E3%82%A1%E3%83%AB%E3%83%84%20%E3%83%8B%E3%82%BB%E3%82%B3%E3%82%A4%20%E6%A1%90%E5%B4%8E%E5%8D%83%E6%A3%98%20SP&amp;aucminprice=10000</t>
  </si>
  <si>
    <t>https://shopping.yahoo.co.jp/search/%E3%83%B4%E3%82%A1%E3%82%A4%E3%82%B9%E3%82%B7%E3%83%A5%E3%83%B4%E3%82%A1%E3%83%AB%E3%83%84%20%E3%83%8B%E3%82%BB%E3%82%B3%E3%82%A4%20%E6%A1%90%E5%B4%8E%E5%8D%83%E6%A3%98%20SP/0/?pf=10000</t>
  </si>
  <si>
    <t>暗月の指輪 TORCH TORCH エルデンリング ELDEN RING 15号</t>
  </si>
  <si>
    <t>https://jp.mercari.com/search?keyword=%E6%9A%97%E6%9C%88%E3%81%AE%E6%8C%87%E8%BC%AA%20TORCH%20TORCH%20%E3%82%A8%E3%83%AB%E3%83%87%E3%83%B3%E3%83%AA%E3%83%B3%E3%82%B0%2015%E5%8F%B7&amp;price_min=10000&amp;sort=price&amp;order=asc&amp;status=on_sale</t>
  </si>
  <si>
    <t>https://fril.jp/s?query=%E6%9A%97%E6%9C%88%E3%81%AE%E6%8C%87%E8%BC%AA%20TORCH%20TORCH%20%E3%82%A8%E3%83%AB%E3%83%87%E3%83%B3%E3%83%AA%E3%83%B3%E3%82%B0%2015%E5%8F%B7&amp;min=10000&amp;transaction=selling</t>
  </si>
  <si>
    <t>https://search.rakuten.co.jp/search/mall/%E6%9A%97%E6%9C%88%E3%81%AE%E6%8C%87%E8%BC%AA%20TORCH%20TORCH%20%E3%82%A8%E3%83%AB%E3%83%87%E3%83%B3%E3%83%AA%E3%83%B3%E3%82%B0%2015%E5%8F%B7/?min=10000</t>
  </si>
  <si>
    <t>https://auctions.yahoo.co.jp/search/search?p=%E6%9A%97%E6%9C%88%E3%81%AE%E6%8C%87%E8%BC%AA%20TORCH%20TORCH%20%E3%82%A8%E3%83%AB%E3%83%87%E3%83%B3%E3%83%AA%E3%83%B3%E3%82%B0%2015%E5%8F%B7&amp;aucminprice=10000</t>
  </si>
  <si>
    <t>https://shopping.yahoo.co.jp/search/%E6%9A%97%E6%9C%88%E3%81%AE%E6%8C%87%E8%BC%AA%20TORCH%20TORCH%20%E3%82%A8%E3%83%AB%E3%83%87%E3%83%B3%E3%83%AA%E3%83%B3%E3%82%B0%2015%E5%8F%B7/0/?pf=10000</t>
  </si>
  <si>
    <t>https://www.ebay.com/sch/i.html?_nkw=Dark%20Souls%20x%20Torch%20Torch&amp;_sacat=0&amp;_from=R40&amp;_sop=15&amp;rt=nc&amp;_udlo=20000</t>
  </si>
  <si>
    <t>https://jp.mercari.com/search?keyword=%E3%83%80%E3%83%BC%E3%82%AF%E3%82%BD%E3%82%A6%E3%83%AB%20TORCH%20TORCH%20%E7%9F%B3%E5%AE%88%E3%81%AE%E3%83%9A%E3%83%B3%E3%83%80%E3%83%B3%E3%83%88&amp;price_min=10000&amp;sort=price&amp;order=asc&amp;status=on_sale</t>
  </si>
  <si>
    <t>https://fril.jp/s?query=%E3%83%80%E3%83%BC%E3%82%AF%E3%82%BD%E3%82%A6%E3%83%AB%20TORCH%20TORCH%20%E7%9F%B3%E5%AE%88%E3%81%AE%E3%83%9A%E3%83%B3%E3%83%80%E3%83%B3%E3%83%88&amp;min=10000&amp;transaction=selling</t>
  </si>
  <si>
    <t>https://search.rakuten.co.jp/search/mall/%E3%83%80%E3%83%BC%E3%82%AF%E3%82%BD%E3%82%A6%E3%83%AB%20TORCH%20TORCH%20%E7%9F%B3%E5%AE%88%E3%81%AE%E3%83%9A%E3%83%B3%E3%83%80%E3%83%B3%E3%83%88/?min=10000</t>
  </si>
  <si>
    <t>https://auctions.yahoo.co.jp/search/search?p=%E3%83%80%E3%83%BC%E3%82%AF%E3%82%BD%E3%82%A6%E3%83%AB%20TORCH%20TORCH%20%E7%9F%B3%E5%AE%88%E3%81%AE%E3%83%9A%E3%83%B3%E3%83%80%E3%83%B3%E3%83%88&amp;aucminprice=10000</t>
  </si>
  <si>
    <t>https://shopping.yahoo.co.jp/search/%E3%83%80%E3%83%BC%E3%82%AF%E3%82%BD%E3%82%A6%E3%83%AB%20TORCH%20TORCH%20%E7%9F%B3%E5%AE%88%E3%81%AE%E3%83%9A%E3%83%B3%E3%83%80%E3%83%B3%E3%83%88/0/?pf=10000</t>
  </si>
  <si>
    <t>DARK SOUL TORCH TORCH 石守のペンダント　ダークソウル</t>
  </si>
  <si>
    <t>https://www.ebay.com/sch/i.html?_nkw=Nendoroid%20Bloodborne%20Hunter%201279%20Figure&amp;_sacat=0&amp;_from=R40&amp;_sop=15&amp;rt=nc&amp;_udlo=20000</t>
  </si>
  <si>
    <t>https://jp.mercari.com/search?keyword=%E3%81%AD%E3%82%93%E3%81%A9%E3%82%8D%E3%81%84%E3%81%A9%20Bloodborne%20%E7%8B%A9%E4%BA%BA%201279&amp;price_min=10000&amp;sort=price&amp;order=asc&amp;status=on_sale</t>
  </si>
  <si>
    <t>https://fril.jp/s?query=%E3%81%AD%E3%82%93%E3%81%A9%E3%82%8D%E3%81%84%E3%81%A9%20Bloodborne%20%E7%8B%A9%E4%BA%BA%201279&amp;min=10000&amp;transaction=selling</t>
  </si>
  <si>
    <t>https://search.rakuten.co.jp/search/mall/%E3%81%AD%E3%82%93%E3%81%A9%E3%82%8D%E3%81%84%E3%81%A9%20Bloodborne%20%E7%8B%A9%E4%BA%BA%201279/?min=10000</t>
  </si>
  <si>
    <t>https://auctions.yahoo.co.jp/search/search?p=%E3%81%AD%E3%82%93%E3%81%A9%E3%82%8D%E3%81%84%E3%81%A9%20Bloodborne%20%E7%8B%A9%E4%BA%BA%201279&amp;aucminprice=10000</t>
  </si>
  <si>
    <t>https://shopping.yahoo.co.jp/search/%E3%81%AD%E3%82%93%E3%81%A9%E3%82%8D%E3%81%84%E3%81%A9%20Bloodborne%20%E7%8B%A9%E4%BA%BA%201279/0/?pf=10000</t>
  </si>
  <si>
    <t>Bloodborne ねんどろいど　人形　フィギュア　202606210721</t>
  </si>
  <si>
    <t>neoplayerone キルラキル 纏流子 ソフビ ネオプレイヤーワン</t>
  </si>
  <si>
    <t>https://jp.mercari.com/search?keyword=%E3%82%AD%E3%83%AB%E3%83%A9%E3%82%AD%E3%83%AB%20%E7%BA%8F%E6%B5%81%E5%AD%90%20%E3%82%BD%E3%83%95%E3%83%93%20neoplayerone&amp;price_min=10000&amp;sort=price&amp;order=asc&amp;status=on_sale</t>
  </si>
  <si>
    <t>https://fril.jp/s?query=%E3%82%AD%E3%83%AB%E3%83%A9%E3%82%AD%E3%83%AB%20%E7%BA%8F%E6%B5%81%E5%AD%90%20%E3%82%BD%E3%83%95%E3%83%93%20neoplayerone&amp;min=10000&amp;transaction=selling</t>
  </si>
  <si>
    <t>https://search.rakuten.co.jp/search/mall/%E3%82%AD%E3%83%AB%E3%83%A9%E3%82%AD%E3%83%AB%20%E7%BA%8F%E6%B5%81%E5%AD%90%20%E3%82%BD%E3%83%95%E3%83%93%20neoplayerone/?min=10000</t>
  </si>
  <si>
    <t>https://auctions.yahoo.co.jp/search/search?p=%E3%82%AD%E3%83%AB%E3%83%A9%E3%82%AD%E3%83%AB%20%E7%BA%8F%E6%B5%81%E5%AD%90%20%E3%82%BD%E3%83%95%E3%83%93%20neoplayerone&amp;aucminprice=10000</t>
  </si>
  <si>
    <t>https://shopping.yahoo.co.jp/search/%E3%82%AD%E3%83%AB%E3%83%A9%E3%82%AD%E3%83%AB%20%E7%BA%8F%E6%B5%81%E5%AD%90%20%E3%82%BD%E3%83%95%E3%83%93%20neoplayerone/0/?pf=10000</t>
  </si>
  <si>
    <t>【未使用美品】Roland AVストリーミングミキサー VR-1HD</t>
  </si>
  <si>
    <t>https://www.ebay.com/sch/i.html?_nkw=Roland%20VR-1HD%20AV%20Streaming%20Mixer&amp;_sacat=0&amp;_from=R40&amp;_sop=15&amp;rt=nc&amp;_udlo=20000</t>
  </si>
  <si>
    <t>https://jp.mercari.com/search?keyword=Roland%20VR-1HD%20AV%E3%83%9F%E3%82%AD%E3%82%B5%E3%83%BC&amp;price_min=10000&amp;sort=price&amp;order=asc&amp;status=on_sale</t>
  </si>
  <si>
    <t>https://fril.jp/s?query=Roland%20VR-1HD%20AV%E3%83%9F%E3%82%AD%E3%82%B5%E3%83%BC&amp;min=10000&amp;transaction=selling</t>
  </si>
  <si>
    <t>https://search.rakuten.co.jp/search/mall/Roland%20VR-1HD%20AV%E3%83%9F%E3%82%AD%E3%82%B5%E3%83%BC/?min=10000</t>
  </si>
  <si>
    <t>https://auctions.yahoo.co.jp/search/search?p=Roland%20VR-1HD%20AV%E3%83%9F%E3%82%AD%E3%82%B5%E3%83%BC&amp;aucminprice=10000</t>
  </si>
  <si>
    <t>https://shopping.yahoo.co.jp/search/Roland%20VR-1HD%20AV%E3%83%9F%E3%82%AD%E3%82%B5%E3%83%BC/0/?pf=10000</t>
  </si>
  <si>
    <t>Myth The Xenogears Orchestral LP ゼノギアス</t>
  </si>
  <si>
    <t>https://www.ebay.com/sch/i.html?_nkw=Myth%20The%20Xenogears%20Orchestral%20Vinyl&amp;_sacat=0&amp;_from=R40&amp;_sop=15&amp;rt=nc&amp;_udlo=20000</t>
  </si>
  <si>
    <t>https://jp.mercari.com/search?keyword=Xenogears%20Orchestral%20LP%20%E3%82%BC%E3%83%8E%E3%82%AE%E3%82%A2%E3%82%B9&amp;price_min=10000&amp;sort=price&amp;order=asc&amp;status=on_sale</t>
  </si>
  <si>
    <t>https://fril.jp/s?query=Xenogears%20Orchestral%20LP%20%E3%82%BC%E3%83%8E%E3%82%AE%E3%82%A2%E3%82%B9&amp;min=10000&amp;transaction=selling</t>
  </si>
  <si>
    <t>https://search.rakuten.co.jp/search/mall/Xenogears%20Orchestral%20LP%20%E3%82%BC%E3%83%8E%E3%82%AE%E3%82%A2%E3%82%B9/?min=10000</t>
  </si>
  <si>
    <t>https://auctions.yahoo.co.jp/search/search?p=Xenogears%20Orchestral%20LP%20%E3%82%BC%E3%83%8E%E3%82%AE%E3%82%A2%E3%82%B9&amp;aucminprice=10000</t>
  </si>
  <si>
    <t>https://shopping.yahoo.co.jp/search/Xenogears%20Orchestral%20LP%20%E3%82%BC%E3%83%8E%E3%82%AE%E3%82%A2%E3%82%B9/0/?pf=10000</t>
  </si>
  <si>
    <t>【未開封】ゼノギアス　CDキャリングケース</t>
  </si>
  <si>
    <t>https://www.ebay.com/sch/i.html?_nkw=Xenogears%20CD%20Carrying%20Case%20Square&amp;_sacat=0&amp;_from=R40&amp;_sop=15&amp;rt=nc&amp;_udlo=20000</t>
  </si>
  <si>
    <t>https://jp.mercari.com/search?keyword=%E3%82%BC%E3%83%8E%E3%82%AE%E3%82%A2%E3%82%B9%20CD%E3%82%AD%E3%83%A3%E3%83%AA%E3%83%B3%E3%82%B0%E3%82%B1%E3%83%BC%E3%82%B9&amp;price_min=10000&amp;sort=price&amp;order=asc&amp;status=on_sale</t>
  </si>
  <si>
    <t>https://fril.jp/s?query=%E3%82%BC%E3%83%8E%E3%82%AE%E3%82%A2%E3%82%B9%20CD%E3%82%AD%E3%83%A3%E3%83%AA%E3%83%B3%E3%82%B0%E3%82%B1%E3%83%BC%E3%82%B9&amp;min=10000&amp;transaction=selling</t>
  </si>
  <si>
    <t>https://search.rakuten.co.jp/search/mall/%E3%82%BC%E3%83%8E%E3%82%AE%E3%82%A2%E3%82%B9%20CD%E3%82%AD%E3%83%A3%E3%83%AA%E3%83%B3%E3%82%B0%E3%82%B1%E3%83%BC%E3%82%B9/?min=10000</t>
  </si>
  <si>
    <t>https://auctions.yahoo.co.jp/search/search?p=%E3%82%BC%E3%83%8E%E3%82%AE%E3%82%A2%E3%82%B9%20CD%E3%82%AD%E3%83%A3%E3%83%AA%E3%83%B3%E3%82%B0%E3%82%B1%E3%83%BC%E3%82%B9&amp;aucminprice=10000</t>
  </si>
  <si>
    <t>https://shopping.yahoo.co.jp/search/%E3%82%BC%E3%83%8E%E3%82%AE%E3%82%A2%E3%82%B9%20CD%E3%82%AD%E3%83%A3%E3%83%AA%E3%83%B3%E3%82%B0%E3%82%B1%E3%83%BC%E3%82%B9/0/?pf=10000</t>
  </si>
  <si>
    <t>味の研究所 ゼノサーガ コスモス Xenosaga ガレージキット</t>
  </si>
  <si>
    <t>https://www.ebay.com/sch/i.html?_nkw=Xenosaga%20KOS-MOS%20Garage%20Kit%20Ajino&amp;_sacat=0&amp;_from=R40&amp;_sop=15&amp;rt=nc&amp;_udlo=20000</t>
  </si>
  <si>
    <t>https://jp.mercari.com/search?keyword=%E3%82%BC%E3%83%8E%E3%82%B5%E3%83%BC%E3%82%AC%20%E3%82%B3%E3%82%B9%E3%83%A2%E3%82%B9%20%E3%82%AC%E3%83%AC%E3%83%BC%E3%82%B8%E3%82%AD%E3%83%83%E3%83%88&amp;price_min=10000&amp;sort=price&amp;order=asc&amp;status=on_sale</t>
  </si>
  <si>
    <t>https://fril.jp/s?query=%E3%82%BC%E3%83%8E%E3%82%B5%E3%83%BC%E3%82%AC%20%E3%82%B3%E3%82%B9%E3%83%A2%E3%82%B9%20%E3%82%AC%E3%83%AC%E3%83%BC%E3%82%B8%E3%82%AD%E3%83%83%E3%83%88&amp;min=10000&amp;transaction=selling</t>
  </si>
  <si>
    <t>https://search.rakuten.co.jp/search/mall/%E3%82%BC%E3%83%8E%E3%82%B5%E3%83%BC%E3%82%AC%20%E3%82%B3%E3%82%B9%E3%83%A2%E3%82%B9%20%E3%82%AC%E3%83%AC%E3%83%BC%E3%82%B8%E3%82%AD%E3%83%83%E3%83%88/?min=10000</t>
  </si>
  <si>
    <t>https://auctions.yahoo.co.jp/search/search?p=%E3%82%BC%E3%83%8E%E3%82%B5%E3%83%BC%E3%82%AC%20%E3%82%B3%E3%82%B9%E3%83%A2%E3%82%B9%20%E3%82%AC%E3%83%AC%E3%83%BC%E3%82%B8%E3%82%AD%E3%83%83%E3%83%88&amp;aucminprice=10000</t>
  </si>
  <si>
    <t>https://shopping.yahoo.co.jp/search/%E3%82%BC%E3%83%8E%E3%82%B5%E3%83%BC%E3%82%AC%20%E3%82%B3%E3%82%B9%E3%83%A2%E3%82%B9%20%E3%82%AC%E3%83%AC%E3%83%BC%E3%82%B8%E3%82%AD%E3%83%83%E3%83%88/0/?pf=10000</t>
  </si>
  <si>
    <t>ALTER Xenosaga III KOS-MOS 可動フィギュア</t>
  </si>
  <si>
    <t>https://www.ebay.com/sch/i.html?_nkw=Xenosaga%20III%20KOS-MOS%20Action%20Figure&amp;_sacat=0&amp;_from=R40&amp;_sop=15&amp;rt=nc&amp;_udlo=20000</t>
  </si>
  <si>
    <t>https://jp.mercari.com/search?keyword=ALTER%20%E3%82%BC%E3%83%8E%E3%82%B5%E3%83%BC%E3%82%AC%20KOS-MOS&amp;price_min=10000&amp;sort=price&amp;order=asc&amp;status=on_sale</t>
  </si>
  <si>
    <t>https://fril.jp/s?query=ALTER%20%E3%82%BC%E3%83%8E%E3%82%B5%E3%83%BC%E3%82%AC%20KOS-MOS&amp;min=10000&amp;transaction=selling</t>
  </si>
  <si>
    <t>https://search.rakuten.co.jp/search/mall/ALTER%20%E3%82%BC%E3%83%8E%E3%82%B5%E3%83%BC%E3%82%AC%20KOS-MOS/?min=10000</t>
  </si>
  <si>
    <t>https://auctions.yahoo.co.jp/search/search?p=ALTER%20%E3%82%BC%E3%83%8E%E3%82%B5%E3%83%BC%E3%82%AC%20KOS-MOS&amp;aucminprice=10000</t>
  </si>
  <si>
    <t>https://shopping.yahoo.co.jp/search/ALTER%20%E3%82%BC%E3%83%8E%E3%82%B5%E3%83%BC%E3%82%AC%20KOS-MOS/0/?pf=10000</t>
  </si>
  <si>
    <t>https://www.ebay.com/sch/i.html?_nkw=Hirogaru%20Sky%20PreCure%20Sky%20Mirage&amp;_sacat=0&amp;_from=R40&amp;_sop=15&amp;rt=nc&amp;_udlo=20000</t>
  </si>
  <si>
    <t>【ひろがるスカイ！プリキュア 】スカイミラージュ　スペシャルセット【新品未使用】</t>
  </si>
  <si>
    <t>https://jp.mercari.com/search?keyword=%E3%81%B2%E3%82%8D%E3%81%8C%E3%82%8B%E3%82%B9%E3%82%AB%E3%82%A4%20%E3%83%97%E3%83%AA%E3%82%AD%E3%83%A5%E3%82%A2%20%E3%82%B9%E3%82%AB%E3%82%A4%E3%83%9F%E3%83%A9%E3%83%BC%E3%82%B8%E3%83%A5%20%E3%82%B9%E3%83%9A%E3%82%B7%E3%83%A3%E3%83%AB%E3%82%BB%E3%83%83%E3%83%88&amp;price_min=10000&amp;sort=price&amp;order=asc&amp;status=on_sale</t>
  </si>
  <si>
    <t>https://fril.jp/s?query=%E3%81%B2%E3%82%8D%E3%81%8C%E3%82%8B%E3%82%B9%E3%82%AB%E3%82%A4%20%E3%83%97%E3%83%AA%E3%82%AD%E3%83%A5%E3%82%A2%20%E3%82%B9%E3%82%AB%E3%82%A4%E3%83%9F%E3%83%A9%E3%83%BC%E3%82%B8%E3%83%A5%20%E3%82%B9%E3%83%9A%E3%82%B7%E3%83%A3%E3%83%AB%E3%82%BB%E3%83%83%E3%83%88&amp;min=10000&amp;transaction=selling</t>
  </si>
  <si>
    <t>https://search.rakuten.co.jp/search/mall/%E3%81%B2%E3%82%8D%E3%81%8C%E3%82%8B%E3%82%B9%E3%82%AB%E3%82%A4%20%E3%83%97%E3%83%AA%E3%82%AD%E3%83%A5%E3%82%A2%20%E3%82%B9%E3%82%AB%E3%82%A4%E3%83%9F%E3%83%A9%E3%83%BC%E3%82%B8%E3%83%A5%20%E3%82%B9%E3%83%9A%E3%82%B7%E3%83%A3%E3%83%AB%E3%82%BB%E3%83%83%E3%83%88/?min=10000</t>
  </si>
  <si>
    <t>https://auctions.yahoo.co.jp/search/search?p=%E3%81%B2%E3%82%8D%E3%81%8C%E3%82%8B%E3%82%B9%E3%82%AB%E3%82%A4%20%E3%83%97%E3%83%AA%E3%82%AD%E3%83%A5%E3%82%A2%20%E3%82%B9%E3%82%AB%E3%82%A4%E3%83%9F%E3%83%A9%E3%83%BC%E3%82%B8%E3%83%A5%20%E3%82%B9%E3%83%9A%E3%82%B7%E3%83%A3%E3%83%AB%E3%82%BB%E3%83%83%E3%83%88&amp;aucminprice=10000</t>
  </si>
  <si>
    <t>https://shopping.yahoo.co.jp/search/%E3%81%B2%E3%82%8D%E3%81%8C%E3%82%8B%E3%82%B9%E3%82%AB%E3%82%A4%20%E3%83%97%E3%83%AA%E3%82%AD%E3%83%A5%E3%82%A2%20%E3%82%B9%E3%82%AB%E3%82%A4%E3%83%9F%E3%83%A9%E3%83%BC%E3%82%B8%E3%83%A5%20%E3%82%B9%E3%83%9A%E3%82%B7%E3%83%A3%E3%83%AB%E3%82%BB%E3%83%83%E3%83%88/0/?pf=10000</t>
  </si>
  <si>
    <t>未開封 フレッシュプリキュア リンクルン 変身ケータイ手帳 希少</t>
  </si>
  <si>
    <t>https://www.ebay.com/sch/i.html?_nkw=Fresh%20PreCure%20Linkrun%20Transformation%20Phone&amp;_sacat=0&amp;_from=R40&amp;_sop=15&amp;rt=nc&amp;_udlo=20000</t>
  </si>
  <si>
    <t>https://jp.mercari.com/search?keyword=%E3%83%95%E3%83%AC%E3%83%83%E3%82%B7%E3%83%A5%E3%83%97%E3%83%AA%E3%82%AD%E3%83%A5%E3%82%A2%20%E3%83%AA%E3%83%B3%E3%82%AF%E3%83%AB%E3%83%B3%20%E5%A4%89%E8%BA%AB%E3%82%B1%E3%83%BC%E3%82%BF%E3%82%A4&amp;price_min=10000&amp;sort=price&amp;order=asc&amp;status=on_sale</t>
  </si>
  <si>
    <t>https://fril.jp/s?query=%E3%83%95%E3%83%AC%E3%83%83%E3%82%B7%E3%83%A5%E3%83%97%E3%83%AA%E3%82%AD%E3%83%A5%E3%82%A2%20%E3%83%AA%E3%83%B3%E3%82%AF%E3%83%AB%E3%83%B3%20%E5%A4%89%E8%BA%AB%E3%82%B1%E3%83%BC%E3%82%BF%E3%82%A4&amp;min=10000&amp;transaction=selling</t>
  </si>
  <si>
    <t>https://search.rakuten.co.jp/search/mall/%E3%83%95%E3%83%AC%E3%83%83%E3%82%B7%E3%83%A5%E3%83%97%E3%83%AA%E3%82%AD%E3%83%A5%E3%82%A2%20%E3%83%AA%E3%83%B3%E3%82%AF%E3%83%AB%E3%83%B3%20%E5%A4%89%E8%BA%AB%E3%82%B1%E3%83%BC%E3%82%BF%E3%82%A4/?min=10000</t>
  </si>
  <si>
    <t>https://auctions.yahoo.co.jp/search/search?p=%E3%83%95%E3%83%AC%E3%83%83%E3%82%B7%E3%83%A5%E3%83%97%E3%83%AA%E3%82%AD%E3%83%A5%E3%82%A2%20%E3%83%AA%E3%83%B3%E3%82%AF%E3%83%AB%E3%83%B3%20%E5%A4%89%E8%BA%AB%E3%82%B1%E3%83%BC%E3%82%BF%E3%82%A4&amp;aucminprice=10000</t>
  </si>
  <si>
    <t>https://shopping.yahoo.co.jp/search/%E3%83%95%E3%83%AC%E3%83%83%E3%82%B7%E3%83%A5%E3%83%97%E3%83%AA%E3%82%AD%E3%83%A5%E3%82%A2%20%E3%83%AA%E3%83%B3%E3%82%AF%E3%83%AB%E3%83%B3%20%E5%A4%89%E8%BA%AB%E3%82%B1%E3%83%BC%E3%82%BF%E3%82%A4/0/?pf=10000</t>
  </si>
  <si>
    <t>未使用　海賊戦隊 ゴーカイジャー　レンジャーキーセット　ムービーエディション</t>
  </si>
  <si>
    <t>https://www.ebay.com/sch/i.html?_nkw=Gokaiger%20Ranger%20Key%20Set%20Movie&amp;_sacat=0&amp;_from=R40&amp;_sop=15&amp;rt=nc&amp;_udlo=20000</t>
  </si>
  <si>
    <t>https://jp.mercari.com/search?keyword=%E3%82%B4%E3%83%BC%E3%82%AB%E3%82%A4%E3%82%B8%E3%83%A3%E3%83%BC%20%E3%83%AC%E3%83%B3%E3%82%B8%E3%83%A3%E3%83%BC%E3%82%AD%E3%83%BC%20%E3%83%A0%E3%83%BC%E3%83%93%E3%83%BC%E3%82%A8%E3%83%87%E3%82%A3%E3%82%B7%E3%83%A7%E3%83%B3&amp;price_min=10000&amp;sort=price&amp;order=asc&amp;status=on_sale</t>
  </si>
  <si>
    <t>https://fril.jp/s?query=%E3%82%B4%E3%83%BC%E3%82%AB%E3%82%A4%E3%82%B8%E3%83%A3%E3%83%BC%20%E3%83%AC%E3%83%B3%E3%82%B8%E3%83%A3%E3%83%BC%E3%82%AD%E3%83%BC%20%E3%83%A0%E3%83%BC%E3%83%93%E3%83%BC%E3%82%A8%E3%83%87%E3%82%A3%E3%82%B7%E3%83%A7%E3%83%B3&amp;min=10000&amp;transaction=selling</t>
  </si>
  <si>
    <t>https://search.rakuten.co.jp/search/mall/%E3%82%B4%E3%83%BC%E3%82%AB%E3%82%A4%E3%82%B8%E3%83%A3%E3%83%BC%20%E3%83%AC%E3%83%B3%E3%82%B8%E3%83%A3%E3%83%BC%E3%82%AD%E3%83%BC%20%E3%83%A0%E3%83%BC%E3%83%93%E3%83%BC%E3%82%A8%E3%83%87%E3%82%A3%E3%82%B7%E3%83%A7%E3%83%B3/?min=10000</t>
  </si>
  <si>
    <t>https://auctions.yahoo.co.jp/search/search?p=%E3%82%B4%E3%83%BC%E3%82%AB%E3%82%A4%E3%82%B8%E3%83%A3%E3%83%BC%20%E3%83%AC%E3%83%B3%E3%82%B8%E3%83%A3%E3%83%BC%E3%82%AD%E3%83%BC%20%E3%83%A0%E3%83%BC%E3%83%93%E3%83%BC%E3%82%A8%E3%83%87%E3%82%A3%E3%82%B7%E3%83%A7%E3%83%B3&amp;aucminprice=10000</t>
  </si>
  <si>
    <t>https://shopping.yahoo.co.jp/search/%E3%82%B4%E3%83%BC%E3%82%AB%E3%82%A4%E3%82%B8%E3%83%A3%E3%83%BC%20%E3%83%AC%E3%83%B3%E3%82%B8%E3%83%A3%E3%83%BC%E3%82%AD%E3%83%BC%20%E3%83%A0%E3%83%BC%E3%83%93%E3%83%BC%E3%82%A8%E3%83%87%E3%82%A3%E3%82%B7%E3%83%A7%E3%83%B3/0/?pf=10000</t>
  </si>
  <si>
    <t>https://jp.mercari.com/item/m40538335479</t>
  </si>
  <si>
    <t>https://www.ebay.com/sch/i.html?_nkw=Elden+Ring+Torch+Torch+15&amp;_sacat=0&amp;_from=R40&amp;_trksid=m570.l1313&amp;_udlo=20000&amp;rt=nc&amp;_odkw=Elden+Ring+x+Torch+Torch+15&amp;_osacat=0&amp;_sop=15</t>
  </si>
  <si>
    <t>https://paypayfleamarket.yahoo.co.jp/item/z647613792</t>
  </si>
  <si>
    <t>https://paypayfleamarket.yahoo.co.jp/item/z652231294</t>
  </si>
  <si>
    <t>https://paypayfleamarket.yahoo.co.jp/item/z659590896</t>
  </si>
  <si>
    <t>https://auctions.yahoo.co.jp/jp/auction/o1216571697</t>
  </si>
  <si>
    <t>https://jp.mercari.com/item/m23296018090</t>
  </si>
  <si>
    <t>https://jp.mercari.com/shops/product/2JQVXL6WnR79hdoatoUi4g</t>
  </si>
  <si>
    <t>https://jp.mercari.com/item/m65028686644</t>
  </si>
  <si>
    <t>File165</t>
  </si>
  <si>
    <t>Weiss Schwarz Nisekoi Chitoge Kirisaki SP W30-T07SP Signed Anime TCG Card Japan</t>
  </si>
  <si>
    <t>File166</t>
  </si>
  <si>
    <t>Elden Ring Torch Torch Dark Moon Ring Silver 925 Size 15 FromSoftware Ring Japan</t>
  </si>
  <si>
    <t>File167</t>
  </si>
  <si>
    <t>Dark Souls Torch Torch Stone Guardian Pendant Sterling Silver 925 Necklace Japan</t>
  </si>
  <si>
    <t>File168</t>
  </si>
  <si>
    <t>Nendoroid Bloodborne Hunter 1279 Action Figure Good Smile Company Anime Japan</t>
  </si>
  <si>
    <t>File169</t>
  </si>
  <si>
    <t>Kill la Kill Ryuko Matoi Sofubi Vinyl Figure Neo Player One Anime Statue Japan</t>
  </si>
  <si>
    <t>File170</t>
  </si>
  <si>
    <t>Roland VR-1HD AV Streaming Mixer HDMI Video Switcher Live Production Japan</t>
  </si>
  <si>
    <t>File171</t>
  </si>
  <si>
    <t>Myth The Xenogears Orchestral Vinyl LP Record Soundtrack OST Square Enix Japan</t>
  </si>
  <si>
    <t>File172</t>
  </si>
  <si>
    <t>Xenogears CD Carrying Case Square Enix PS1 RPG Rare Promo Novelty Japan Import</t>
  </si>
  <si>
    <t>File173</t>
  </si>
  <si>
    <t>Xenosaga KOS-MOS Resin Garage Kit Ajino Kenkyujo Anime Figure Statue Japan</t>
  </si>
  <si>
    <t>File174</t>
  </si>
  <si>
    <t>Xenosaga III KOS-MOS Ver.4 Action Figure Alter Anime Statue Collectible Japan</t>
  </si>
  <si>
    <t>File175</t>
  </si>
  <si>
    <t>Hirogaru Sky PreCure Sky Mirage Special Set Transformation Toy Bandai Japan</t>
  </si>
  <si>
    <t>File176</t>
  </si>
  <si>
    <t>Fresh PreCure Linkrun Transformation Phone Toy Cure Peach Bandai Japan Import</t>
  </si>
  <si>
    <t>File177</t>
  </si>
  <si>
    <t>Gokaiger Ranger Key Set Movie Edition Super Sentai Power Rangers Bandai Japan</t>
  </si>
  <si>
    <t>安仕入れ5の画像も使うヤスシイガゾウツカ</t>
  </si>
  <si>
    <t>2月</t>
    <rPh sb="1" eb="2">
      <t>ガツ</t>
    </rPh>
    <phoneticPr fontId="1"/>
  </si>
  <si>
    <t>ドラゴンクエスト the DIVE ピンバッジ</t>
  </si>
  <si>
    <t>https://www.ebay.com/itm/377347357714?nordt=true&amp;orig_cvip=true&amp;rt=nc</t>
  </si>
  <si>
    <t>https://www.ebay.com/sch/i.html?_nkw=Dragon+Quest+DIVE+Pin+Badge&amp;_sacat=0&amp;_sop=15</t>
  </si>
  <si>
    <t>https://jp.mercari.com/item/m46648898173</t>
  </si>
  <si>
    <t>https://paypayfleamarket.yahoo.co.jp/item/z670096282</t>
  </si>
  <si>
    <t>https://jp.mercari.com/item/m64724789436</t>
  </si>
  <si>
    <t>https://jp.mercari.com/item/m94637336218</t>
  </si>
  <si>
    <t>https://paypayfleamarket.yahoo.co.jp/item/z669176922</t>
  </si>
  <si>
    <t>https://jp.mercari.com/search?keyword=%E3%83%89%E3%83%A9%E3%82%B4%E3%83%B3%E3%82%AF%E3%82%A8%E3%82%B9%E3%83%88%20the%20DIVE%20%E3%83%94%E3%83%B3%E3%83%90%E3%83%83%E3%82%B8&amp;status=on_sale&amp;sort=price&amp;order=asc</t>
  </si>
  <si>
    <t>https://fril.jp/s?query=%E3%83%89%E3%83%A9%E3%82%B4%E3%83%B3%E3%82%AF%E3%82%A8%E3%82%B9%E3%83%88+the+DIVE+%E3%83%94%E3%83%B3%E3%83%90%E3%83%83%E3%82%B8&amp;transaction=selling&amp;sort=relevance&amp;order=desc</t>
  </si>
  <si>
    <t>https://search.rakuten.co.jp/search/mall/%E3%83%89%E3%83%A9%E3%82%B4%E3%83%B3%E3%82%AF%E3%82%A8%E3%82%B9%E3%83%88%20the%20DIVE%20%E3%83%94%E3%83%B3%E3%83%90%E3%83%83%E3%82%B8/</t>
  </si>
  <si>
    <t>https://auctions.yahoo.co.jp/search/search?p=%E3%83%89%E3%83%A9%E3%82%B4%E3%83%B3%E3%82%AF%E3%82%A8%E3%82%B9%E3%83%88%20the%20DIVE%20%E3%83%94%E3%83%B3%E3%83%90%E3%83%83%E3%82%B8&amp;s1=cbids&amp;o1=a</t>
  </si>
  <si>
    <t>https://paypayfleamarket.yahoo.co.jp/search/%E3%83%89%E3%83%A9%E3%82%B4%E3%83%B3%E3%82%AF%E3%82%A8%E3%82%B9%E3%83%88%20the%20DIVE%20%E3%83%94%E3%83%B3%E3%83%90%E3%83%83%E3%82%B8?sort=price&amp;order=asc&amp;open=1</t>
  </si>
  <si>
    <t>BRAVE EXVIUS Art Works</t>
  </si>
  <si>
    <t>https://www.ebay.com/itm/205960875536?nordt=true&amp;orig_cvip=true&amp;rt=nc</t>
  </si>
  <si>
    <t>https://www.ebay.com/sch/i.html?_nkw=Brave+Exvius+Art+Works&amp;_sacat=0&amp;_sop=15</t>
  </si>
  <si>
    <t>https://jp.mercari.com/shops/product/WzF8rQeAt2Jqu7RuTujxz6</t>
  </si>
  <si>
    <t>https://jp.mercari.com/search?keyword=BRAVE%20EXVIUS%20Art%20Works&amp;status=on_sale&amp;sort=price&amp;order=asc</t>
  </si>
  <si>
    <t>https://fril.jp/s?query=BRAVE+EXVIUS+Art+Works&amp;transaction=selling&amp;sort=relevance&amp;order=desc</t>
  </si>
  <si>
    <t>https://search.rakuten.co.jp/search/mall/BRAVE%20EXVIUS%20Art%20Works/</t>
  </si>
  <si>
    <t>https://auctions.yahoo.co.jp/search/search?p=BRAVE%20EXVIUS%20Art%20Works&amp;s1=cbids&amp;o1=a</t>
  </si>
  <si>
    <t>https://paypayfleamarket.yahoo.co.jp/search/BRAVE%20EXVIUS%20Art%20Works?sort=price&amp;order=asc&amp;open=1</t>
  </si>
  <si>
    <t>シルバニアファミリー 和服セット 20周年</t>
  </si>
  <si>
    <t>https://www.ebay.com/itm/389348272188?nordt=true&amp;orig_cvip=true&amp;rt=nc</t>
  </si>
  <si>
    <t>https://www.ebay.com/sch/i.html?_nkw=Sylvanian+Families+20th+Anniversary+Kimono&amp;_sacat=0&amp;_sop=15</t>
  </si>
  <si>
    <t>https://jp.mercari.com/item/m49325383635</t>
  </si>
  <si>
    <t>https://auctions.yahoo.co.jp/jp/auction/u1215772823</t>
  </si>
  <si>
    <t>https://paypayfleamarket.yahoo.co.jp/item/z613695116</t>
  </si>
  <si>
    <t>https://auctions.yahoo.co.jp/jp/auction/q1187885671</t>
  </si>
  <si>
    <t>https://jp.mercari.com/search?keyword=%E3%82%B7%E3%83%AB%E3%83%90%E3%83%8B%E3%82%A2%E3%83%95%E3%82%A1%E3%83%9F%E3%83%AA%E3%83%BC%20%E5%92%8C%E6%9C%8D%E3%82%BB%E3%83%83%E3%83%88%2020%E5%91%A8%E5%B9%B4&amp;status=on_sale&amp;sort=price&amp;order=asc</t>
  </si>
  <si>
    <t>https://fril.jp/s?query=%E3%82%B7%E3%83%AB%E3%83%90%E3%83%8B%E3%82%A2%E3%83%95%E3%82%A1%E3%83%9F%E3%83%AA%E3%83%BC+%E5%92%8C%E6%9C%8D%E3%82%BB%E3%83%83%E3%83%88+20%E5%91%A8%E5%B9%B4&amp;transaction=selling&amp;sort=relevance&amp;order=desc</t>
  </si>
  <si>
    <t>https://search.rakuten.co.jp/search/mall/%E3%82%B7%E3%83%AB%E3%83%90%E3%83%8B%E3%82%A2%E3%83%95%E3%82%A1%E3%83%9F%E3%83%AA%E3%83%BC%20%E5%92%8C%E6%9C%8D%E3%82%BB%E3%83%83%E3%83%88%2020%E5%91%A8%E5%B9%B4/</t>
  </si>
  <si>
    <t>https://auctions.yahoo.co.jp/search/search?p=%E3%82%B7%E3%83%AB%E3%83%90%E3%83%8B%E3%82%A2%E3%83%95%E3%82%A1%E3%83%9F%E3%83%AA%E3%83%BC%20%E5%92%8C%E6%9C%8D%E3%82%BB%E3%83%83%E3%83%88%2020%E5%91%A8%E5%B9%B4&amp;s1=cbids&amp;o1=a</t>
  </si>
  <si>
    <t>https://paypayfleamarket.yahoo.co.jp/search/%E3%82%B7%E3%83%AB%E3%83%90%E3%83%8B%E3%82%A2%E3%83%95%E3%82%A1%E3%83%9F%E3%83%AA%E3%83%BC%20%E5%92%8C%E6%9C%8D%E3%82%BB%E3%83%83%E3%83%88%2020%E5%91%A8%E5%B9%B4?sort=price&amp;order=asc&amp;open=1</t>
  </si>
  <si>
    <t>GODZILLA PERFECT COLLECTION BOX5</t>
  </si>
  <si>
    <t>https://www.ebay.com/itm/335911011366?nordt=true&amp;orig_cvip=true&amp;rt=nc</t>
  </si>
  <si>
    <t>https://www.ebay.com/sch/i.html?_nkw=Godzilla+Perfect+Collection+BOX5&amp;_sacat=0&amp;_sop=15</t>
  </si>
  <si>
    <t>https://paypayfleamarket.yahoo.co.jp/item/z621184826</t>
  </si>
  <si>
    <t>https://jp.mercari.com/search?keyword=GODZILLA%20PERFECT%20COLLECTION%20BOX5&amp;status=on_sale&amp;sort=price&amp;order=asc</t>
  </si>
  <si>
    <t>https://fril.jp/s?query=GODZILLA+PERFECT+COLLECTION+BOX5&amp;transaction=selling&amp;sort=relevance&amp;order=desc</t>
  </si>
  <si>
    <t>https://search.rakuten.co.jp/search/mall/GODZILLA%20PERFECT%20COLLECTION%20BOX5/</t>
  </si>
  <si>
    <t>https://auctions.yahoo.co.jp/search/search?p=GODZILLA%20PERFECT%20COLLECTION%20BOX5&amp;s1=cbids&amp;o1=a</t>
  </si>
  <si>
    <t>https://paypayfleamarket.yahoo.co.jp/search/GODZILLA%20PERFECT%20COLLECTION%20BOX5?sort=price&amp;order=asc&amp;open=1</t>
  </si>
  <si>
    <t>コードギアス 15周年 Blu-ray BOX</t>
  </si>
  <si>
    <t>https://www.ebay.com/itm/365234529365?nordt=true&amp;orig_cvip=true&amp;rt=nc</t>
  </si>
  <si>
    <t>https://www.ebay.com/sch/i.html?_nkw=Code+Geass+15th+Anniversary+Blu-ray&amp;_sacat=0&amp;_sop=15</t>
  </si>
  <si>
    <t>https://auctions.yahoo.co.jp/jp/auction/e1221752042</t>
  </si>
  <si>
    <t>https://jp.mercari.com/search?keyword=%E3%82%B3%E3%83%BC%E3%83%89%E3%82%AE%E3%82%A2%E3%82%B9%2015%E5%91%A8%E5%B9%B4%20Blu-ray%20BOX&amp;status=on_sale&amp;sort=price&amp;order=asc</t>
  </si>
  <si>
    <t>https://fril.jp/s?query=%E3%82%B3%E3%83%BC%E3%83%89%E3%82%AE%E3%82%A2%E3%82%B9+15%E5%91%A8%E5%B9%B4+Blu-ray+BOX&amp;transaction=selling&amp;sort=relevance&amp;order=desc</t>
  </si>
  <si>
    <t>https://search.rakuten.co.jp/search/mall/%E3%82%B3%E3%83%BC%E3%83%89%E3%82%AE%E3%82%A2%E3%82%B9%2015%E5%91%A8%E5%B9%B4%20Blu-ray%20BOX/</t>
  </si>
  <si>
    <t>https://auctions.yahoo.co.jp/search/search?p=%E3%82%B3%E3%83%BC%E3%83%89%E3%82%AE%E3%82%A2%E3%82%B9%2015%E5%91%A8%E5%B9%B4%20Blu-ray%20BOX&amp;s1=cbids&amp;o1=a</t>
  </si>
  <si>
    <t>https://paypayfleamarket.yahoo.co.jp/search/%E3%82%B3%E3%83%BC%E3%83%89%E3%82%AE%E3%82%A2%E3%82%B9%2015%E5%91%A8%E5%B9%B4%20Blu-ray%20BOX?sort=price&amp;order=asc&amp;open=1</t>
  </si>
  <si>
    <t>星のカービィ 25周年 オーケストラコンサート</t>
  </si>
  <si>
    <t>https://www.ebay.com/itm/800130594131?nordt=true&amp;orig_cvip=true&amp;rt=nc</t>
  </si>
  <si>
    <t>https://www.ebay.com/sch/i.html?_nkw=Kirby+25th+Anniversary+Orchestra+Concert&amp;_sacat=0&amp;_sop=15</t>
  </si>
  <si>
    <t>https://jp.mercari.com/shops/product/8qHaRzQ6rE9NBJc9hYYuhf</t>
  </si>
  <si>
    <t>https://jp.mercari.com/shops/product/2JV9aptVAKzis7Y3bj4H7S</t>
  </si>
  <si>
    <t>https://jp.mercari.com/search?keyword=%E6%98%9F%E3%81%AE%E3%82%AB%E3%83%BC%E3%83%93%E3%82%A3%2025%E5%91%A8%E5%B9%B4%20%E3%82%AA%E3%83%BC%E3%82%B1%E3%82%B9%E3%83%88%E3%83%A9%E3%82%B3%E3%83%B3%E3%82%B5%E3%83%BC%E3%83%88&amp;status=on_sale&amp;sort=price&amp;order=asc</t>
  </si>
  <si>
    <t>https://fril.jp/s?query=%E6%98%9F%E3%81%AE%E3%82%AB%E3%83%BC%E3%83%93%E3%82%A3+25%E5%91%A8%E5%B9%B4+%E3%82%AA%E3%83%BC%E3%82%B1%E3%82%B9%E3%83%88%E3%83%A9%E3%82%B3%E3%83%B3%E3%82%B5%E3%83%BC%E3%83%88&amp;transaction=selling&amp;sort=relevance&amp;order=desc</t>
  </si>
  <si>
    <t>https://search.rakuten.co.jp/search/mall/%E6%98%9F%E3%81%AE%E3%82%AB%E3%83%BC%E3%83%93%E3%82%A3%2025%E5%91%A8%E5%B9%B4%20%E3%82%AA%E3%83%BC%E3%82%B1%E3%82%B9%E3%83%88%E3%83%A9%E3%82%B3%E3%83%B3%E3%82%B5%E3%83%BC%E3%83%88/</t>
  </si>
  <si>
    <t>https://auctions.yahoo.co.jp/search/search?p=%E6%98%9F%E3%81%AE%E3%82%AB%E3%83%BC%E3%83%93%E3%82%A3%2025%E5%91%A8%E5%B9%B4%20%E3%82%AA%E3%83%BC%E3%82%B1%E3%82%B9%E3%83%88%E3%83%A9%E3%82%B3%E3%83%B3%E3%82%B5%E3%83%BC%E3%83%88&amp;s1=cbids&amp;o1=a</t>
  </si>
  <si>
    <t>https://paypayfleamarket.yahoo.co.jp/search/%E6%98%9F%E3%81%AE%E3%82%AB%E3%83%BC%E3%83%93%E3%82%A3%2025%E5%91%A8%E5%B9%B4%20%E3%82%AA%E3%83%BC%E3%82%B1%E3%82%B9%E3%83%88%E3%83%A9%E3%82%B3%E3%83%B3%E3%82%B5%E3%83%BC%E3%83%88?sort=price&amp;order=asc&amp;open=1</t>
  </si>
  <si>
    <t>BLEACH Brave Souls Artworks</t>
  </si>
  <si>
    <t>https://www.ebay.com/itm/388070649448?nordt=true&amp;orig_cvip=true&amp;rt=nc&amp;autorefresh=true</t>
  </si>
  <si>
    <t>https://www.ebay.com/sch/i.html?_nkw=BLEACH+Brave+Souls+Official+Artworks&amp;_sacat=0&amp;_sop=15</t>
  </si>
  <si>
    <t>https://jp.mercari.com/item/m62618445984</t>
  </si>
  <si>
    <t>https://jp.mercari.com/item/m45541254096</t>
  </si>
  <si>
    <t>https://jp.mercari.com/item/m66237112590</t>
  </si>
  <si>
    <t>https://jp.mercari.com/search?keyword=BLEACH%20Brave%20Souls%20Artworks&amp;status=on_sale&amp;sort=price&amp;order=asc</t>
  </si>
  <si>
    <t>https://fril.jp/s?query=BLEACH+Brave+Souls+Artworks&amp;transaction=selling&amp;sort=relevance&amp;order=desc</t>
  </si>
  <si>
    <t>https://search.rakuten.co.jp/search/mall/BLEACH%20Brave%20Souls%20Artworks/</t>
  </si>
  <si>
    <t>https://auctions.yahoo.co.jp/search/search?p=BLEACH%20Brave%20Souls%20Artworks&amp;s1=cbids&amp;o1=a</t>
  </si>
  <si>
    <t>https://paypayfleamarket.yahoo.co.jp/search/BLEACH%20Brave%20Souls%20Artworks?sort=price&amp;order=asc&amp;open=1</t>
  </si>
  <si>
    <t>Fate EXTELLA LINK 月の聖牌</t>
  </si>
  <si>
    <t>https://www.ebay.com/itm/395793012804?nordt=true&amp;orig_cvip=true&amp;rt=nc</t>
  </si>
  <si>
    <t>https://www.ebay.com/sch/i.html?_nkw=Fate+EXTELLA+LINK+Mahjong+Tiles&amp;_sacat=0&amp;_sop=15</t>
  </si>
  <si>
    <t>https://jp.mercari.com/item/m41131274142</t>
  </si>
  <si>
    <t>https://auctions.yahoo.co.jp/jp/auction/q1226595983</t>
  </si>
  <si>
    <t>https://auctions.yahoo.co.jp/jp/auction/w1236002652</t>
  </si>
  <si>
    <t>https://jp.mercari.com/search?keyword=Fate%20EXTELLA%20LINK%20%E6%9C%88%E3%81%AE%E8%81%96%E7%89%8C&amp;status=on_sale&amp;sort=price&amp;order=asc</t>
  </si>
  <si>
    <t>https://fril.jp/s?query=Fate+EXTELLA+LINK+%E6%9C%88%E3%81%AE%E8%81%96%E7%89%8C&amp;transaction=selling&amp;sort=relevance&amp;order=desc</t>
  </si>
  <si>
    <t>https://search.rakuten.co.jp/search/mall/Fate%20EXTELLA%20LINK%20%E6%9C%88%E3%81%AE%E8%81%96%E7%89%8C/</t>
  </si>
  <si>
    <t>https://auctions.yahoo.co.jp/search/search?p=Fate%20EXTELLA%20LINK%20%E6%9C%88%E3%81%AE%E8%81%96%E7%89%8C&amp;s1=cbids&amp;o1=a</t>
  </si>
  <si>
    <t>https://paypayfleamarket.yahoo.co.jp/search/Fate%20EXTELLA%20LINK%20%E6%9C%88%E3%81%AE%E8%81%96%E7%89%8C?sort=price&amp;order=asc&amp;open=1</t>
  </si>
  <si>
    <t>ねんどろいど やさぐれ凛 Fate/stay night</t>
  </si>
  <si>
    <t>https://www.ebay.com/itm/394584211700?nordt=true&amp;orig_cvip=true&amp;rt=nc</t>
  </si>
  <si>
    <t>https://www.ebay.com/sch/i.html?_nkw=Nendoroid+Yasagure+Rin+Fate&amp;_sacat=0&amp;_sop=15</t>
  </si>
  <si>
    <t>https://auctions.yahoo.co.jp/jp/auction/k1240710179</t>
  </si>
  <si>
    <t>https://auctions.yahoo.co.jp/jp/auction/x1238766404</t>
  </si>
  <si>
    <t>https://jp.mercari.com/search?keyword=%E3%81%AD%E3%82%93%E3%81%A9%E3%82%8D%E3%81%84%E3%81%A9%20%E3%82%84%E3%81%95%E3%81%90%E3%82%8C%E5%87%9B%20Fate%2Fstay%20night&amp;status=on_sale&amp;sort=price&amp;order=asc</t>
  </si>
  <si>
    <t>https://fril.jp/s?query=%E3%81%AD%E3%82%93%E3%81%A9%E3%82%8D%E3%81%84%E3%81%A9+%E3%82%84%E3%81%95%E3%81%90%E3%82%8C%E5%87%9B+Fate%2Fstay+night&amp;transaction=selling&amp;sort=relevance&amp;order=desc</t>
  </si>
  <si>
    <t>https://search.rakuten.co.jp/search/mall/%E3%81%AD%E3%82%93%E3%81%A9%E3%82%8D%E3%81%84%E3%81%A9%20%E3%82%84%E3%81%95%E3%81%90%E3%82%8C%E5%87%9B%20Fate%2Fstay%20night/</t>
  </si>
  <si>
    <t>https://auctions.yahoo.co.jp/search/search?p=%E3%81%AD%E3%82%93%E3%81%A9%E3%82%8D%E3%81%84%E3%81%A9%20%E3%82%84%E3%81%95%E3%81%90%E3%82%8C%E5%87%9B%20Fate%2Fstay%20night&amp;s1=cbids&amp;o1=a</t>
  </si>
  <si>
    <t>https://paypayfleamarket.yahoo.co.jp/search/%E3%81%AD%E3%82%93%E3%81%A9%E3%82%8D%E3%81%84%E3%81%A9%20%E3%82%84%E3%81%95%E3%81%90%E3%82%8C%E5%87%9B%20Fate%2Fstay%20night?sort=price&amp;order=asc&amp;open=1</t>
  </si>
  <si>
    <t>figma 051 衛宮士郎 私服ver</t>
  </si>
  <si>
    <t>https://www.ebay.com/itm/365492391743?nordt=true&amp;orig_cvip=true&amp;rt=nc</t>
  </si>
  <si>
    <t>https://www.ebay.com/sch/i.html?_nkw=figma+051+Shirou+Emiya&amp;_sacat=0&amp;_sop=15</t>
  </si>
  <si>
    <t>https://auctions.yahoo.co.jp/jp/auction/b1242078716</t>
  </si>
  <si>
    <t>https://jp.mercari.com/search?keyword=figma%20051%20%E8%A1%9B%E5%AE%AE%E5%A3%AB%E9%83%8E%20%E7%A7%81%E6%9C%8Dver&amp;status=on_sale&amp;sort=price&amp;order=asc</t>
  </si>
  <si>
    <t>https://fril.jp/s?query=figma+051+%E8%A1%9B%E5%AE%AE%E5%A3%AB%E9%83%8E+%E7%A7%81%E6%9C%8Dver&amp;transaction=selling&amp;sort=relevance&amp;order=desc</t>
  </si>
  <si>
    <t>https://search.rakuten.co.jp/search/mall/figma%20051%20%E8%A1%9B%E5%AE%AE%E5%A3%AB%E9%83%8E%20%E7%A7%81%E6%9C%8Dver/</t>
  </si>
  <si>
    <t>https://auctions.yahoo.co.jp/search/search?p=figma%20051%20%E8%A1%9B%E5%AE%AE%E5%A3%AB%E9%83%8E%20%E7%A7%81%E6%9C%8Dver&amp;s1=cbids&amp;o1=a</t>
  </si>
  <si>
    <t>https://paypayfleamarket.yahoo.co.jp/search/figma%20051%20%E8%A1%9B%E5%AE%AE%E5%A3%AB%E9%83%8E%20%E7%A7%81%E6%9C%8Dver?sort=price&amp;order=asc&amp;open=1</t>
  </si>
  <si>
    <t>https://jp.mercari.com/item/m76477700360</t>
  </si>
  <si>
    <t>https://jp.mercari.com/item/m45896576943</t>
  </si>
  <si>
    <t>https://jp.mercari.com/item/m10684992536</t>
  </si>
  <si>
    <t>https://jp.mercari.com/item/m27486572849</t>
  </si>
  <si>
    <t>https://jp.mercari.com/item/m37466379408</t>
  </si>
  <si>
    <t>https://jp.mercari.com/item/m85151108193</t>
  </si>
  <si>
    <t>https://jp.mercari.com/item/m34103566419</t>
  </si>
  <si>
    <t>https://jp.mercari.com/item/m48375476425</t>
  </si>
  <si>
    <t>https://jp.mercari.com/item/m11113934068</t>
  </si>
  <si>
    <t>https://jp.mercari.com/item/m49642400869</t>
  </si>
  <si>
    <t>絶版 エブロ 1/20 ロブ・ウォーカー・ロータス 72C・フォード Ebbro</t>
  </si>
  <si>
    <t>Ebbro 1/20 Rob Walker Lotus 72C Ford F1 Plastic Model Kit Rare OOP Japan Import</t>
  </si>
  <si>
    <t>https://www.ebay.com/sch/i.html?_nkw=Ebbro%201/20%20Rob%20Walker%20Lotus&amp;_sacat=0&amp;_from=R40&amp;_sop=15&amp;rt=nc&amp;_udlo=20000</t>
  </si>
  <si>
    <t>https://jp.mercari.com/search?keyword=%E3%82%A8%E3%83%96%E3%83%AD%201/20%20%E3%83%AD%E3%83%96%E3%82%A6%E3%82%A9%E3%83%BC%E3%82%AB%E3%83%BC%20%E3%83%AD%E3%83%BC%E3%82%BF%E3%82%B9%2072C&amp;price_min=10000&amp;sort=price&amp;order=asc&amp;status=on_sale</t>
  </si>
  <si>
    <t>https://fril.jp/s?query=%E3%82%A8%E3%83%96%E3%83%AD%201/20%20%E3%83%AD%E3%83%96%E3%82%A6%E3%82%A9%E3%83%BC%E3%82%AB%E3%83%BC%20%E3%83%AD%E3%83%BC%E3%82%BF%E3%82%B9%2072C&amp;min=10000&amp;transaction=selling</t>
  </si>
  <si>
    <t>https://search.rakuten.co.jp/search/mall/%E3%82%A8%E3%83%96%E3%83%AD%201/20%20%E3%83%AD%E3%83%96%E3%82%A6%E3%82%A9%E3%83%BC%E3%82%AB%E3%83%BC%20%E3%83%AD%E3%83%BC%E3%82%BF%E3%82%B9%2072C/?min=10000</t>
  </si>
  <si>
    <t>https://auctions.yahoo.co.jp/search/search?p=%E3%82%A8%E3%83%96%E3%83%AD%201/20%20%E3%83%AD%E3%83%96%E3%82%A6%E3%82%A9%E3%83%BC%E3%82%AB%E3%83%BC%20%E3%83%AD%E3%83%BC%E3%82%BF%E3%82%B9%2072C&amp;aucminprice=10000</t>
  </si>
  <si>
    <t>https://shopping.yahoo.co.jp/search/%E3%82%A8%E3%83%96%E3%83%AD%201/20%20%E3%83%AD%E3%83%96%E3%82%A6%E3%82%A9%E3%83%BC%E3%82%AB%E3%83%BC%20%E3%83%AD%E3%83%BC%E3%82%BF%E3%82%B9%2072C/0/?pf=10000</t>
  </si>
  <si>
    <t>ロケット団のニャース CD ニャースのパーティ プロモ</t>
  </si>
  <si>
    <t>https://www.ebay.com/itm/188678363037?nordt=true&amp;orig_cvip=true&amp;rt=nc</t>
  </si>
  <si>
    <t>https://www.ebay.com/sch/i.html?_nkw=Team+Rocket+Meowth+CD+Promo&amp;_sacat=0&amp;_sop=15</t>
  </si>
  <si>
    <t>https://paypayfleamarket.yahoo.co.jp/item/z670218862</t>
  </si>
  <si>
    <t>https://jp.mercari.com/shops/product/2JVysme9MsfBu7Ln4HdNs3</t>
  </si>
  <si>
    <t>https://jp.mercari.com/search?keyword=%E3%83%AD%E3%82%B1%E3%83%83%E3%83%88%E5%9B%A3%E3%81%AE%E3%83%8B%E3%83%A3%E3%83%BC%E3%82%B9%20CD%20%E3%83%8B%E3%83%A3%E3%83%BC%E3%82%B9%E3%81%AE%E3%83%91%E3%83%BC%E3%83%86%E3%82%A3%20%E3%83%97%E3%83%AD%E3%83%A2&amp;status=on_sale&amp;sort=price&amp;order=asc</t>
  </si>
  <si>
    <t>https://fril.jp/s?query=%E3%83%AD%E3%82%B1%E3%83%83%E3%83%88%E5%9B%A3%E3%81%AE%E3%83%8B%E3%83%A3%E3%83%BC%E3%82%B9+CD+%E3%83%8B%E3%83%A3%E3%83%BC%E3%82%B9%E3%81%AE%E3%83%91%E3%83%BC%E3%83%86%E3%82%A3+%E3%83%97%E3%83%AD%E3%83%A2&amp;transaction=selling&amp;sort=relevance&amp;order=desc</t>
  </si>
  <si>
    <t>https://search.rakuten.co.jp/search/mall/%E3%83%AD%E3%82%B1%E3%83%83%E3%83%88%E5%9B%A3%E3%81%AE%E3%83%8B%E3%83%A3%E3%83%BC%E3%82%B9%20CD%20%E3%83%8B%E3%83%A3%E3%83%BC%E3%82%B9%E3%81%AE%E3%83%91%E3%83%BC%E3%83%86%E3%82%A3%20%E3%83%97%E3%83%AD%E3%83%A2/</t>
  </si>
  <si>
    <t>https://auctions.yahoo.co.jp/search/search?p=%E3%83%AD%E3%82%B1%E3%83%83%E3%83%88%E5%9B%A3%E3%81%AE%E3%83%8B%E3%83%A3%E3%83%BC%E3%82%B9%20CD%20%E3%83%8B%E3%83%A3%E3%83%BC%E3%82%B9%E3%81%AE%E3%83%91%E3%83%BC%E3%83%86%E3%82%A3%20%E3%83%97%E3%83%AD%E3%83%A2&amp;s1=cbids&amp;o1=a</t>
  </si>
  <si>
    <t>https://paypayfleamarket.yahoo.co.jp/search/%E3%83%AD%E3%82%B1%E3%83%83%E3%83%88%E5%9B%A3%E3%81%AE%E3%83%8B%E3%83%A3%E3%83%BC%E3%82%B9%20CD%20%E3%83%8B%E3%83%A3%E3%83%BC%E3%82%B9%E3%81%AE%E3%83%91%E3%83%BC%E3%83%86%E3%82%A3%20%E3%83%97%E3%83%AD%E3%83%A2?sort=price&amp;order=asc&amp;open=1</t>
  </si>
  <si>
    <t>ミラクルアクションフィギュア ジャイアントロボ 草間大作</t>
  </si>
  <si>
    <t>https://www.ebay.com/itm/327166226559?nordt=true&amp;orig_cvip=true&amp;rt=nc</t>
  </si>
  <si>
    <t>https://www.ebay.com/sch/i.html?_nkw=Miracle+Action+Figure+Giant+Robo&amp;_sacat=0&amp;_sop=15</t>
  </si>
  <si>
    <t>https://jp.mercari.com/item/m97537300821</t>
  </si>
  <si>
    <t>https://auctions.yahoo.co.jp/jp/auction/n1175294975</t>
  </si>
  <si>
    <t>https://jp.mercari.com/search?keyword=%E3%83%9F%E3%83%A9%E3%82%AF%E3%83%AB%E3%82%A2%E3%82%AF%E3%82%B7%E3%83%A7%E3%83%B3%E3%83%95%E3%82%A3%E3%82%AE%E3%83%A5%E3%82%A2%20%E3%82%B8%E3%83%A3%E3%82%A4%E3%82%A2%E3%83%B3%E3%83%88%E3%83%AD%E3%83%9C%20%E8%8D%89%E9%96%93%E5%A4%A7%E4%BD%9C&amp;status=on_sale&amp;sort=price&amp;order=asc</t>
  </si>
  <si>
    <t>https://fril.jp/s?query=%E3%83%9F%E3%83%A9%E3%82%AF%E3%83%AB%E3%82%A2%E3%82%AF%E3%82%B7%E3%83%A7%E3%83%B3%E3%83%95%E3%82%A3%E3%82%AE%E3%83%A5%E3%82%A2+%E3%82%B8%E3%83%A3%E3%82%A4%E3%82%A2%E3%83%B3%E3%83%88%E3%83%AD%E3%83%9C+%E8%8D%89%E9%96%93%E5%A4%A7%E4%BD%9C&amp;transaction=selling&amp;sort=relevance&amp;order=desc</t>
  </si>
  <si>
    <t>https://search.rakuten.co.jp/search/mall/%E3%83%9F%E3%83%A9%E3%82%AF%E3%83%AB%E3%82%A2%E3%82%AF%E3%82%B7%E3%83%A7%E3%83%B3%E3%83%95%E3%82%A3%E3%82%AE%E3%83%A5%E3%82%A2%20%E3%82%B8%E3%83%A3%E3%82%A4%E3%82%A2%E3%83%B3%E3%83%88%E3%83%AD%E3%83%9C%20%E8%8D%89%E9%96%93%E5%A4%A7%E4%BD%9C/</t>
  </si>
  <si>
    <t>https://auctions.yahoo.co.jp/search/search?p=%E3%83%9F%E3%83%A9%E3%82%AF%E3%83%AB%E3%82%A2%E3%82%AF%E3%82%B7%E3%83%A7%E3%83%B3%E3%83%95%E3%82%A3%E3%82%AE%E3%83%A5%E3%82%A2%20%E3%82%B8%E3%83%A3%E3%82%A4%E3%82%A2%E3%83%B3%E3%83%88%E3%83%AD%E3%83%9C%20%E8%8D%89%E9%96%93%E5%A4%A7%E4%BD%9C&amp;s1=cbids&amp;o1=a</t>
  </si>
  <si>
    <t>https://paypayfleamarket.yahoo.co.jp/search/%E3%83%9F%E3%83%A9%E3%82%AF%E3%83%AB%E3%82%A2%E3%82%AF%E3%82%B7%E3%83%A7%E3%83%B3%E3%83%95%E3%82%A3%E3%82%AE%E3%83%A5%E3%82%A2%20%E3%82%B8%E3%83%A3%E3%82%A4%E3%82%A2%E3%83%B3%E3%83%88%E3%83%AD%E3%83%9C%20%E8%8D%89%E9%96%93%E5%A4%A7%E4%BD%9C?sort=price&amp;order=asc&amp;open=1</t>
  </si>
  <si>
    <t>figma ランサー アルトリア・ペンドラゴン DX Edition</t>
  </si>
  <si>
    <t>https://www.ebay.com/itm/358523522009?nordt=true&amp;orig_cvip=true&amp;rt=nc</t>
  </si>
  <si>
    <t>https://www.ebay.com/sch/i.html?_nkw=figma+Lancer+Altria+Pendragon+DX&amp;_sacat=0&amp;_sop=15</t>
  </si>
  <si>
    <t>https://jp.mercari.com/shops/product/2JVoqjcJgCEwFEvN8rbniC</t>
  </si>
  <si>
    <t>https://auctions.yahoo.co.jp/jp/auction/e1241905547</t>
  </si>
  <si>
    <t>https://jp.mercari.com/search?keyword=figma%20%E3%83%A9%E3%83%B3%E3%82%B5%E3%83%BC%20%E3%82%A2%E3%83%AB%E3%83%88%E3%83%AA%E3%82%A2%E3%83%BB%E3%83%9A%E3%83%B3%E3%83%89%E3%83%A9%E3%82%B4%E3%83%B3%20DX%20Edition&amp;status=on_sale&amp;sort=price&amp;order=asc</t>
  </si>
  <si>
    <t>https://fril.jp/s?query=figma+%E3%83%A9%E3%83%B3%E3%82%B5%E3%83%BC+%E3%82%A2%E3%83%AB%E3%83%88%E3%83%AA%E3%82%A2%E3%83%BB%E3%83%9A%E3%83%B3%E3%83%89%E3%83%A9%E3%82%B4%E3%83%B3+DX+Edition&amp;transaction=selling&amp;sort=relevance&amp;order=desc</t>
  </si>
  <si>
    <t>https://search.rakuten.co.jp/search/mall/figma%20%E3%83%A9%E3%83%B3%E3%82%B5%E3%83%BC%20%E3%82%A2%E3%83%AB%E3%83%88%E3%83%AA%E3%82%A2%E3%83%BB%E3%83%9A%E3%83%B3%E3%83%89%E3%83%A9%E3%82%B4%E3%83%B3%20DX%20Edition/</t>
  </si>
  <si>
    <t>https://auctions.yahoo.co.jp/search/search?p=figma%20%E3%83%A9%E3%83%B3%E3%82%B5%E3%83%BC%20%E3%82%A2%E3%83%AB%E3%83%88%E3%83%AA%E3%82%A2%E3%83%BB%E3%83%9A%E3%83%B3%E3%83%89%E3%83%A9%E3%82%B4%E3%83%B3%20DX%20Edition&amp;s1=cbids&amp;o1=a</t>
  </si>
  <si>
    <t>https://paypayfleamarket.yahoo.co.jp/search/figma%20%E3%83%A9%E3%83%B3%E3%82%B5%E3%83%BC%20%E3%82%A2%E3%83%AB%E3%83%88%E3%83%AA%E3%82%A2%E3%83%BB%E3%83%9A%E3%83%B3%E3%83%89%E3%83%A9%E3%82%B4%E3%83%B3%20DX%20Edition?sort=price&amp;order=asc&amp;open=1</t>
  </si>
  <si>
    <t>プーリップ 月野うさぎ ウエディングバージョン 未開封 美少女戦士セーラームーン</t>
  </si>
  <si>
    <t>Pullip Sailor Moon Usagi Tsukino Wedding Version Groove Fashion Doll Japan New</t>
  </si>
  <si>
    <t>https://www.ebay.com/sch/i.html?_nkw=Pullip%20Sailor%20Moon%20Usagi%20Tsukino&amp;_sacat=0&amp;_from=R40&amp;_sop=15&amp;rt=nc&amp;_udlo=20000</t>
  </si>
  <si>
    <t>https://jp.mercari.com/search?keyword=%E3%83%97%E3%83%BC%E3%83%AA%E3%83%83%E3%83%97%20%E6%9C%88%E9%87%8E%E3%81%86%E3%81%95%E3%81%8E%20%E3%82%A6%E3%82%A8%E3%83%87%E3%82%A3%E3%83%B3%E3%82%B0&amp;price_min=10000&amp;sort=price&amp;order=asc&amp;status=on_sale</t>
  </si>
  <si>
    <t>https://fril.jp/s?query=%E3%83%97%E3%83%BC%E3%83%AA%E3%83%83%E3%83%97%20%E6%9C%88%E9%87%8E%E3%81%86%E3%81%95%E3%81%8E%20%E3%82%A6%E3%82%A8%E3%83%87%E3%82%A3%E3%83%B3%E3%82%B0&amp;min=10000&amp;transaction=selling</t>
  </si>
  <si>
    <t>https://search.rakuten.co.jp/search/mall/%E3%83%97%E3%83%BC%E3%83%AA%E3%83%83%E3%83%97%20%E6%9C%88%E9%87%8E%E3%81%86%E3%81%95%E3%81%8E%20%E3%82%A6%E3%82%A8%E3%83%87%E3%82%A3%E3%83%B3%E3%82%B0/?min=10000</t>
  </si>
  <si>
    <t>https://auctions.yahoo.co.jp/search/search?p=%E3%83%97%E3%83%BC%E3%83%AA%E3%83%83%E3%83%97%20%E6%9C%88%E9%87%8E%E3%81%86%E3%81%95%E3%81%8E%20%E3%82%A6%E3%82%A8%E3%83%87%E3%82%A3%E3%83%B3%E3%82%B0&amp;aucminprice=10000</t>
  </si>
  <si>
    <t>https://shopping.yahoo.co.jp/search/%E3%83%97%E3%83%BC%E3%83%AA%E3%83%83%E3%83%97%20%E6%9C%88%E9%87%8E%E3%81%86%E3%81%95%E3%81%8E%20%E3%82%A6%E3%82%A8%E3%83%87%E3%82%A3%E3%83%B3%E3%82%B0/0/?pf=10000</t>
  </si>
  <si>
    <t>プーリップ スーパーセーラームーン 【新品】</t>
  </si>
  <si>
    <t>Pullip Super Sailor Moon 20th Anniversary Groove Fashion Doll Sailor Moon Japan</t>
  </si>
  <si>
    <t>https://www.ebay.com/sch/i.html?_nkw=Pullip%20Super%20Sailor%20Moon%2020th&amp;_sacat=0&amp;_from=R40&amp;_sop=15&amp;rt=nc&amp;_udlo=20000</t>
  </si>
  <si>
    <t>https://jp.mercari.com/search?keyword=%E3%83%97%E3%83%BC%E3%83%AA%E3%83%83%E3%83%97%20%E3%82%B9%E3%83%BC%E3%83%91%E3%83%BC%E3%82%BB%E3%83%BC%E3%83%A9%E3%83%BC%E3%83%A0%E3%83%BC%E3%83%B3&amp;price_min=10000&amp;sort=price&amp;order=asc&amp;status=on_sale</t>
  </si>
  <si>
    <t>https://fril.jp/s?query=%E3%83%97%E3%83%BC%E3%83%AA%E3%83%83%E3%83%97%20%E3%82%B9%E3%83%BC%E3%83%91%E3%83%BC%E3%82%BB%E3%83%BC%E3%83%A9%E3%83%BC%E3%83%A0%E3%83%BC%E3%83%B3&amp;min=10000&amp;transaction=selling</t>
  </si>
  <si>
    <t>https://search.rakuten.co.jp/search/mall/%E3%83%97%E3%83%BC%E3%83%AA%E3%83%83%E3%83%97%20%E3%82%B9%E3%83%BC%E3%83%91%E3%83%BC%E3%82%BB%E3%83%BC%E3%83%A9%E3%83%BC%E3%83%A0%E3%83%BC%E3%83%B3/?min=10000</t>
  </si>
  <si>
    <t>https://auctions.yahoo.co.jp/search/search?p=%E3%83%97%E3%83%BC%E3%83%AA%E3%83%83%E3%83%97%20%E3%82%B9%E3%83%BC%E3%83%91%E3%83%BC%E3%82%BB%E3%83%BC%E3%83%A9%E3%83%BC%E3%83%A0%E3%83%BC%E3%83%B3&amp;aucminprice=10000</t>
  </si>
  <si>
    <t>https://shopping.yahoo.co.jp/search/%E3%83%97%E3%83%BC%E3%83%AA%E3%83%83%E3%83%97%20%E3%82%B9%E3%83%BC%E3%83%91%E3%83%BC%E3%82%BB%E3%83%BC%E3%83%A9%E3%83%BC%E3%83%A0%E3%83%BC%E3%83%B3/0/?pf=10000</t>
  </si>
  <si>
    <t>セーラームーンSS へんしんスーパーセーラームーン 未開封</t>
  </si>
  <si>
    <t>Sailor Moon SS Henshin Super Sailor Moon Doll Bandai Vintage Japan Import Sealed</t>
  </si>
  <si>
    <t>https://www.ebay.com/sch/i.html?_nkw=Sailor%20Moon%20SS%20Henshin%20Super&amp;_sacat=0&amp;_from=R40&amp;_sop=15&amp;rt=nc&amp;_udlo=20000</t>
  </si>
  <si>
    <t>https://jp.mercari.com/search?keyword=%E3%82%BB%E3%83%BC%E3%83%A9%E3%83%BC%E3%83%A0%E3%83%BC%E3%83%B3SS%20%E3%81%B8%E3%82%93%E3%81%97%E3%82%93%E3%82%B9%E3%83%BC%E3%83%91%E3%83%BC%E3%82%BB%E3%83%BC%E3%83%A9%E3%83%BC%E3%83%A0%E3%83%BC%E3%83%B3&amp;price_min=10000&amp;sort=price&amp;order=asc&amp;status=on_sale</t>
  </si>
  <si>
    <t>https://fril.jp/s?query=%E3%82%BB%E3%83%BC%E3%83%A9%E3%83%BC%E3%83%A0%E3%83%BC%E3%83%B3SS%20%E3%81%B8%E3%82%93%E3%81%97%E3%82%93%E3%82%B9%E3%83%BC%E3%83%91%E3%83%BC%E3%82%BB%E3%83%BC%E3%83%A9%E3%83%BC%E3%83%A0%E3%83%BC%E3%83%B3&amp;min=10000&amp;transaction=selling</t>
  </si>
  <si>
    <t>https://search.rakuten.co.jp/search/mall/%E3%82%BB%E3%83%BC%E3%83%A9%E3%83%BC%E3%83%A0%E3%83%BC%E3%83%B3SS%20%E3%81%B8%E3%82%93%E3%81%97%E3%82%93%E3%82%B9%E3%83%BC%E3%83%91%E3%83%BC%E3%82%BB%E3%83%BC%E3%83%A9%E3%83%BC%E3%83%A0%E3%83%BC%E3%83%B3/?min=10000</t>
  </si>
  <si>
    <t>https://auctions.yahoo.co.jp/search/search?p=%E3%82%BB%E3%83%BC%E3%83%A9%E3%83%BC%E3%83%A0%E3%83%BC%E3%83%B3SS%20%E3%81%B8%E3%82%93%E3%81%97%E3%82%93%E3%82%B9%E3%83%BC%E3%83%91%E3%83%BC%E3%82%BB%E3%83%BC%E3%83%A9%E3%83%BC%E3%83%A0%E3%83%BC%E3%83%B3&amp;aucminprice=10000</t>
  </si>
  <si>
    <t>https://shopping.yahoo.co.jp/search/%E3%82%BB%E3%83%BC%E3%83%A9%E3%83%BC%E3%83%A0%E3%83%BC%E3%83%B3SS%20%E3%81%B8%E3%82%93%E3%81%97%E3%82%93%E3%82%B9%E3%83%BC%E3%83%91%E3%83%BC%E3%82%BB%E3%83%BC%E3%83%A9%E3%83%BC%E3%83%A0%E3%83%BC%E3%83%B3/0/?pf=10000</t>
  </si>
  <si>
    <t>STARBUCKS Been thereマグカップ 国内11個セット</t>
  </si>
  <si>
    <t>Starbucks Been There Series Japan Mug 11 Set Regional Limited Ceramic Cup New</t>
  </si>
  <si>
    <t>https://www.ebay.com/sch/i.html?_nkw=Starbucks%20Been%20There%20Series%20Japan&amp;_sacat=0&amp;_from=R40&amp;_sop=15&amp;rt=nc&amp;_udlo=20000</t>
  </si>
  <si>
    <t>https://jp.mercari.com/search?keyword=%E3%82%B9%E3%82%BF%E3%83%BC%E3%83%90%E3%83%83%E3%82%AF%E3%82%B9%20Been%20There%20%E3%83%9E%E3%82%B0%2011%E5%80%8B&amp;price_min=10000&amp;sort=price&amp;order=asc&amp;status=on_sale</t>
  </si>
  <si>
    <t>https://fril.jp/s?query=%E3%82%B9%E3%82%BF%E3%83%BC%E3%83%90%E3%83%83%E3%82%AF%E3%82%B9%20Been%20There%20%E3%83%9E%E3%82%B0%2011%E5%80%8B&amp;min=10000&amp;transaction=selling</t>
  </si>
  <si>
    <t>https://search.rakuten.co.jp/search/mall/%E3%82%B9%E3%82%BF%E3%83%BC%E3%83%90%E3%83%83%E3%82%AF%E3%82%B9%20Been%20There%20%E3%83%9E%E3%82%B0%2011%E5%80%8B/?min=10000</t>
  </si>
  <si>
    <t>https://auctions.yahoo.co.jp/search/search?p=%E3%82%B9%E3%82%BF%E3%83%BC%E3%83%90%E3%83%83%E3%82%AF%E3%82%B9%20Been%20There%20%E3%83%9E%E3%82%B0%2011%E5%80%8B&amp;aucminprice=10000</t>
  </si>
  <si>
    <t>https://shopping.yahoo.co.jp/search/%E3%82%B9%E3%82%BF%E3%83%BC%E3%83%90%E3%83%83%E3%82%AF%E3%82%B9%20Been%20There%20%E3%83%9E%E3%82%B0%2011%E5%80%8B/0/?pf=10000</t>
  </si>
  <si>
    <t>【アメリカ限定】スタバ マグ オーナメント Been There Series</t>
  </si>
  <si>
    <t>Starbucks Been There Series Mug Ornament 12 Set USA Limited Ceramic Mini Cup New</t>
  </si>
  <si>
    <t>https://www.ebay.com/sch/i.html?_nkw=Starbucks%20Been%20There%20Series%20Mug&amp;_sacat=0&amp;_from=R40&amp;_sop=15&amp;rt=nc&amp;_udlo=20000</t>
  </si>
  <si>
    <t>https://jp.mercari.com/search?keyword=%E3%82%B9%E3%82%BF%E3%83%BC%E3%83%90%E3%83%83%E3%82%AF%E3%82%B9%20Been%20There%20%E3%82%AA%E3%83%BC%E3%83%8A%E3%83%A1%E3%83%B3%E3%83%88&amp;price_min=10000&amp;sort=price&amp;order=asc&amp;status=on_sale</t>
  </si>
  <si>
    <t>https://fril.jp/s?query=%E3%82%B9%E3%82%BF%E3%83%BC%E3%83%90%E3%83%83%E3%82%AF%E3%82%B9%20Been%20There%20%E3%82%AA%E3%83%BC%E3%83%8A%E3%83%A1%E3%83%B3%E3%83%88&amp;min=10000&amp;transaction=selling</t>
  </si>
  <si>
    <t>https://search.rakuten.co.jp/search/mall/%E3%82%B9%E3%82%BF%E3%83%BC%E3%83%90%E3%83%83%E3%82%AF%E3%82%B9%20Been%20There%20%E3%82%AA%E3%83%BC%E3%83%8A%E3%83%A1%E3%83%B3%E3%83%88/?min=10000</t>
  </si>
  <si>
    <t>https://auctions.yahoo.co.jp/search/search?p=%E3%82%B9%E3%82%BF%E3%83%BC%E3%83%90%E3%83%83%E3%82%AF%E3%82%B9%20Been%20There%20%E3%82%AA%E3%83%BC%E3%83%8A%E3%83%A1%E3%83%B3%E3%83%88&amp;aucminprice=10000</t>
  </si>
  <si>
    <t>https://shopping.yahoo.co.jp/search/%E3%82%B9%E3%82%BF%E3%83%BC%E3%83%90%E3%83%83%E3%82%AF%E3%82%B9%20Been%20There%20%E3%82%AA%E3%83%BC%E3%83%8A%E3%83%A1%E3%83%B3%E3%83%88/0/?pf=10000</t>
  </si>
  <si>
    <t>スターバックス 初代だるまマグ 富士山マグ</t>
  </si>
  <si>
    <t>Starbucks Daruma Mug Mt Fuji Mug 2 Set Japan Limited Rare Ceramic Coffee Cup New</t>
  </si>
  <si>
    <t>https://www.ebay.com/sch/i.html?_nkw=Starbucks%20Daruma%20Mug%20Mt%20Fuji&amp;_sacat=0&amp;_from=R40&amp;_sop=15&amp;rt=nc&amp;_udlo=20000</t>
  </si>
  <si>
    <t>https://jp.mercari.com/search?keyword=%E3%82%B9%E3%82%BF%E3%83%BC%E3%83%90%E3%83%83%E3%82%AF%E3%82%B9%20%E3%81%A0%E3%82%8B%E3%81%BE%E3%83%9E%E3%82%B0%20%E5%AF%8C%E5%A3%AB%E5%B1%B1%E3%83%9E%E3%82%B0&amp;price_min=10000&amp;sort=price&amp;order=asc&amp;status=on_sale</t>
  </si>
  <si>
    <t>https://fril.jp/s?query=%E3%82%B9%E3%82%BF%E3%83%BC%E3%83%90%E3%83%83%E3%82%AF%E3%82%B9%20%E3%81%A0%E3%82%8B%E3%81%BE%E3%83%9E%E3%82%B0%20%E5%AF%8C%E5%A3%AB%E5%B1%B1%E3%83%9E%E3%82%B0&amp;min=10000&amp;transaction=selling</t>
  </si>
  <si>
    <t>https://search.rakuten.co.jp/search/mall/%E3%82%B9%E3%82%BF%E3%83%BC%E3%83%90%E3%83%83%E3%82%AF%E3%82%B9%20%E3%81%A0%E3%82%8B%E3%81%BE%E3%83%9E%E3%82%B0%20%E5%AF%8C%E5%A3%AB%E5%B1%B1%E3%83%9E%E3%82%B0/?min=10000</t>
  </si>
  <si>
    <t>https://auctions.yahoo.co.jp/search/search?p=%E3%82%B9%E3%82%BF%E3%83%BC%E3%83%90%E3%83%83%E3%82%AF%E3%82%B9%20%E3%81%A0%E3%82%8B%E3%81%BE%E3%83%9E%E3%82%B0%20%E5%AF%8C%E5%A3%AB%E5%B1%B1%E3%83%9E%E3%82%B0&amp;aucminprice=10000</t>
  </si>
  <si>
    <t>https://shopping.yahoo.co.jp/search/%E3%82%B9%E3%82%BF%E3%83%BC%E3%83%90%E3%83%83%E3%82%AF%E3%82%B9%20%E3%81%A0%E3%82%8B%E3%81%BE%E3%83%9E%E3%82%B0%20%E5%AF%8C%E5%A3%AB%E5%B1%B1%E3%83%9E%E3%82%B0/0/?pf=10000</t>
  </si>
  <si>
    <t>Starbucks マグカップ 招き猫 鶴 富士山 梅 2002</t>
  </si>
  <si>
    <t>Starbucks Mug Maneki Neko Crane Mt Fuji Plum 2002 Japan Limited Ceramic Cup Set</t>
  </si>
  <si>
    <t>https://www.ebay.com/sch/i.html?_nkw=Starbucks%20Mug%20Maneki%20Neko%20Crane&amp;_sacat=0&amp;_from=R40&amp;_sop=15&amp;rt=nc&amp;_udlo=20000</t>
  </si>
  <si>
    <t>https://jp.mercari.com/search?keyword=%E3%82%B9%E3%82%BF%E3%83%BC%E3%83%90%E3%83%83%E3%82%AF%E3%82%B9%20%E3%83%9E%E3%82%B0%20%E6%8B%9B%E3%81%8D%E7%8C%AB%20%E5%AF%8C%E5%A3%AB%E5%B1%B1%202002&amp;price_min=10000&amp;sort=price&amp;order=asc&amp;status=on_sale</t>
  </si>
  <si>
    <t>https://fril.jp/s?query=%E3%82%B9%E3%82%BF%E3%83%BC%E3%83%90%E3%83%83%E3%82%AF%E3%82%B9%20%E3%83%9E%E3%82%B0%20%E6%8B%9B%E3%81%8D%E7%8C%AB%20%E5%AF%8C%E5%A3%AB%E5%B1%B1%202002&amp;min=10000&amp;transaction=selling</t>
  </si>
  <si>
    <t>https://search.rakuten.co.jp/search/mall/%E3%82%B9%E3%82%BF%E3%83%BC%E3%83%90%E3%83%83%E3%82%AF%E3%82%B9%20%E3%83%9E%E3%82%B0%20%E6%8B%9B%E3%81%8D%E7%8C%AB%20%E5%AF%8C%E5%A3%AB%E5%B1%B1%202002/?min=10000</t>
  </si>
  <si>
    <t>https://auctions.yahoo.co.jp/search/search?p=%E3%82%B9%E3%82%BF%E3%83%BC%E3%83%90%E3%83%83%E3%82%AF%E3%82%B9%20%E3%83%9E%E3%82%B0%20%E6%8B%9B%E3%81%8D%E7%8C%AB%20%E5%AF%8C%E5%A3%AB%E5%B1%B1%202002&amp;aucminprice=10000</t>
  </si>
  <si>
    <t>https://shopping.yahoo.co.jp/search/%E3%82%B9%E3%82%BF%E3%83%BC%E3%83%90%E3%83%83%E3%82%AF%E3%82%B9%20%E3%83%9E%E3%82%B0%20%E6%8B%9B%E3%81%8D%E7%8C%AB%20%E5%AF%8C%E5%A3%AB%E5%B1%B1%202002/0/?pf=10000</t>
  </si>
  <si>
    <t>1/18 L・A・N・G（ラング）マクラーレンMP4/5 1989＋ステッカー等</t>
  </si>
  <si>
    <t>1/18 L.A.N.G McLaren MP4/5 1989 Ayrton Senna World Champion Diecast Model Japan</t>
  </si>
  <si>
    <t>https://www.ebay.com/sch/i.html?_nkw=1/18%20L.A.N.G%20McLaren%20MP4/5%201989&amp;_sacat=0&amp;_from=R40&amp;_sop=15&amp;rt=nc&amp;_udlo=20000</t>
  </si>
  <si>
    <t>https://jp.mercari.com/search?keyword=1/18%20%E3%83%9E%E3%82%AF%E3%83%A9%E3%83%BC%E3%83%AC%E3%83%B3%20MP4/5%20%E3%82%BB%E3%83%8A%20LANG&amp;price_min=10000&amp;sort=price&amp;order=asc&amp;status=on_sale</t>
  </si>
  <si>
    <t>https://fril.jp/s?query=1/18%20%E3%83%9E%E3%82%AF%E3%83%A9%E3%83%BC%E3%83%AC%E3%83%B3%20MP4/5%20%E3%82%BB%E3%83%8A%20LANG&amp;min=10000&amp;transaction=selling</t>
  </si>
  <si>
    <t>https://search.rakuten.co.jp/search/mall/1/18%20%E3%83%9E%E3%82%AF%E3%83%A9%E3%83%BC%E3%83%AC%E3%83%B3%20MP4/5%20%E3%82%BB%E3%83%8A%20LANG/?min=10000</t>
  </si>
  <si>
    <t>https://auctions.yahoo.co.jp/search/search?p=1/18%20%E3%83%9E%E3%82%AF%E3%83%A9%E3%83%BC%E3%83%AC%E3%83%B3%20MP4/5%20%E3%82%BB%E3%83%8A%20LANG&amp;aucminprice=10000</t>
  </si>
  <si>
    <t>https://shopping.yahoo.co.jp/search/1/18%20%E3%83%9E%E3%82%AF%E3%83%A9%E3%83%BC%E3%83%AC%E3%83%B3%20MP4/5%20%E3%82%BB%E3%83%8A%20LANG/0/?pf=10000</t>
  </si>
  <si>
    <t>1/18 ウィリアムズ FW16 パシフィックGP ロスマンズ 岡山 A.セナ</t>
  </si>
  <si>
    <t>1/18 Minichamps Williams FW16 Pacific GP 1994 Ayrton Senna Diecast Model Japan</t>
  </si>
  <si>
    <t>https://www.ebay.com/sch/i.html?_nkw=1/18%20Minichamps%20Williams%20FW16%20Pacific&amp;_sacat=0&amp;_from=R40&amp;_sop=15&amp;rt=nc&amp;_udlo=20000</t>
  </si>
  <si>
    <t>https://jp.mercari.com/search?keyword=1/18%20%E3%82%A6%E3%82%A3%E3%83%AA%E3%82%A2%E3%83%A0%E3%82%BA%20FW16%20%E3%82%BB%E3%83%8A%20%E3%83%9F%E3%83%8B%E3%83%81%E3%83%A3%E3%83%B3%E3%83%97%E3%82%B9&amp;price_min=10000&amp;sort=price&amp;order=asc&amp;status=on_sale</t>
  </si>
  <si>
    <t>https://fril.jp/s?query=1/18%20%E3%82%A6%E3%82%A3%E3%83%AA%E3%82%A2%E3%83%A0%E3%82%BA%20FW16%20%E3%82%BB%E3%83%8A%20%E3%83%9F%E3%83%8B%E3%83%81%E3%83%A3%E3%83%B3%E3%83%97%E3%82%B9&amp;min=10000&amp;transaction=selling</t>
  </si>
  <si>
    <t>https://search.rakuten.co.jp/search/mall/1/18%20%E3%82%A6%E3%82%A3%E3%83%AA%E3%82%A2%E3%83%A0%E3%82%BA%20FW16%20%E3%82%BB%E3%83%8A%20%E3%83%9F%E3%83%8B%E3%83%81%E3%83%A3%E3%83%B3%E3%83%97%E3%82%B9/?min=10000</t>
  </si>
  <si>
    <t>https://auctions.yahoo.co.jp/search/search?p=1/18%20%E3%82%A6%E3%82%A3%E3%83%AA%E3%82%A2%E3%83%A0%E3%82%BA%20FW16%20%E3%82%BB%E3%83%8A%20%E3%83%9F%E3%83%8B%E3%83%81%E3%83%A3%E3%83%B3%E3%83%97%E3%82%B9&amp;aucminprice=10000</t>
  </si>
  <si>
    <t>https://shopping.yahoo.co.jp/search/1/18%20%E3%82%A6%E3%82%A3%E3%83%AA%E3%82%A2%E3%83%A0%E3%82%BA%20FW16%20%E3%82%BB%E3%83%8A%20%E3%83%9F%E3%83%8B%E3%83%81%E3%83%A3%E3%83%B3%E3%83%97%E3%82%B9/0/?pf=10000</t>
  </si>
  <si>
    <t>https://paypayfleamarket.yahoo.co.jp/item/z674772588</t>
  </si>
  <si>
    <t>Starbucks Mug</t>
  </si>
  <si>
    <t>Model Kits Hobby Toy</t>
  </si>
  <si>
    <t>https://auctions.yahoo.co.jp/jp/auction/s1240954353</t>
  </si>
  <si>
    <t>File178</t>
  </si>
  <si>
    <t>仕入れ先からダウンロードしてください</t>
  </si>
  <si>
    <t>File179</t>
  </si>
  <si>
    <t>File180</t>
  </si>
  <si>
    <t>File181</t>
  </si>
  <si>
    <t>File182</t>
  </si>
  <si>
    <t>File183</t>
  </si>
  <si>
    <t>File184</t>
  </si>
  <si>
    <t>File185</t>
  </si>
  <si>
    <t>File186</t>
  </si>
  <si>
    <t>File187</t>
  </si>
  <si>
    <t>フィギュアーツZERO エターナルセーラームーン 魂ウェブ商店限定</t>
  </si>
  <si>
    <t>https://www.ebay.com/itm/356823001660?nordt=true&amp;orig_cvip=true&amp;rt=nc</t>
  </si>
  <si>
    <t>https://www.ebay.com/sch/i.html?_nkw=Figuarts+Zero+Eternal+Sailor+Moon+Darkness&amp;_sacat=0&amp;_sop=15</t>
  </si>
  <si>
    <t>https://auctions.yahoo.co.jp/jp/auction/1241892278</t>
  </si>
  <si>
    <t>https://jp.mercari.com/shops/product/2JVoqZokA8Ekciit5aXP48</t>
  </si>
  <si>
    <t>https://jp.mercari.com/search?keyword=%E3%83%95%E3%82%A3%E3%82%AE%E3%83%A5%E3%82%A2%E3%83%BC%E3%83%84ZERO%20%E3%82%A8%E3%82%BF%E3%83%BC%E3%83%8A%E3%83%AB%E3%82%BB%E3%83%BC%E3%83%A9%E3%83%BC%E3%83%A0%E3%83%BC%E3%83%B3%20%E9%AD%82%E3%82%A6%E3%82%A7%E3%83%96%E5%95%86%E5%BA%97%E9%99%90%E5%AE%9A&amp;status=on_sale&amp;sort=price&amp;order=asc</t>
  </si>
  <si>
    <t>https://fril.jp/s?query=%E3%83%95%E3%82%A3%E3%82%AE%E3%83%A5%E3%82%A2%E3%83%BC%E3%83%84ZERO+%E3%82%A8%E3%82%BF%E3%83%BC%E3%83%8A%E3%83%AB%E3%82%BB%E3%83%BC%E3%83%A9%E3%83%BC%E3%83%A0%E3%83%BC%E3%83%B3+%E9%AD%82%E3%82%A6%E3%82%A7%E3%83%96%E5%95%86%E5%BA%97%E9%99%90%E5%AE%9A&amp;transaction=selling&amp;sort=relevance&amp;order=desc</t>
  </si>
  <si>
    <t>https://search.rakuten.co.jp/search/mall/%E3%83%95%E3%82%A3%E3%82%AE%E3%83%A5%E3%82%A2%E3%83%BC%E3%83%84ZERO%20%E3%82%A8%E3%82%BF%E3%83%BC%E3%83%8A%E3%83%AB%E3%82%BB%E3%83%BC%E3%83%A9%E3%83%BC%E3%83%A0%E3%83%BC%E3%83%B3%20%E9%AD%82%E3%82%A6%E3%82%A7%E3%83%96%E5%95%86%E5%BA%97%E9%99%90%E5%AE%9A/</t>
  </si>
  <si>
    <t>https://auctions.yahoo.co.jp/search/search?p=%E3%83%95%E3%82%A3%E3%82%AE%E3%83%A5%E3%82%A2%E3%83%BC%E3%83%84ZERO%20%E3%82%A8%E3%82%BF%E3%83%BC%E3%83%8A%E3%83%AB%E3%82%BB%E3%83%BC%E3%83%A9%E3%83%BC%E3%83%A0%E3%83%BC%E3%83%B3%20%E9%AD%82%E3%82%A6%E3%82%A7%E3%83%96%E5%95%86%E5%BA%97%E9%99%90%E5%AE%9A&amp;s1=cbids&amp;o1=a</t>
  </si>
  <si>
    <t>https://paypayfleamarket.yahoo.co.jp/search/%E3%83%95%E3%82%A3%E3%82%AE%E3%83%A5%E3%82%A2%E3%83%BC%E3%83%84ZERO%20%E3%82%A8%E3%82%BF%E3%83%BC%E3%83%8A%E3%83%AB%E3%82%BB%E3%83%BC%E3%83%A9%E3%83%BC%E3%83%A0%E3%83%BC%E3%83%B3%20%E9%AD%82%E3%82%A6%E3%82%A7%E3%83%96%E5%95%86%E5%BA%97%E9%99%90%E5%AE%9A?sort=price&amp;order=asc&amp;open=1</t>
  </si>
  <si>
    <t>セーラームーン アクリルスタンド　ローソン</t>
  </si>
  <si>
    <t>https://www.ebay.com/itm/287487196777?nordt=true&amp;orig_cvip=true&amp;rt=nc</t>
  </si>
  <si>
    <t>https://www.ebay.com/sch/i.html?_nkw=Sailor+Moon+Acrylic+Stand+Set+Lawson&amp;_sacat=0&amp;_sop=15</t>
  </si>
  <si>
    <t>https://jp.mercari.com/item/m14264754608</t>
  </si>
  <si>
    <t>https://jp.mercari.com/search?keyword=%E3%82%BB%E3%83%BC%E3%83%A9%E3%83%BC%E3%83%A0%E3%83%BC%E3%83%B3%20%E3%83%AD%E3%83%BC%E3%82%BD%E3%83%B3%E9%99%90%E5%AE%9A%20%E3%83%8F%E3%83%BC%E3%83%88%E3%83%9D%E3%83%BC%E3%82%BA%20%E3%82%A2%E3%82%AF%E3%83%AA%E3%83%AB%E3%82%B9%E3%82%BF%E3%83%B3%E3%83%89&amp;status=on_sale&amp;sort=price&amp;order=asc</t>
  </si>
  <si>
    <t>https://fril.jp/s?query=%E3%82%BB%E3%83%BC%E3%83%A9%E3%83%BC%E3%83%A0%E3%83%BC%E3%83%B3+%E3%83%AD%E3%83%BC%E3%82%BD%E3%83%B3%E9%99%90%E5%AE%9A+%E3%83%8F%E3%83%BC%E3%83%88%E3%83%9D%E3%83%BC%E3%82%BA+%E3%82%A2%E3%82%AF%E3%83%AA%E3%83%AB%E3%82%B9%E3%82%BF%E3%83%B3%E3%83%89&amp;transaction=selling&amp;sort=relevance&amp;order=desc</t>
  </si>
  <si>
    <t>https://search.rakuten.co.jp/search/mall/%E3%82%BB%E3%83%BC%E3%83%A9%E3%83%BC%E3%83%A0%E3%83%BC%E3%83%B3%20%E3%83%AD%E3%83%BC%E3%82%BD%E3%83%B3%E9%99%90%E5%AE%9A%20%E3%83%8F%E3%83%BC%E3%83%88%E3%83%9D%E3%83%BC%E3%82%BA%20%E3%82%A2%E3%82%AF%E3%83%AA%E3%83%AB%E3%82%B9%E3%82%BF%E3%83%B3%E3%83%89/</t>
  </si>
  <si>
    <t>https://auctions.yahoo.co.jp/search/search?p=%E3%82%BB%E3%83%BC%E3%83%A9%E3%83%BC%E3%83%A0%E3%83%BC%E3%83%B3%20%E3%83%AD%E3%83%BC%E3%82%BD%E3%83%B3%E9%99%90%E5%AE%9A%20%E3%83%8F%E3%83%BC%E3%83%88%E3%83%9D%E3%83%BC%E3%82%BA%20%E3%82%A2%E3%82%AF%E3%83%AA%E3%83%AB%E3%82%B9%E3%82%BF%E3%83%B3%E3%83%89&amp;s1=cbids&amp;o1=a</t>
  </si>
  <si>
    <t>https://paypayfleamarket.yahoo.co.jp/search/%E3%82%BB%E3%83%BC%E3%83%A9%E3%83%BC%E3%83%A0%E3%83%BC%E3%83%B3%20%E3%83%AD%E3%83%BC%E3%82%BD%E3%83%B3%E9%99%90%E5%AE%9A%20%E3%83%8F%E3%83%BC%E3%83%88%E3%83%9D%E3%83%BC%E3%82%BA%20%E3%82%A2%E3%82%AF%E3%83%AA%E3%83%AB%E3%82%B9%E3%82%BF%E3%83%B3%E3%83%89?sort=price&amp;order=asc&amp;open=1</t>
  </si>
  <si>
    <t>https://jp.mercari.com/item/m96904872743</t>
  </si>
  <si>
    <t>https://jp.mercari.com/item/m44472545751</t>
  </si>
  <si>
    <t>https://jp.mercari.com/item/m99628873872</t>
  </si>
  <si>
    <t>https://jp.mercari.com/item/m22922641464</t>
  </si>
  <si>
    <t>https://jp.mercari.com/item/m81085145683</t>
  </si>
  <si>
    <t>https://jp.mercari.com/item/m43571429608</t>
  </si>
  <si>
    <t>https://jp.mercari.com/item/m35488524368</t>
  </si>
  <si>
    <t>TOMIX 500系7000番台 500 TYPE EVA セット 98959</t>
  </si>
  <si>
    <t>https://www.ebay.com/sch/i.html?_nkw=TOMIX%2098959%20500%20Series%20Type&amp;_sacat=0&amp;_from=R40&amp;_sop=15&amp;rt=nc&amp;_udlo=20000</t>
  </si>
  <si>
    <t>https://jp.mercari.com/search?keyword=TOMIX%20500%E7%B3%BB%20TYPE%20EVA%20%E3%82%BB%E3%83%83%E3%83%88&amp;price_min=10000&amp;sort=price&amp;order=asc&amp;status=on_sale</t>
  </si>
  <si>
    <t>https://fril.jp/s?query=TOMIX%20500%E7%B3%BB%20TYPE%20EVA%20%E3%82%BB%E3%83%83%E3%83%88&amp;min=10000&amp;transaction=selling</t>
  </si>
  <si>
    <t>https://search.rakuten.co.jp/search/mall/TOMIX%20500%E7%B3%BB%20TYPE%20EVA%20%E3%82%BB%E3%83%83%E3%83%88/?min=10000</t>
  </si>
  <si>
    <t>https://auctions.yahoo.co.jp/search/search?p=TOMIX%20500%E7%B3%BB%20TYPE%20EVA%20%E3%82%BB%E3%83%83%E3%83%88&amp;aucminprice=10000</t>
  </si>
  <si>
    <t>https://shopping.yahoo.co.jp/search/TOMIX%20500%E7%B3%BB%20TYPE%20EVA%20%E3%82%BB%E3%83%83%E3%83%88/0/?pf=10000</t>
  </si>
  <si>
    <t>トミックス　さよなら富士・はやぶさセット　92962</t>
  </si>
  <si>
    <t>https://www.ebay.com/sch/i.html?_nkw=Tomix%2092962%20Sayonara%20Fuji%20Hayabusa&amp;_sacat=0&amp;_from=R40&amp;_sop=15&amp;rt=nc&amp;_udlo=20000</t>
  </si>
  <si>
    <t>https://jp.mercari.com/search?keyword=%E3%83%88%E3%83%9F%E3%83%83%E3%82%AF%E3%82%B9%20%E3%81%95%E3%82%88%E3%81%AA%E3%82%89%E5%AF%8C%E5%A3%AB%20%E3%81%AF%E3%82%84%E3%81%B6%E3%81%95%2092962&amp;price_min=10000&amp;sort=price&amp;order=asc&amp;status=on_sale</t>
  </si>
  <si>
    <t>https://fril.jp/s?query=%E3%83%88%E3%83%9F%E3%83%83%E3%82%AF%E3%82%B9%20%E3%81%95%E3%82%88%E3%81%AA%E3%82%89%E5%AF%8C%E5%A3%AB%20%E3%81%AF%E3%82%84%E3%81%B6%E3%81%95%2092962&amp;min=10000&amp;transaction=selling</t>
  </si>
  <si>
    <t>https://search.rakuten.co.jp/search/mall/%E3%83%88%E3%83%9F%E3%83%83%E3%82%AF%E3%82%B9%20%E3%81%95%E3%82%88%E3%81%AA%E3%82%89%E5%AF%8C%E5%A3%AB%20%E3%81%AF%E3%82%84%E3%81%B6%E3%81%95%2092962/?min=10000</t>
  </si>
  <si>
    <t>https://auctions.yahoo.co.jp/search/search?p=%E3%83%88%E3%83%9F%E3%83%83%E3%82%AF%E3%82%B9%20%E3%81%95%E3%82%88%E3%81%AA%E3%82%89%E5%AF%8C%E5%A3%AB%20%E3%81%AF%E3%82%84%E3%81%B6%E3%81%95%2092962&amp;aucminprice=10000</t>
  </si>
  <si>
    <t>https://shopping.yahoo.co.jp/search/%E3%83%88%E3%83%9F%E3%83%83%E3%82%AF%E3%82%B9%20%E3%81%95%E3%82%88%E3%81%AA%E3%82%89%E5%AF%8C%E5%A3%AB%20%E3%81%AF%E3%82%84%E3%81%B6%E3%81%95%2092962/0/?pf=10000</t>
  </si>
  <si>
    <t>https://www.ebay.com/sch/i.html?_nkw=KATO%20500%20Series%20Type%20EVA&amp;_sacat=0&amp;_from=R40&amp;_sop=15&amp;rt=nc&amp;_udlo=20000</t>
  </si>
  <si>
    <t>https://jp.mercari.com/search?keyword=KATO%20500%E7%B3%BB%20TYPE%20EVA%208%E4%B8%A1&amp;price_min=10000&amp;sort=price&amp;order=asc&amp;status=on_sale</t>
  </si>
  <si>
    <t>https://fril.jp/s?query=KATO%20500%E7%B3%BB%20TYPE%20EVA%208%E4%B8%A1&amp;min=10000&amp;transaction=selling</t>
  </si>
  <si>
    <t>https://search.rakuten.co.jp/search/mall/KATO%20500%E7%B3%BB%20TYPE%20EVA%208%E4%B8%A1/?min=10000</t>
  </si>
  <si>
    <t>https://auctions.yahoo.co.jp/search/search?p=KATO%20500%E7%B3%BB%20TYPE%20EVA%208%E4%B8%A1&amp;aucminprice=10000</t>
  </si>
  <si>
    <t>https://shopping.yahoo.co.jp/search/KATO%20500%E7%B3%BB%20TYPE%20EVA%208%E4%B8%A1/0/?pf=10000</t>
  </si>
  <si>
    <t>宮沢模型 50系客車 アメリカントレイン</t>
  </si>
  <si>
    <t>https://www.ebay.com/sch/i.html?_nkw=Miyazawa%2050%20Series%20Coach%20American&amp;_sacat=0&amp;_from=R40&amp;_sop=15&amp;rt=nc&amp;_udlo=20000</t>
  </si>
  <si>
    <t>https://jp.mercari.com/search?keyword=%E5%AE%AE%E6%B2%A2%E6%A8%A1%E5%9E%8B%2050%E7%B3%BB%E5%AE%A2%E8%BB%8A%20%E3%82%A2%E3%83%A1%E3%83%AA%E3%82%AB%E3%83%B3%E3%83%88%E3%83%AC%E3%82%A4%E3%83%B3&amp;price_min=10000&amp;sort=price&amp;order=asc&amp;status=on_sale</t>
  </si>
  <si>
    <t>https://fril.jp/s?query=%E5%AE%AE%E6%B2%A2%E6%A8%A1%E5%9E%8B%2050%E7%B3%BB%E5%AE%A2%E8%BB%8A%20%E3%82%A2%E3%83%A1%E3%83%AA%E3%82%AB%E3%83%B3%E3%83%88%E3%83%AC%E3%82%A4%E3%83%B3&amp;min=10000&amp;transaction=selling</t>
  </si>
  <si>
    <t>https://search.rakuten.co.jp/search/mall/%E5%AE%AE%E6%B2%A2%E6%A8%A1%E5%9E%8B%2050%E7%B3%BB%E5%AE%A2%E8%BB%8A%20%E3%82%A2%E3%83%A1%E3%83%AA%E3%82%AB%E3%83%B3%E3%83%88%E3%83%AC%E3%82%A4%E3%83%B3/?min=10000</t>
  </si>
  <si>
    <t>https://auctions.yahoo.co.jp/search/search?p=%E5%AE%AE%E6%B2%A2%E6%A8%A1%E5%9E%8B%2050%E7%B3%BB%E5%AE%A2%E8%BB%8A%20%E3%82%A2%E3%83%A1%E3%83%AA%E3%82%AB%E3%83%B3%E3%83%88%E3%83%AC%E3%82%A4%E3%83%B3&amp;aucminprice=10000</t>
  </si>
  <si>
    <t>https://shopping.yahoo.co.jp/search/%E5%AE%AE%E6%B2%A2%E6%A8%A1%E5%9E%8B%2050%E7%B3%BB%E5%AE%A2%E8%BB%8A%20%E3%82%A2%E3%83%A1%E3%83%AA%E3%82%AB%E3%83%B3%E3%83%88%E3%83%AC%E3%82%A4%E3%83%B3/0/?pf=10000</t>
  </si>
  <si>
    <t>CD♢アルトゥール・ルービンシュタイン/ショパン全集　未開封♢h231w69</t>
  </si>
  <si>
    <t>https://www.ebay.com/sch/i.html?_nkw=Arthur%20Rubinstein%20Chopin%20Complete%20Collection&amp;_sacat=0&amp;_from=R40&amp;_sop=15&amp;rt=nc&amp;_udlo=20000</t>
  </si>
  <si>
    <t>https://jp.mercari.com/search?keyword=%E3%83%AB%E3%83%BC%E3%83%93%E3%83%B3%E3%82%B7%E3%83%A5%E3%82%BF%E3%82%A4%E3%83%B3%20%E3%82%B7%E3%83%A7%E3%83%91%E3%83%B3%E5%85%A8%E9%9B%86%20CD&amp;price_min=10000&amp;sort=price&amp;order=asc&amp;status=on_sale</t>
  </si>
  <si>
    <t>https://fril.jp/s?query=%E3%83%AB%E3%83%BC%E3%83%93%E3%83%B3%E3%82%B7%E3%83%A5%E3%82%BF%E3%82%A4%E3%83%B3%20%E3%82%B7%E3%83%A7%E3%83%91%E3%83%B3%E5%85%A8%E9%9B%86%20CD&amp;min=10000&amp;transaction=selling</t>
  </si>
  <si>
    <t>https://search.rakuten.co.jp/search/mall/%E3%83%AB%E3%83%BC%E3%83%93%E3%83%B3%E3%82%B7%E3%83%A5%E3%82%BF%E3%82%A4%E3%83%B3%20%E3%82%B7%E3%83%A7%E3%83%91%E3%83%B3%E5%85%A8%E9%9B%86%20CD/?min=10000</t>
  </si>
  <si>
    <t>https://auctions.yahoo.co.jp/search/search?p=%E3%83%AB%E3%83%BC%E3%83%93%E3%83%B3%E3%82%B7%E3%83%A5%E3%82%BF%E3%82%A4%E3%83%B3%20%E3%82%B7%E3%83%A7%E3%83%91%E3%83%B3%E5%85%A8%E9%9B%86%20CD&amp;aucminprice=10000</t>
  </si>
  <si>
    <t>https://shopping.yahoo.co.jp/search/%E3%83%AB%E3%83%BC%E3%83%93%E3%83%B3%E3%82%B7%E3%83%A5%E3%82%BF%E3%82%A4%E3%83%B3%20%E3%82%B7%E3%83%A7%E3%83%91%E3%83%B3%E5%85%A8%E9%9B%86%20CD/0/?pf=10000</t>
  </si>
  <si>
    <t>ウラジミール ホロヴィッツlive at Carnegie Hall CD未開封</t>
  </si>
  <si>
    <t>https://www.ebay.com/sch/i.html?_nkw=Vladimir%20Horowitz%20Live%20at%20Carnegie&amp;_sacat=0&amp;_from=R40&amp;_sop=15&amp;rt=nc&amp;_udlo=20000</t>
  </si>
  <si>
    <t>https://jp.mercari.com/search?keyword=%E3%83%9B%E3%83%AD%E3%83%B4%E3%82%A3%E3%83%83%E3%83%84%20Carnegie%20Hall%20CD&amp;price_min=10000&amp;sort=price&amp;order=asc&amp;status=on_sale</t>
  </si>
  <si>
    <t>https://fril.jp/s?query=%E3%83%9B%E3%83%AD%E3%83%B4%E3%82%A3%E3%83%83%E3%83%84%20Carnegie%20Hall%20CD&amp;min=10000&amp;transaction=selling</t>
  </si>
  <si>
    <t>https://search.rakuten.co.jp/search/mall/%E3%83%9B%E3%83%AD%E3%83%B4%E3%82%A3%E3%83%83%E3%83%84%20Carnegie%20Hall%20CD/?min=10000</t>
  </si>
  <si>
    <t>https://auctions.yahoo.co.jp/search/search?p=%E3%83%9B%E3%83%AD%E3%83%B4%E3%82%A3%E3%83%83%E3%83%84%20Carnegie%20Hall%20CD&amp;aucminprice=10000</t>
  </si>
  <si>
    <t>https://shopping.yahoo.co.jp/search/%E3%83%9B%E3%83%AD%E3%83%B4%E3%82%A3%E3%83%83%E3%83%84%20Carnegie%20Hall%20CD/0/?pf=10000</t>
  </si>
  <si>
    <t>KARAJAN 1970s CDボックスセット</t>
  </si>
  <si>
    <t>https://www.ebay.com/sch/i.html?_nkw=Karajan%201970s%20CD%20Box%20Set&amp;_sacat=0&amp;_from=R40&amp;_sop=15&amp;rt=nc&amp;_udlo=20000</t>
  </si>
  <si>
    <t>https://jp.mercari.com/search?keyword=%E3%82%AB%E3%83%A9%E3%83%A4%E3%83%B3%201970s%20CD%E3%83%9C%E3%83%83%E3%82%AF%E3%82%B9&amp;price_min=10000&amp;sort=price&amp;order=asc&amp;status=on_sale</t>
  </si>
  <si>
    <t>https://fril.jp/s?query=%E3%82%AB%E3%83%A9%E3%83%A4%E3%83%B3%201970s%20CD%E3%83%9C%E3%83%83%E3%82%AF%E3%82%B9&amp;min=10000&amp;transaction=selling</t>
  </si>
  <si>
    <t>https://search.rakuten.co.jp/search/mall/%E3%82%AB%E3%83%A9%E3%83%A4%E3%83%B3%201970s%20CD%E3%83%9C%E3%83%83%E3%82%AF%E3%82%B9/?min=10000</t>
  </si>
  <si>
    <t>https://auctions.yahoo.co.jp/search/search?p=%E3%82%AB%E3%83%A9%E3%83%A4%E3%83%B3%201970s%20CD%E3%83%9C%E3%83%83%E3%82%AF%E3%82%B9&amp;aucminprice=10000</t>
  </si>
  <si>
    <t>https://shopping.yahoo.co.jp/search/%E3%82%AB%E3%83%A9%E3%83%A4%E3%83%B3%201970s%20CD%E3%83%9C%E3%83%83%E3%82%AF%E3%82%B9/0/?pf=10000</t>
  </si>
  <si>
    <t>デート・ア・ライブ 時崎狂三 制服ver 1/7 完成品フィギュア[プルクラ]</t>
  </si>
  <si>
    <t>https://www.ebay.com/sch/i.html?_nkw=Date%20A%20Live%20Kurumi%20Tokisaki&amp;_sacat=0&amp;_from=R40&amp;_sop=15&amp;rt=nc&amp;_udlo=20000</t>
  </si>
  <si>
    <t>https://jp.mercari.com/search?keyword=%E3%83%87%E3%83%BC%E3%83%88%E3%83%BB%E3%82%A2%E3%83%BB%E3%83%A9%E3%82%A4%E3%83%96%20%E6%99%82%E5%B4%8E%E7%8B%82%E4%B8%89%201/7%20%E3%83%97%E3%83%AB%E3%82%AF%E3%83%A9&amp;price_min=10000&amp;sort=price&amp;order=asc&amp;status=on_sale</t>
  </si>
  <si>
    <t>https://fril.jp/s?query=%E3%83%87%E3%83%BC%E3%83%88%E3%83%BB%E3%82%A2%E3%83%BB%E3%83%A9%E3%82%A4%E3%83%96%20%E6%99%82%E5%B4%8E%E7%8B%82%E4%B8%89%201/7%20%E3%83%97%E3%83%AB%E3%82%AF%E3%83%A9&amp;min=10000&amp;transaction=selling</t>
  </si>
  <si>
    <t>https://search.rakuten.co.jp/search/mall/%E3%83%87%E3%83%BC%E3%83%88%E3%83%BB%E3%82%A2%E3%83%BB%E3%83%A9%E3%82%A4%E3%83%96%20%E6%99%82%E5%B4%8E%E7%8B%82%E4%B8%89%201/7%20%E3%83%97%E3%83%AB%E3%82%AF%E3%83%A9/?min=10000</t>
  </si>
  <si>
    <t>https://auctions.yahoo.co.jp/search/search?p=%E3%83%87%E3%83%BC%E3%83%88%E3%83%BB%E3%82%A2%E3%83%BB%E3%83%A9%E3%82%A4%E3%83%96%20%E6%99%82%E5%B4%8E%E7%8B%82%E4%B8%89%201/7%20%E3%83%97%E3%83%AB%E3%82%AF%E3%83%A9&amp;aucminprice=10000</t>
  </si>
  <si>
    <t>https://shopping.yahoo.co.jp/search/%E3%83%87%E3%83%BC%E3%83%88%E3%83%BB%E3%82%A2%E3%83%BB%E3%83%A9%E3%82%A4%E3%83%96%20%E6%99%82%E5%B4%8E%E7%8B%82%E4%B8%89%201/7%20%E3%83%97%E3%83%AB%E3%82%AF%E3%83%A9/0/?pf=10000</t>
  </si>
  <si>
    <t>新品未開封amiiboファイアーエンブレム全13種コンプリート品</t>
  </si>
  <si>
    <t>https://www.ebay.com/sch/i.html?_nkw=amiibo%20Fire%20Emblem%20Complete%20Set&amp;_sacat=0&amp;_from=R40&amp;_sop=15&amp;rt=nc&amp;_udlo=20000</t>
  </si>
  <si>
    <t>https://jp.mercari.com/search?keyword=amiibo%20%E3%83%95%E3%82%A1%E3%82%A4%E3%82%A2%E3%83%BC%E3%82%A8%E3%83%A0%E3%83%96%E3%83%AC%E3%83%A0%20%E5%85%A813%E7%A8%AE&amp;price_min=10000&amp;sort=price&amp;order=asc&amp;status=on_sale</t>
  </si>
  <si>
    <t>https://fril.jp/s?query=amiibo%20%E3%83%95%E3%82%A1%E3%82%A4%E3%82%A2%E3%83%BC%E3%82%A8%E3%83%A0%E3%83%96%E3%83%AC%E3%83%A0%20%E5%85%A813%E7%A8%AE&amp;min=10000&amp;transaction=selling</t>
  </si>
  <si>
    <t>https://search.rakuten.co.jp/search/mall/amiibo%20%E3%83%95%E3%82%A1%E3%82%A4%E3%82%A2%E3%83%BC%E3%82%A8%E3%83%A0%E3%83%96%E3%83%AC%E3%83%A0%20%E5%85%A813%E7%A8%AE/?min=10000</t>
  </si>
  <si>
    <t>https://auctions.yahoo.co.jp/search/search?p=amiibo%20%E3%83%95%E3%82%A1%E3%82%A4%E3%82%A2%E3%83%BC%E3%82%A8%E3%83%A0%E3%83%96%E3%83%AC%E3%83%A0%20%E5%85%A813%E7%A8%AE&amp;aucminprice=10000</t>
  </si>
  <si>
    <t>https://shopping.yahoo.co.jp/search/amiibo%20%E3%83%95%E3%82%A1%E3%82%A4%E3%82%A2%E3%83%BC%E3%82%A8%E3%83%A0%E3%83%96%E3%83%AC%E3%83%A0%20%E5%85%A813%E7%A8%AE/0/?pf=10000</t>
  </si>
  <si>
    <t>レア　スターバックス　中国　アニバーサリー　25周年　ラインストーンタンブラー</t>
  </si>
  <si>
    <t>https://www.ebay.com/sch/i.html?_nkw=Starbucks%20China%2025th%20Anniversary%20Rhinestone&amp;_sacat=0&amp;_from=R40&amp;_sop=15&amp;rt=nc&amp;_udlo=20000</t>
  </si>
  <si>
    <t>https://jp.mercari.com/search?keyword=%E3%82%B9%E3%82%BF%E3%83%BC%E3%83%90%E3%83%83%E3%82%AF%E3%82%B9%20%E4%B8%AD%E5%9B%BD%2025%E5%91%A8%E5%B9%B4%20%E3%83%A9%E3%82%A4%E3%83%B3%E3%82%B9%E3%83%88%E3%83%BC%E3%83%B3%20%E3%82%BF%E3%83%B3%E3%83%96%E3%83%A9%E3%83%BC&amp;price_min=10000&amp;sort=price&amp;order=asc&amp;status=on_sale</t>
  </si>
  <si>
    <t>https://fril.jp/s?query=%E3%82%B9%E3%82%BF%E3%83%BC%E3%83%90%E3%83%83%E3%82%AF%E3%82%B9%20%E4%B8%AD%E5%9B%BD%2025%E5%91%A8%E5%B9%B4%20%E3%83%A9%E3%82%A4%E3%83%B3%E3%82%B9%E3%83%88%E3%83%BC%E3%83%B3%20%E3%82%BF%E3%83%B3%E3%83%96%E3%83%A9%E3%83%BC&amp;min=10000&amp;transaction=selling</t>
  </si>
  <si>
    <t>https://search.rakuten.co.jp/search/mall/%E3%82%B9%E3%82%BF%E3%83%BC%E3%83%90%E3%83%83%E3%82%AF%E3%82%B9%20%E4%B8%AD%E5%9B%BD%2025%E5%91%A8%E5%B9%B4%20%E3%83%A9%E3%82%A4%E3%83%B3%E3%82%B9%E3%83%88%E3%83%BC%E3%83%B3%20%E3%82%BF%E3%83%B3%E3%83%96%E3%83%A9%E3%83%BC/?min=10000</t>
  </si>
  <si>
    <t>https://auctions.yahoo.co.jp/search/search?p=%E3%82%B9%E3%82%BF%E3%83%BC%E3%83%90%E3%83%83%E3%82%AF%E3%82%B9%20%E4%B8%AD%E5%9B%BD%2025%E5%91%A8%E5%B9%B4%20%E3%83%A9%E3%82%A4%E3%83%B3%E3%82%B9%E3%83%88%E3%83%BC%E3%83%B3%20%E3%82%BF%E3%83%B3%E3%83%96%E3%83%A9%E3%83%BC&amp;aucminprice=10000</t>
  </si>
  <si>
    <t>https://shopping.yahoo.co.jp/search/%E3%82%B9%E3%82%BF%E3%83%BC%E3%83%90%E3%83%83%E3%82%AF%E3%82%B9%20%E4%B8%AD%E5%9B%BD%2025%E5%91%A8%E5%B9%B4%20%E3%83%A9%E3%82%A4%E3%83%B3%E3%82%B9%E3%83%88%E3%83%BC%E3%83%B3%20%E3%82%BF%E3%83%B3%E3%83%96%E3%83%A9%E3%83%BC/0/?pf=10000</t>
  </si>
  <si>
    <t>【フィリピン限定】2025 ホリデー　Starbucks ラインストーンボトル</t>
  </si>
  <si>
    <t>https://www.ebay.com/sch/i.html?_nkw=Starbucks%20Philippines%202025%20Holiday%20Rhinestone&amp;_sacat=0&amp;_from=R40&amp;_sop=15&amp;rt=nc&amp;_udlo=20000</t>
  </si>
  <si>
    <t>https://jp.mercari.com/search?keyword=%E3%82%B9%E3%82%BF%E3%83%BC%E3%83%90%E3%83%83%E3%82%AF%E3%82%B9%20%E3%83%95%E3%82%A3%E3%83%AA%E3%83%94%E3%83%B3%20%E3%83%9B%E3%83%AA%E3%83%87%E3%83%BC%20%E3%83%A9%E3%82%A4%E3%83%B3%E3%82%B9%E3%83%88%E3%83%BC%E3%83%B3%20%E3%83%9C%E3%83%88%E3%83%AB&amp;price_min=10000&amp;sort=price&amp;order=asc&amp;status=on_sale</t>
  </si>
  <si>
    <t>https://fril.jp/s?query=%E3%82%B9%E3%82%BF%E3%83%BC%E3%83%90%E3%83%83%E3%82%AF%E3%82%B9%20%E3%83%95%E3%82%A3%E3%83%AA%E3%83%94%E3%83%B3%20%E3%83%9B%E3%83%AA%E3%83%87%E3%83%BC%20%E3%83%A9%E3%82%A4%E3%83%B3%E3%82%B9%E3%83%88%E3%83%BC%E3%83%B3%20%E3%83%9C%E3%83%88%E3%83%AB&amp;min=10000&amp;transaction=selling</t>
  </si>
  <si>
    <t>https://search.rakuten.co.jp/search/mall/%E3%82%B9%E3%82%BF%E3%83%BC%E3%83%90%E3%83%83%E3%82%AF%E3%82%B9%20%E3%83%95%E3%82%A3%E3%83%AA%E3%83%94%E3%83%B3%20%E3%83%9B%E3%83%AA%E3%83%87%E3%83%BC%20%E3%83%A9%E3%82%A4%E3%83%B3%E3%82%B9%E3%83%88%E3%83%BC%E3%83%B3%20%E3%83%9C%E3%83%88%E3%83%AB/?min=10000</t>
  </si>
  <si>
    <t>https://auctions.yahoo.co.jp/search/search?p=%E3%82%B9%E3%82%BF%E3%83%BC%E3%83%90%E3%83%83%E3%82%AF%E3%82%B9%20%E3%83%95%E3%82%A3%E3%83%AA%E3%83%94%E3%83%B3%20%E3%83%9B%E3%83%AA%E3%83%87%E3%83%BC%20%E3%83%A9%E3%82%A4%E3%83%B3%E3%82%B9%E3%83%88%E3%83%BC%E3%83%B3%20%E3%83%9C%E3%83%88%E3%83%AB&amp;aucminprice=10000</t>
  </si>
  <si>
    <t>https://shopping.yahoo.co.jp/search/%E3%82%B9%E3%82%BF%E3%83%BC%E3%83%90%E3%83%83%E3%82%AF%E3%82%B9%20%E3%83%95%E3%82%A3%E3%83%AA%E3%83%94%E3%83%B3%20%E3%83%9B%E3%83%AA%E3%83%87%E3%83%BC%20%E3%83%A9%E3%82%A4%E3%83%B3%E3%82%B9%E3%83%88%E3%83%BC%E3%83%B3%20%E3%83%9C%E3%83%88%E3%83%AB/0/?pf=10000</t>
  </si>
  <si>
    <t>超希少 ピピンパワープレーヤー（EVT-2）アットマークの試作機 カタログ</t>
  </si>
  <si>
    <t>https://www.ebay.com/sch/i.html?_nkw=Apple%20Pippin%20Power%20Player%20EVT-2&amp;_sacat=0&amp;_from=R40&amp;_sop=15&amp;rt=nc&amp;_udlo=20000</t>
  </si>
  <si>
    <t>https://jp.mercari.com/search?keyword=%E3%83%94%E3%83%94%E3%83%B3%20%E3%83%91%E3%83%AF%E3%83%BC%E3%83%97%E3%83%AC%E3%83%BC%E3%83%A4%E3%83%BC%20EVT-2%20%E8%A9%A6%E4%BD%9C%E6%A9%9F&amp;price_min=10000&amp;sort=price&amp;order=asc&amp;status=on_sale</t>
  </si>
  <si>
    <t>https://fril.jp/s?query=%E3%83%94%E3%83%94%E3%83%B3%20%E3%83%91%E3%83%AF%E3%83%BC%E3%83%97%E3%83%AC%E3%83%BC%E3%83%A4%E3%83%BC%20EVT-2%20%E8%A9%A6%E4%BD%9C%E6%A9%9F&amp;min=10000&amp;transaction=selling</t>
  </si>
  <si>
    <t>https://search.rakuten.co.jp/search/mall/%E3%83%94%E3%83%94%E3%83%B3%20%E3%83%91%E3%83%AF%E3%83%BC%E3%83%97%E3%83%AC%E3%83%BC%E3%83%A4%E3%83%BC%20EVT-2%20%E8%A9%A6%E4%BD%9C%E6%A9%9F/?min=10000</t>
  </si>
  <si>
    <t>https://auctions.yahoo.co.jp/search/search?p=%E3%83%94%E3%83%94%E3%83%B3%20%E3%83%91%E3%83%AF%E3%83%BC%E3%83%97%E3%83%AC%E3%83%BC%E3%83%A4%E3%83%BC%20EVT-2%20%E8%A9%A6%E4%BD%9C%E6%A9%9F&amp;aucminprice=10000</t>
  </si>
  <si>
    <t>https://shopping.yahoo.co.jp/search/%E3%83%94%E3%83%94%E3%83%B3%20%E3%83%91%E3%83%AF%E3%83%BC%E3%83%97%E3%83%AC%E3%83%BC%E3%83%A4%E3%83%BC%20EVT-2%20%E8%A9%A6%E4%BD%9C%E6%A9%9F/0/?pf=10000</t>
  </si>
  <si>
    <t>https://jp.mercari.com/shops/product/2JFzkkveGWMj5BSiBBsXoH</t>
  </si>
  <si>
    <t>https://jp.mercari.com/item/m32325096070</t>
  </si>
  <si>
    <t>KATO 500系新幹線 500 TYPE EVA 8両セット</t>
    <phoneticPr fontId="1"/>
  </si>
  <si>
    <t>Other Railroads &amp; Trains</t>
  </si>
  <si>
    <t>https://jp.mercari.com/shops/product/2JVYWsKjcvmPQi3h7dyKJV</t>
  </si>
  <si>
    <t>https://auctions.yahoo.co.jp/jp/auction/t1243079549</t>
  </si>
  <si>
    <t>https://jp.mercari.com/shops/product/2JUBgnxZe43w8rxhJ2HYCA</t>
  </si>
  <si>
    <t>https://jp.mercari.com/item/m24257171552</t>
  </si>
  <si>
    <t>https://auctions.yahoo.co.jp/jp/auction/l1233878473</t>
  </si>
  <si>
    <t>https://paypayfleamarket.yahoo.co.jp/item/z672669294</t>
  </si>
  <si>
    <t>Video Game Accessories</t>
  </si>
  <si>
    <t>https://jp.mercari.com/item/m87729197296</t>
  </si>
  <si>
    <t>File188</t>
  </si>
  <si>
    <t>TOMIX 98959 N Gauge 500 Type EVA Evangelion Shinkansen Bullet Train Set Japan</t>
  </si>
  <si>
    <t>File189</t>
  </si>
  <si>
    <t>TOMIX 92962 N Gauge Sayonara Fuji Hayabusa Sleeper Express 14 Series Set Japan</t>
  </si>
  <si>
    <t>File190</t>
  </si>
  <si>
    <t>KATO N Gauge 500 Type EVA Evangelion Shinkansen Bullet Train 8-Car Set Japan</t>
  </si>
  <si>
    <t>File191</t>
  </si>
  <si>
    <t>MicroAce Miyazawa N Gauge American Train 50 Series 12-Car Full Set Japan Model</t>
  </si>
  <si>
    <t>File192</t>
  </si>
  <si>
    <t>Arthur Rubinstein The Chopin Collection Complete Classical Piano CD Box Japan</t>
  </si>
  <si>
    <t>File193</t>
  </si>
  <si>
    <t>Vladimir Horowitz Live at Carnegie Hall Classical Piano CD Box Set Sealed Japan</t>
  </si>
  <si>
    <t>File194</t>
  </si>
  <si>
    <t>Herbert von Karajan 1970s Deutsche Grammophon Classical CD Box Set Japan Import</t>
  </si>
  <si>
    <t>File195</t>
  </si>
  <si>
    <t>Date A Live Kurumi Tokisaki Uniform Ver 1/7 Figure Pulchra Anime Japan Import</t>
  </si>
  <si>
    <t>File196</t>
  </si>
  <si>
    <t>Nintendo amiibo Fire Emblem Complete Set 13 Figures Marth Ike Roy Lucina Japan</t>
  </si>
  <si>
    <t>File197</t>
  </si>
  <si>
    <t>Starbucks China 25th Anniversary Rhinestone Tumbler Limited 2000 Serial Numbered</t>
  </si>
  <si>
    <t>File198</t>
  </si>
  <si>
    <t>Starbucks Philippines 2025 Holiday Rhinestone Bottle Blue 355ml Limited Edition</t>
  </si>
  <si>
    <t>File199</t>
  </si>
  <si>
    <t>Apple Bandai Pippin atmark Power Player EVT-2 Prototype Catalog Brochure 1995 JP</t>
  </si>
  <si>
    <t>https://jp.mercari.com/item/m50870966383</t>
  </si>
  <si>
    <t>https://jp.mercari.com/item/m73836713672</t>
  </si>
  <si>
    <t>https://jp.mercari.com/item/m95721111719</t>
  </si>
  <si>
    <t>Rokid Glasses AIサングラス RV101</t>
  </si>
  <si>
    <t>https://jp.mercari.com/search?keyword=Rokid%20Glasses%20RV101&amp;price_min=10000&amp;sort=price&amp;order=asc&amp;status=on_sale</t>
  </si>
  <si>
    <t>https://fril.jp/s?query=Rokid%20Glasses%20RV101&amp;min=10000&amp;transaction=selling</t>
  </si>
  <si>
    <t>https://search.rakuten.co.jp/search/mall/Rokid%20Glasses%20RV101/?min=10000</t>
  </si>
  <si>
    <t>https://auctions.yahoo.co.jp/search/search?p=Rokid%20Glasses%20RV101&amp;aucminprice=10000</t>
  </si>
  <si>
    <t>https://shopping.yahoo.co.jp/search/Rokid%20Glasses%20RV101/0/?pf=10000</t>
  </si>
  <si>
    <t>ポケモンカード　デオキシスex 006/015構築済みスターターデオキシスデッキ</t>
  </si>
  <si>
    <t>https://jp.mercari.com/search?keyword=%E3%83%9D%E3%82%B1%E3%83%A2%E3%83%B3%E3%82%AB%E3%83%BC%E3%83%89%20%E3%83%87%E3%82%AA%E3%82%AD%E3%82%B7%E3%82%B9ex%20%E6%A7%8B%E7%AF%89%E6%B8%88%E3%81%BF%E3%83%87%E3%83%83%E3%82%AD&amp;price_min=10000&amp;sort=price&amp;order=asc&amp;status=on_sale</t>
  </si>
  <si>
    <t>https://fril.jp/s?query=%E3%83%9D%E3%82%B1%E3%83%A2%E3%83%B3%E3%82%AB%E3%83%BC%E3%83%89%20%E3%83%87%E3%82%AA%E3%82%AD%E3%82%B7%E3%82%B9ex%20%E6%A7%8B%E7%AF%89%E6%B8%88%E3%81%BF%E3%83%87%E3%83%83%E3%82%AD&amp;min=10000&amp;transaction=selling</t>
  </si>
  <si>
    <t>https://search.rakuten.co.jp/search/mall/%E3%83%9D%E3%82%B1%E3%83%A2%E3%83%B3%E3%82%AB%E3%83%BC%E3%83%89%20%E3%83%87%E3%82%AA%E3%82%AD%E3%82%B7%E3%82%B9ex%20%E6%A7%8B%E7%AF%89%E6%B8%88%E3%81%BF%E3%83%87%E3%83%83%E3%82%AD/?min=10000</t>
  </si>
  <si>
    <t>https://auctions.yahoo.co.jp/search/search?p=%E3%83%9D%E3%82%B1%E3%83%A2%E3%83%B3%E3%82%AB%E3%83%BC%E3%83%89%20%E3%83%87%E3%82%AA%E3%82%AD%E3%82%B7%E3%82%B9ex%20%E6%A7%8B%E7%AF%89%E6%B8%88%E3%81%BF%E3%83%87%E3%83%83%E3%82%AD&amp;aucminprice=10000</t>
  </si>
  <si>
    <t>https://shopping.yahoo.co.jp/search/%E3%83%9D%E3%82%B1%E3%83%A2%E3%83%B3%E3%82%AB%E3%83%BC%E3%83%89%20%E3%83%87%E3%82%AA%E3%82%AD%E3%82%B7%E3%82%B9ex%20%E6%A7%8B%E7%AF%89%E6%B8%88%E3%81%BF%E3%83%87%E3%83%83%E3%82%AD/0/?pf=10000</t>
  </si>
  <si>
    <t>ポケモンカード　セブンイレブン限定企画　七夜の願い星ジラーチ　プロモ　未開封</t>
  </si>
  <si>
    <t>https://jp.mercari.com/search?keyword=%E3%83%9D%E3%82%B1%E3%83%A2%E3%83%B3%E3%82%AB%E3%83%BC%E3%83%89%20%E3%82%B8%E3%83%A9%E3%83%BC%E3%83%81%20%E3%82%BB%E3%83%96%E3%83%B3%E3%82%A4%E3%83%AC%E3%83%96%E3%83%B3%20%E3%83%97%E3%83%AD%E3%83%A2%20%E6%9C%AA%E9%96%8B%E5%B0%81&amp;price_min=10000&amp;sort=price&amp;order=asc&amp;status=on_sale</t>
  </si>
  <si>
    <t>https://fril.jp/s?query=%E3%83%9D%E3%82%B1%E3%83%A2%E3%83%B3%E3%82%AB%E3%83%BC%E3%83%89%20%E3%82%B8%E3%83%A9%E3%83%BC%E3%83%81%20%E3%82%BB%E3%83%96%E3%83%B3%E3%82%A4%E3%83%AC%E3%83%96%E3%83%B3%20%E3%83%97%E3%83%AD%E3%83%A2%20%E6%9C%AA%E9%96%8B%E5%B0%81&amp;min=10000&amp;transaction=selling</t>
  </si>
  <si>
    <t>https://search.rakuten.co.jp/search/mall/%E3%83%9D%E3%82%B1%E3%83%A2%E3%83%B3%E3%82%AB%E3%83%BC%E3%83%89%20%E3%82%B8%E3%83%A9%E3%83%BC%E3%83%81%20%E3%82%BB%E3%83%96%E3%83%B3%E3%82%A4%E3%83%AC%E3%83%96%E3%83%B3%20%E3%83%97%E3%83%AD%E3%83%A2%20%E6%9C%AA%E9%96%8B%E5%B0%81/?min=10000</t>
  </si>
  <si>
    <t>https://auctions.yahoo.co.jp/search/search?p=%E3%83%9D%E3%82%B1%E3%83%A2%E3%83%B3%E3%82%AB%E3%83%BC%E3%83%89%20%E3%82%B8%E3%83%A9%E3%83%BC%E3%83%81%20%E3%82%BB%E3%83%96%E3%83%B3%E3%82%A4%E3%83%AC%E3%83%96%E3%83%B3%20%E3%83%97%E3%83%AD%E3%83%A2%20%E6%9C%AA%E9%96%8B%E5%B0%81&amp;aucminprice=10000</t>
  </si>
  <si>
    <t>https://shopping.yahoo.co.jp/search/%E3%83%9D%E3%82%B1%E3%83%A2%E3%83%B3%E3%82%AB%E3%83%BC%E3%83%89%20%E3%82%B8%E3%83%A9%E3%83%BC%E3%83%81%20%E3%82%BB%E3%83%96%E3%83%B3%E3%82%A4%E3%83%AC%E3%83%96%E3%83%B3%20%E3%83%97%E3%83%AD%E3%83%A2%20%E6%9C%AA%E9%96%8B%E5%B0%81/0/?pf=10000</t>
  </si>
  <si>
    <t>未開封 ロボ道 ブルーティッシュドッグ 装甲騎兵ボトムズ アクションフィギュア</t>
  </si>
  <si>
    <t>https://jp.mercari.com/search?keyword=%E3%83%AD%E3%83%9C%E9%81%93%20%E3%83%96%E3%83%AB%E3%83%BC%E3%83%86%E3%82%A3%E3%83%83%E3%82%B7%E3%83%A5%E3%83%89%E3%83%83%E3%82%B0%20%E8%A3%85%E7%94%B2%E9%A8%8E%E5%85%B5%E3%83%9C%E3%83%88%E3%83%A0%E3%82%BA&amp;price_min=10000&amp;sort=price&amp;order=asc&amp;status=on_sale</t>
  </si>
  <si>
    <t>https://fril.jp/s?query=%E3%83%AD%E3%83%9C%E9%81%93%20%E3%83%96%E3%83%AB%E3%83%BC%E3%83%86%E3%82%A3%E3%83%83%E3%82%B7%E3%83%A5%E3%83%89%E3%83%83%E3%82%B0%20%E8%A3%85%E7%94%B2%E9%A8%8E%E5%85%B5%E3%83%9C%E3%83%88%E3%83%A0%E3%82%BA&amp;min=10000&amp;transaction=selling</t>
  </si>
  <si>
    <t>https://search.rakuten.co.jp/search/mall/%E3%83%AD%E3%83%9C%E9%81%93%20%E3%83%96%E3%83%AB%E3%83%BC%E3%83%86%E3%82%A3%E3%83%83%E3%82%B7%E3%83%A5%E3%83%89%E3%83%83%E3%82%B0%20%E8%A3%85%E7%94%B2%E9%A8%8E%E5%85%B5%E3%83%9C%E3%83%88%E3%83%A0%E3%82%BA/?min=10000</t>
  </si>
  <si>
    <t>https://auctions.yahoo.co.jp/search/search?p=%E3%83%AD%E3%83%9C%E9%81%93%20%E3%83%96%E3%83%AB%E3%83%BC%E3%83%86%E3%82%A3%E3%83%83%E3%82%B7%E3%83%A5%E3%83%89%E3%83%83%E3%82%B0%20%E8%A3%85%E7%94%B2%E9%A8%8E%E5%85%B5%E3%83%9C%E3%83%88%E3%83%A0%E3%82%BA&amp;aucminprice=10000</t>
  </si>
  <si>
    <t>https://shopping.yahoo.co.jp/search/%E3%83%AD%E3%83%9C%E9%81%93%20%E3%83%96%E3%83%AB%E3%83%BC%E3%83%86%E3%82%A3%E3%83%83%E3%82%B7%E3%83%A5%E3%83%89%E3%83%83%E3%82%B0%20%E8%A3%85%E7%94%B2%E9%A8%8E%E5%85%B5%E3%83%9C%E3%83%88%E3%83%A0%E3%82%BA/0/?pf=10000</t>
  </si>
  <si>
    <t>MALICE MIZER 薔薇の婚礼 DVD 初回特典ペンダント付</t>
  </si>
  <si>
    <t>Malice Mizer Bara no Konrei DVD First Press Mana Pendant Visual Kei Japan Import</t>
  </si>
  <si>
    <t>https://jp.mercari.com/search?keyword=MALICE%20MIZER%20%E8%96%94%E8%96%87%E3%81%AE%E5%A9%9A%E7%A4%BC%20DVD&amp;price_min=10000&amp;sort=price&amp;order=asc&amp;status=on_sale</t>
  </si>
  <si>
    <t>https://fril.jp/s?query=MALICE%20MIZER%20%E8%96%94%E8%96%87%E3%81%AE%E5%A9%9A%E7%A4%BC%20DVD&amp;min=10000&amp;transaction=selling</t>
  </si>
  <si>
    <t>https://search.rakuten.co.jp/search/mall/MALICE%20MIZER%20%E8%96%94%E8%96%87%E3%81%AE%E5%A9%9A%E7%A4%BC%20DVD/?min=10000</t>
  </si>
  <si>
    <t>https://auctions.yahoo.co.jp/search/search?p=MALICE%20MIZER%20%E8%96%94%E8%96%87%E3%81%AE%E5%A9%9A%E7%A4%BC%20DVD&amp;aucminprice=10000</t>
  </si>
  <si>
    <t>https://shopping.yahoo.co.jp/search/MALICE%20MIZER%20%E8%96%94%E8%96%87%E3%81%AE%E5%A9%9A%E7%A4%BC%20DVD/0/?pf=10000</t>
  </si>
  <si>
    <t>【激レア】スノーピーク　スタッキングウッドマグ　雪峰H450、H300、H200</t>
  </si>
  <si>
    <t>Snow Peak Stacking Wood Mug Sekkei H450 H300 H200 Set Rare Discontinued Japan JP</t>
  </si>
  <si>
    <t>https://jp.mercari.com/search?keyword=%E3%82%B9%E3%83%8E%E3%83%BC%E3%83%94%E3%83%BC%E3%82%AF%20%E3%82%A6%E3%83%83%E3%83%89%E3%83%9E%E3%82%B0%20%E9%9B%AA%E5%B3%B0&amp;price_min=10000&amp;sort=price&amp;order=asc&amp;status=on_sale</t>
  </si>
  <si>
    <t>https://fril.jp/s?query=%E3%82%B9%E3%83%8E%E3%83%BC%E3%83%94%E3%83%BC%E3%82%AF%20%E3%82%A6%E3%83%83%E3%83%89%E3%83%9E%E3%82%B0%20%E9%9B%AA%E5%B3%B0&amp;min=10000&amp;transaction=selling</t>
  </si>
  <si>
    <t>https://search.rakuten.co.jp/search/mall/%E3%82%B9%E3%83%8E%E3%83%BC%E3%83%94%E3%83%BC%E3%82%AF%20%E3%82%A6%E3%83%83%E3%83%89%E3%83%9E%E3%82%B0%20%E9%9B%AA%E5%B3%B0/?min=10000</t>
  </si>
  <si>
    <t>https://auctions.yahoo.co.jp/search/search?p=%E3%82%B9%E3%83%8E%E3%83%BC%E3%83%94%E3%83%BC%E3%82%AF%20%E3%82%A6%E3%83%83%E3%83%89%E3%83%9E%E3%82%B0%20%E9%9B%AA%E5%B3%B0&amp;aucminprice=10000</t>
  </si>
  <si>
    <t>https://shopping.yahoo.co.jp/search/%E3%82%B9%E3%83%8E%E3%83%BC%E3%83%94%E3%83%BC%E3%82%AF%20%E3%82%A6%E3%83%83%E3%83%89%E3%83%9E%E3%82%B0%20%E9%9B%AA%E5%B3%B0/0/?pf=10000</t>
  </si>
  <si>
    <t>SUS/チタン/ビアタンブラー/ゴールド/300ml/ビールグラス/箱付/未使用</t>
  </si>
  <si>
    <t>https://jp.mercari.com/search?keyword=SUS%20gallery%20%E3%83%81%E3%82%BF%E3%83%B3%20%E3%82%BF%E3%83%B3%E3%83%96%E3%83%A9%E3%83%BC%20300ml&amp;price_min=10000&amp;sort=price&amp;order=asc&amp;status=on_sale</t>
  </si>
  <si>
    <t>https://fril.jp/s?query=SUS%20gallery%20%E3%83%81%E3%82%BF%E3%83%B3%20%E3%82%BF%E3%83%B3%E3%83%96%E3%83%A9%E3%83%BC%20300ml&amp;min=10000&amp;transaction=selling</t>
  </si>
  <si>
    <t>https://search.rakuten.co.jp/search/mall/SUS%20gallery%20%E3%83%81%E3%82%BF%E3%83%B3%20%E3%82%BF%E3%83%B3%E3%83%96%E3%83%A9%E3%83%BC%20300ml/?min=10000</t>
  </si>
  <si>
    <t>https://auctions.yahoo.co.jp/search/search?p=SUS%20gallery%20%E3%83%81%E3%82%BF%E3%83%B3%20%E3%82%BF%E3%83%B3%E3%83%96%E3%83%A9%E3%83%BC%20300ml&amp;aucminprice=10000</t>
  </si>
  <si>
    <t>https://shopping.yahoo.co.jp/search/SUS%20gallery%20%E3%83%81%E3%82%BF%E3%83%B3%20%E3%82%BF%E3%83%B3%E3%83%96%E3%83%A9%E3%83%BC%20300ml/0/?pf=10000</t>
  </si>
  <si>
    <t>https://jp.mercari.com/item/m83077740281</t>
  </si>
  <si>
    <t>https://jp.mercari.com/item/m20519724377</t>
  </si>
  <si>
    <t>https://jp.mercari.com/item/m76700574767</t>
  </si>
  <si>
    <t>https://jp.mercari.com/item/m20787315881</t>
  </si>
  <si>
    <t>https://jp.mercari.com/item/m86524559859</t>
  </si>
  <si>
    <t>https://www.ebay.com/sch/i.html?_nkw=Rokid+Glasses+RV101+AI&amp;_sacat=0&amp;_from=R40&amp;_sop=15&amp;rt=nc&amp;_udlo=20000</t>
  </si>
  <si>
    <t>https://www.ebay.com/sch/i.html?_nkw=Pokemon+Deoxys+ex+Starter+Deck&amp;_sacat=0&amp;_from=R40&amp;_sop=15&amp;rt=nc&amp;_udlo=20000</t>
  </si>
  <si>
    <t>https://www.ebay.com/sch/i.html?_nkw=Pokemon+Jirachi+Seven+Eleven+Promo&amp;_sacat=0&amp;_from=R40&amp;_sop=15&amp;rt=nc&amp;_udlo=20000</t>
  </si>
  <si>
    <t>https://www.ebay.com/sch/i.html?_nkw=threezero+Brutishdog+Votoms&amp;_sacat=0&amp;_from=R40&amp;_sop=15&amp;rt=nc&amp;_udlo=20000</t>
  </si>
  <si>
    <t>https://www.ebay.com/sch/i.html?_nkw=Malice+Mizer+Bara+no+Konrei+DVD&amp;_sacat=0&amp;_from=R40&amp;_sop=15&amp;rt=nc&amp;_udlo=20000</t>
  </si>
  <si>
    <t>https://www.ebay.com/sch/i.html?_nkw=Snow+Peak+Wood+Mug+Sekkei&amp;_sacat=0&amp;_from=R40&amp;_sop=15&amp;rt=nc&amp;_udlo=20000</t>
  </si>
  <si>
    <t>https://www.ebay.com/sch/i.html?_nkw=SUS+gallery+Titanium+Tumbler+Gold&amp;_sacat=0&amp;_from=R40&amp;_sop=15&amp;rt=nc&amp;_udlo=20000</t>
  </si>
  <si>
    <t>https://jp.mercari.com/item/m85033255649</t>
  </si>
  <si>
    <t>https://jp.mercari.com/item/m44065264678</t>
  </si>
  <si>
    <t>https://paypayfleamarket.yahoo.co.jp/item/z673289210</t>
  </si>
  <si>
    <t>https://paypayfleamarket.yahoo.co.jp/item/z663638800</t>
  </si>
  <si>
    <t>File200</t>
  </si>
  <si>
    <t>Rokid Glasses RV101 AI Smart Glasses Sunglasses Translation Camera Japan Used</t>
  </si>
  <si>
    <t>File201</t>
  </si>
  <si>
    <t>Pokemon Card Deoxys ex 006/015 1st Edition Constructed Starter Deck PCG Japan</t>
  </si>
  <si>
    <t>File202</t>
  </si>
  <si>
    <t>Pokemon Card Jirachi Seven Eleven Promo Sealed 2003 ADV Japanese Nintendo Japan</t>
  </si>
  <si>
    <t>File203</t>
  </si>
  <si>
    <t>threezero Robo-Dou Brutishdog Armored Trooper Votoms Action Figure Japan Import</t>
  </si>
  <si>
    <t>File204</t>
  </si>
  <si>
    <t>File205</t>
  </si>
  <si>
    <t>File206</t>
  </si>
  <si>
    <t>SUS Gallery Titanium Beer Tumbler Gold Sakura 300ml APEC 2010 Wood Box Japan New</t>
  </si>
  <si>
    <t>https://jp.mercari.com/item/m80251405489</t>
  </si>
  <si>
    <t>https://jp.mercari.com/item/m19588936057</t>
  </si>
  <si>
    <t>https://jp.mercari.com/item/m52071518922</t>
  </si>
  <si>
    <t>https://jp.mercari.com/item/m46616290388</t>
  </si>
  <si>
    <t>https://jp.mercari.com/item/m85372545452</t>
  </si>
  <si>
    <t>https://jp.mercari.com/item/m47015210051</t>
  </si>
  <si>
    <t>https://jp.mercari.com/item/m35264738889</t>
  </si>
  <si>
    <t>【新品未使用】1/60完全変形マクロス7 VF-11C with スーパーパック</t>
  </si>
  <si>
    <t>https://www.ebay.com/sch/i.html?_nkw=Yamato+Macross+VF-11C+Super+Pack&amp;_sacat=0&amp;_from=R40&amp;_sop=15&amp;rt=nc&amp;_udlo=20000</t>
  </si>
  <si>
    <t>https://jp.mercari.com/search?keyword=%E3%82%84%E3%81%BE%E3%81%A8%20%E3%83%9E%E3%82%AF%E3%83%AD%E3%82%B9%20VF-11C%20%E3%82%B9%E3%83%BC%E3%83%91%E3%83%BC%E3%83%91%E3%83%83%E3%82%AF&amp;price_min=10000&amp;sort=price&amp;order=asc&amp;status=on_sale</t>
  </si>
  <si>
    <t>https://fril.jp/s?query=%E3%82%84%E3%81%BE%E3%81%A8%20%E3%83%9E%E3%82%AF%E3%83%AD%E3%82%B9%20VF-11C%20%E3%82%B9%E3%83%BC%E3%83%91%E3%83%BC%E3%83%91%E3%83%83%E3%82%AF&amp;min=10000&amp;transaction=selling</t>
  </si>
  <si>
    <t>https://search.rakuten.co.jp/search/mall/%E3%82%84%E3%81%BE%E3%81%A8%20%E3%83%9E%E3%82%AF%E3%83%AD%E3%82%B9%20VF-11C%20%E3%82%B9%E3%83%BC%E3%83%91%E3%83%BC%E3%83%91%E3%83%83%E3%82%AF/?min=10000</t>
  </si>
  <si>
    <t>https://auctions.yahoo.co.jp/search/search?p=%E3%82%84%E3%81%BE%E3%81%A8%20%E3%83%9E%E3%82%AF%E3%83%AD%E3%82%B9%20VF-11C%20%E3%82%B9%E3%83%BC%E3%83%91%E3%83%BC%E3%83%91%E3%83%83%E3%82%AF&amp;aucminprice=10000</t>
  </si>
  <si>
    <t>https://shopping.yahoo.co.jp/search/%E3%82%84%E3%81%BE%E3%81%A8%20%E3%83%9E%E3%82%AF%E3%83%AD%E3%82%B9%20VF-11C%20%E3%82%B9%E3%83%BC%E3%83%91%E3%83%BC%E3%83%91%E3%83%83%E3%82%AF/0/?pf=10000</t>
  </si>
  <si>
    <t>やまとMACROSSPLUSマクロスプラスYF-19イサムダイソン搭乗機 中古品</t>
  </si>
  <si>
    <t>https://www.ebay.com/sch/i.html?_nkw=Yamato+Macross+Plus+YF-19+Isamu&amp;_sacat=0&amp;_from=R40&amp;_sop=15&amp;rt=nc&amp;_udlo=20000</t>
  </si>
  <si>
    <t>https://jp.mercari.com/search?keyword=%E3%82%84%E3%81%BE%E3%81%A8%20%E3%83%9E%E3%82%AF%E3%83%AD%E3%82%B9%E3%83%97%E3%83%A9%E3%82%B9%20YF-19%20%E3%82%A4%E3%82%B5%E3%83%A0&amp;price_min=10000&amp;sort=price&amp;order=asc&amp;status=on_sale</t>
  </si>
  <si>
    <t>https://fril.jp/s?query=%E3%82%84%E3%81%BE%E3%81%A8%20%E3%83%9E%E3%82%AF%E3%83%AD%E3%82%B9%E3%83%97%E3%83%A9%E3%82%B9%20YF-19%20%E3%82%A4%E3%82%B5%E3%83%A0&amp;min=10000&amp;transaction=selling</t>
  </si>
  <si>
    <t>https://search.rakuten.co.jp/search/mall/%E3%82%84%E3%81%BE%E3%81%A8%20%E3%83%9E%E3%82%AF%E3%83%AD%E3%82%B9%E3%83%97%E3%83%A9%E3%82%B9%20YF-19%20%E3%82%A4%E3%82%B5%E3%83%A0/?min=10000</t>
  </si>
  <si>
    <t>https://auctions.yahoo.co.jp/search/search?p=%E3%82%84%E3%81%BE%E3%81%A8%20%E3%83%9E%E3%82%AF%E3%83%AD%E3%82%B9%E3%83%97%E3%83%A9%E3%82%B9%20YF-19%20%E3%82%A4%E3%82%B5%E3%83%A0&amp;aucminprice=10000</t>
  </si>
  <si>
    <t>https://shopping.yahoo.co.jp/search/%E3%82%84%E3%81%BE%E3%81%A8%20%E3%83%9E%E3%82%AF%E3%83%AD%E3%82%B9%E3%83%97%E3%83%A9%E3%82%B9%20YF-19%20%E3%82%A4%E3%82%B5%E3%83%A0/0/?pf=10000</t>
  </si>
  <si>
    <t>マクロス 1/60 VF-1A エンジェルバーズ やまと 第1話 進宙式</t>
  </si>
  <si>
    <t>https://www.ebay.com/sch/i.html?_nkw=Yamato+Macross+VF-1A+Angel+Birds&amp;_sacat=0&amp;_from=R40&amp;_sop=15&amp;rt=nc&amp;_udlo=20000</t>
  </si>
  <si>
    <t>https://jp.mercari.com/search?keyword=%E3%82%84%E3%81%BE%E3%81%A8%20%E3%83%9E%E3%82%AF%E3%83%AD%E3%82%B9%20VF-1A%20%E3%82%A8%E3%83%B3%E3%82%B8%E3%82%A7%E3%83%AB%E3%83%90%E3%83%BC%E3%82%BA&amp;price_min=10000&amp;sort=price&amp;order=asc&amp;status=on_sale</t>
  </si>
  <si>
    <t>https://fril.jp/s?query=%E3%82%84%E3%81%BE%E3%81%A8%20%E3%83%9E%E3%82%AF%E3%83%AD%E3%82%B9%20VF-1A%20%E3%82%A8%E3%83%B3%E3%82%B8%E3%82%A7%E3%83%AB%E3%83%90%E3%83%BC%E3%82%BA&amp;min=10000&amp;transaction=selling</t>
  </si>
  <si>
    <t>https://search.rakuten.co.jp/search/mall/%E3%82%84%E3%81%BE%E3%81%A8%20%E3%83%9E%E3%82%AF%E3%83%AD%E3%82%B9%20VF-1A%20%E3%82%A8%E3%83%B3%E3%82%B8%E3%82%A7%E3%83%AB%E3%83%90%E3%83%BC%E3%82%BA/?min=10000</t>
  </si>
  <si>
    <t>https://auctions.yahoo.co.jp/search/search?p=%E3%82%84%E3%81%BE%E3%81%A8%20%E3%83%9E%E3%82%AF%E3%83%AD%E3%82%B9%20VF-1A%20%E3%82%A8%E3%83%B3%E3%82%B8%E3%82%A7%E3%83%AB%E3%83%90%E3%83%BC%E3%82%BA&amp;aucminprice=10000</t>
  </si>
  <si>
    <t>https://shopping.yahoo.co.jp/search/%E3%82%84%E3%81%BE%E3%81%A8%20%E3%83%9E%E3%82%AF%E3%83%AD%E3%82%B9%20VF-1A%20%E3%82%A8%E3%83%B3%E3%82%B8%E3%82%A7%E3%83%AB%E3%83%90%E3%83%BC%E3%82%BA/0/?pf=10000</t>
  </si>
  <si>
    <t>【完全未開封】やまと 1/60 完全変形 VF-1S ストライクバルキリー</t>
  </si>
  <si>
    <t>https://www.ebay.com/sch/i.html?_nkw=Yamato+Macross+VF-1S+Strike+Valkyrie&amp;_sacat=0&amp;_from=R40&amp;_sop=15&amp;rt=nc&amp;_udlo=20000</t>
  </si>
  <si>
    <t>https://jp.mercari.com/search?keyword=%E3%82%84%E3%81%BE%E3%81%A8%20%E3%83%9E%E3%82%AF%E3%83%AD%E3%82%B9%20VF-1S%20%E3%82%B9%E3%83%88%E3%83%A9%E3%82%A4%E3%82%AF%E3%83%90%E3%83%AB%E3%82%AD%E3%83%AA%E3%83%BC&amp;price_min=10000&amp;sort=price&amp;order=asc&amp;status=on_sale</t>
  </si>
  <si>
    <t>https://fril.jp/s?query=%E3%82%84%E3%81%BE%E3%81%A8%20%E3%83%9E%E3%82%AF%E3%83%AD%E3%82%B9%20VF-1S%20%E3%82%B9%E3%83%88%E3%83%A9%E3%82%A4%E3%82%AF%E3%83%90%E3%83%AB%E3%82%AD%E3%83%AA%E3%83%BC&amp;min=10000&amp;transaction=selling</t>
  </si>
  <si>
    <t>https://search.rakuten.co.jp/search/mall/%E3%82%84%E3%81%BE%E3%81%A8%20%E3%83%9E%E3%82%AF%E3%83%AD%E3%82%B9%20VF-1S%20%E3%82%B9%E3%83%88%E3%83%A9%E3%82%A4%E3%82%AF%E3%83%90%E3%83%AB%E3%82%AD%E3%83%AA%E3%83%BC/?min=10000</t>
  </si>
  <si>
    <t>https://auctions.yahoo.co.jp/search/search?p=%E3%82%84%E3%81%BE%E3%81%A8%20%E3%83%9E%E3%82%AF%E3%83%AD%E3%82%B9%20VF-1S%20%E3%82%B9%E3%83%88%E3%83%A9%E3%82%A4%E3%82%AF%E3%83%90%E3%83%AB%E3%82%AD%E3%83%AA%E3%83%BC&amp;aucminprice=10000</t>
  </si>
  <si>
    <t>https://shopping.yahoo.co.jp/search/%E3%82%84%E3%81%BE%E3%81%A8%20%E3%83%9E%E3%82%AF%E3%83%AD%E3%82%B9%20VF-1S%20%E3%82%B9%E3%83%88%E3%83%A9%E3%82%A4%E3%82%AF%E3%83%90%E3%83%AB%E3%82%AD%E3%83%AA%E3%83%BC/0/?pf=10000</t>
  </si>
  <si>
    <t>アルカディア　マクロスゼロ1/60 SV-51γ D.D.イワノフ搭乗機</t>
  </si>
  <si>
    <t>https://www.ebay.com/sch/i.html?_nkw=Arcadia+Macross+Zero+SV-51+Ivanov&amp;_sacat=0&amp;_from=R40&amp;_sop=15&amp;rt=nc&amp;_udlo=20000</t>
  </si>
  <si>
    <t>https://jp.mercari.com/search?keyword=%E3%82%A2%E3%83%AB%E3%82%AB%E3%83%87%E3%82%A3%E3%82%A2%20%E3%83%9E%E3%82%AF%E3%83%AD%E3%82%B9%E3%82%BC%E3%83%AD%20SV-51%20%E3%82%A4%E3%83%AF%E3%83%8E%E3%83%95&amp;price_min=10000&amp;sort=price&amp;order=asc&amp;status=on_sale</t>
  </si>
  <si>
    <t>https://fril.jp/s?query=%E3%82%A2%E3%83%AB%E3%82%AB%E3%83%87%E3%82%A3%E3%82%A2%20%E3%83%9E%E3%82%AF%E3%83%AD%E3%82%B9%E3%82%BC%E3%83%AD%20SV-51%20%E3%82%A4%E3%83%AF%E3%83%8E%E3%83%95&amp;min=10000&amp;transaction=selling</t>
  </si>
  <si>
    <t>https://search.rakuten.co.jp/search/mall/%E3%82%A2%E3%83%AB%E3%82%AB%E3%83%87%E3%82%A3%E3%82%A2%20%E3%83%9E%E3%82%AF%E3%83%AD%E3%82%B9%E3%82%BC%E3%83%AD%20SV-51%20%E3%82%A4%E3%83%AF%E3%83%8E%E3%83%95/?min=10000</t>
  </si>
  <si>
    <t>https://auctions.yahoo.co.jp/search/search?p=%E3%82%A2%E3%83%AB%E3%82%AB%E3%83%87%E3%82%A3%E3%82%A2%20%E3%83%9E%E3%82%AF%E3%83%AD%E3%82%B9%E3%82%BC%E3%83%AD%20SV-51%20%E3%82%A4%E3%83%AF%E3%83%8E%E3%83%95&amp;aucminprice=10000</t>
  </si>
  <si>
    <t>https://shopping.yahoo.co.jp/search/%E3%82%A2%E3%83%AB%E3%82%AB%E3%83%87%E3%82%A3%E3%82%A2%20%E3%83%9E%E3%82%AF%E3%83%AD%E3%82%B9%E3%82%BC%E3%83%AD%20SV-51%20%E3%82%A4%E3%83%AF%E3%83%8E%E3%83%95/0/?pf=10000</t>
  </si>
  <si>
    <t>アルカディア　YF-19 プレミアムフィニッシュ【美品】</t>
  </si>
  <si>
    <t>https://www.ebay.com/sch/i.html?_nkw=Arcadia+Macross+YF-19+Premium+Finish&amp;_sacat=0&amp;_from=R40&amp;_sop=15&amp;rt=nc&amp;_udlo=20000</t>
  </si>
  <si>
    <t>https://jp.mercari.com/search?keyword=%E3%82%A2%E3%83%AB%E3%82%AB%E3%83%87%E3%82%A3%E3%82%A2%20YF-19%20%E3%83%97%E3%83%AC%E3%83%9F%E3%82%A2%E3%83%A0%E3%83%95%E3%82%A3%E3%83%8B%E3%83%83%E3%82%B7%E3%83%A5&amp;price_min=10000&amp;sort=price&amp;order=asc&amp;status=on_sale</t>
  </si>
  <si>
    <t>https://fril.jp/s?query=%E3%82%A2%E3%83%AB%E3%82%AB%E3%83%87%E3%82%A3%E3%82%A2%20YF-19%20%E3%83%97%E3%83%AC%E3%83%9F%E3%82%A2%E3%83%A0%E3%83%95%E3%82%A3%E3%83%8B%E3%83%83%E3%82%B7%E3%83%A5&amp;min=10000&amp;transaction=selling</t>
  </si>
  <si>
    <t>https://search.rakuten.co.jp/search/mall/%E3%82%A2%E3%83%AB%E3%82%AB%E3%83%87%E3%82%A3%E3%82%A2%20YF-19%20%E3%83%97%E3%83%AC%E3%83%9F%E3%82%A2%E3%83%A0%E3%83%95%E3%82%A3%E3%83%8B%E3%83%83%E3%82%B7%E3%83%A5/?min=10000</t>
  </si>
  <si>
    <t>https://auctions.yahoo.co.jp/search/search?p=%E3%82%A2%E3%83%AB%E3%82%AB%E3%83%87%E3%82%A3%E3%82%A2%20YF-19%20%E3%83%97%E3%83%AC%E3%83%9F%E3%82%A2%E3%83%A0%E3%83%95%E3%82%A3%E3%83%8B%E3%83%83%E3%82%B7%E3%83%A5&amp;aucminprice=10000</t>
  </si>
  <si>
    <t>https://shopping.yahoo.co.jp/search/%E3%82%A2%E3%83%AB%E3%82%AB%E3%83%87%E3%82%A3%E3%82%A2%20YF-19%20%E3%83%97%E3%83%AC%E3%83%9F%E3%82%A2%E3%83%A0%E3%83%95%E3%82%A3%E3%83%8B%E3%83%83%E3%82%B7%E3%83%A5/0/?pf=10000</t>
  </si>
  <si>
    <t>BOSS × ウマ娘 グランプリボスジャン</t>
  </si>
  <si>
    <t>https://www.ebay.com/sch/i.html?_nkw=BOSS+Uma+Musume+Grand+Prix&amp;_sacat=0&amp;_from=R40&amp;_sop=15&amp;rt=nc&amp;_udlo=20000</t>
  </si>
  <si>
    <t>https://jp.mercari.com/search?keyword=BOSS%20%E3%82%A6%E3%83%9E%E5%A8%98%20%E3%82%B0%E3%83%A9%E3%83%B3%E3%83%97%E3%83%AA%20%E3%83%9C%E3%82%B9%E3%82%B8%E3%83%A3%E3%83%B3&amp;price_min=10000&amp;sort=price&amp;order=asc&amp;status=on_sale</t>
  </si>
  <si>
    <t>https://fril.jp/s?query=BOSS%20%E3%82%A6%E3%83%9E%E5%A8%98%20%E3%82%B0%E3%83%A9%E3%83%B3%E3%83%97%E3%83%AA%20%E3%83%9C%E3%82%B9%E3%82%B8%E3%83%A3%E3%83%B3&amp;min=10000&amp;transaction=selling</t>
  </si>
  <si>
    <t>https://search.rakuten.co.jp/search/mall/BOSS%20%E3%82%A6%E3%83%9E%E5%A8%98%20%E3%82%B0%E3%83%A9%E3%83%B3%E3%83%97%E3%83%AA%20%E3%83%9C%E3%82%B9%E3%82%B8%E3%83%A3%E3%83%B3/?min=10000</t>
  </si>
  <si>
    <t>https://auctions.yahoo.co.jp/search/search?p=BOSS%20%E3%82%A6%E3%83%9E%E5%A8%98%20%E3%82%B0%E3%83%A9%E3%83%B3%E3%83%97%E3%83%AA%20%E3%83%9C%E3%82%B9%E3%82%B8%E3%83%A3%E3%83%B3&amp;aucminprice=10000</t>
  </si>
  <si>
    <t>https://shopping.yahoo.co.jp/search/BOSS%20%E3%82%A6%E3%83%9E%E5%A8%98%20%E3%82%B0%E3%83%A9%E3%83%B3%E3%83%97%E3%83%AA%20%E3%83%9C%E3%82%B9%E3%82%B8%E3%83%A3%E3%83%B3/0/?pf=10000</t>
  </si>
  <si>
    <t>モノマネむすめ P 「ポケモンカードゲームLEGEND」発売記念大会 入賞者カ…</t>
  </si>
  <si>
    <t>https://www.ebay.com/sch/i.html?_nkw=Pokemon+Monomane+Musume+LEGEND+Promo&amp;_sacat=0&amp;_from=R40&amp;_sop=15&amp;rt=nc&amp;_udlo=20000</t>
  </si>
  <si>
    <t>https://jp.mercari.com/search?keyword=%E3%83%9D%E3%82%B1%E3%83%A2%E3%83%B3%E3%82%AB%E3%83%BC%E3%83%89%20%E3%83%A2%E3%83%8E%E3%83%9E%E3%83%8D%E3%82%80%E3%81%99%E3%82%81%20LEGEND%20%E3%83%97%E3%83%AD%E3%83%A2&amp;price_min=10000&amp;sort=price&amp;order=asc&amp;status=on_sale</t>
  </si>
  <si>
    <t>https://fril.jp/s?query=%E3%83%9D%E3%82%B1%E3%83%A2%E3%83%B3%E3%82%AB%E3%83%BC%E3%83%89%20%E3%83%A2%E3%83%8E%E3%83%9E%E3%83%8D%E3%82%80%E3%81%99%E3%82%81%20LEGEND%20%E3%83%97%E3%83%AD%E3%83%A2&amp;min=10000&amp;transaction=selling</t>
  </si>
  <si>
    <t>https://search.rakuten.co.jp/search/mall/%E3%83%9D%E3%82%B1%E3%83%A2%E3%83%B3%E3%82%AB%E3%83%BC%E3%83%89%20%E3%83%A2%E3%83%8E%E3%83%9E%E3%83%8D%E3%82%80%E3%81%99%E3%82%81%20LEGEND%20%E3%83%97%E3%83%AD%E3%83%A2/?min=10000</t>
  </si>
  <si>
    <t>https://auctions.yahoo.co.jp/search/search?p=%E3%83%9D%E3%82%B1%E3%83%A2%E3%83%B3%E3%82%AB%E3%83%BC%E3%83%89%20%E3%83%A2%E3%83%8E%E3%83%9E%E3%83%8D%E3%82%80%E3%81%99%E3%82%81%20LEGEND%20%E3%83%97%E3%83%AD%E3%83%A2&amp;aucminprice=10000</t>
  </si>
  <si>
    <t>https://shopping.yahoo.co.jp/search/%E3%83%9D%E3%82%B1%E3%83%A2%E3%83%B3%E3%82%AB%E3%83%BC%E3%83%89%20%E3%83%A2%E3%83%8E%E3%83%9E%E3%83%8D%E3%82%80%E3%81%99%E3%82%81%20LEGEND%20%E3%83%97%E3%83%AD%E3%83%A2/0/?pf=10000</t>
  </si>
  <si>
    <t>あいつ サイバー忍者 パンクドランカーズ デビルトイズ ソフビ 新品</t>
  </si>
  <si>
    <t>https://www.ebay.com/sch/i.html?_nkw=Aitsu+Cyber+Ninja+Punkdrunkers+Sofubi&amp;_sacat=0&amp;_from=R40&amp;_sop=15&amp;rt=nc&amp;_udlo=20000</t>
  </si>
  <si>
    <t>https://jp.mercari.com/search?keyword=%E3%81%82%E3%81%84%E3%81%A4%20%E3%82%B5%E3%82%A4%E3%83%90%E3%83%BC%E5%BF%8D%E8%80%85%20%E3%83%91%E3%83%B3%E3%82%AF%E3%83%89%E3%83%A9%E3%83%B3%E3%82%AB%E3%83%BC%E3%82%BA%20%E3%82%BD%E3%83%95%E3%83%93&amp;price_min=10000&amp;sort=price&amp;order=asc&amp;status=on_sale</t>
  </si>
  <si>
    <t>https://fril.jp/s?query=%E3%81%82%E3%81%84%E3%81%A4%20%E3%82%B5%E3%82%A4%E3%83%90%E3%83%BC%E5%BF%8D%E8%80%85%20%E3%83%91%E3%83%B3%E3%82%AF%E3%83%89%E3%83%A9%E3%83%B3%E3%82%AB%E3%83%BC%E3%82%BA%20%E3%82%BD%E3%83%95%E3%83%93&amp;min=10000&amp;transaction=selling</t>
  </si>
  <si>
    <t>https://search.rakuten.co.jp/search/mall/%E3%81%82%E3%81%84%E3%81%A4%20%E3%82%B5%E3%82%A4%E3%83%90%E3%83%BC%E5%BF%8D%E8%80%85%20%E3%83%91%E3%83%B3%E3%82%AF%E3%83%89%E3%83%A9%E3%83%B3%E3%82%AB%E3%83%BC%E3%82%BA%20%E3%82%BD%E3%83%95%E3%83%93/?min=10000</t>
  </si>
  <si>
    <t>https://auctions.yahoo.co.jp/search/search?p=%E3%81%82%E3%81%84%E3%81%A4%20%E3%82%B5%E3%82%A4%E3%83%90%E3%83%BC%E5%BF%8D%E8%80%85%20%E3%83%91%E3%83%B3%E3%82%AF%E3%83%89%E3%83%A9%E3%83%B3%E3%82%AB%E3%83%BC%E3%82%BA%20%E3%82%BD%E3%83%95%E3%83%93&amp;aucminprice=10000</t>
  </si>
  <si>
    <t>https://shopping.yahoo.co.jp/search/%E3%81%82%E3%81%84%E3%81%A4%20%E3%82%B5%E3%82%A4%E3%83%90%E3%83%BC%E5%BF%8D%E8%80%85%20%E3%83%91%E3%83%B3%E3%82%AF%E3%83%89%E3%83%A9%E3%83%B3%E3%82%AB%E3%83%BC%E3%82%BA%20%E3%82%BD%E3%83%95%E3%83%93/0/?pf=10000</t>
  </si>
  <si>
    <t>限定価格新品未開封】超希少 スミスキー チビドンスキー ぬいぐるみ 非売品 限定</t>
  </si>
  <si>
    <t>https://www.ebay.com/sch/i.html?_nkw=Smiski+Chibi+Donski+Plush&amp;_sacat=0&amp;_from=R40&amp;_sop=15&amp;rt=nc&amp;_udlo=20000</t>
  </si>
  <si>
    <t>https://jp.mercari.com/search?keyword=%E3%82%B9%E3%83%9F%E3%82%B9%E3%82%AD%E3%83%BC%20%E3%83%81%E3%83%93%E3%83%89%E3%83%B3%E3%82%B9%E3%82%AD%E3%83%BC%20%E3%81%AC%E3%81%84%E3%81%90%E3%82%8B%E3%81%BF&amp;price_min=10000&amp;sort=price&amp;order=asc&amp;status=on_sale</t>
  </si>
  <si>
    <t>https://fril.jp/s?query=%E3%82%B9%E3%83%9F%E3%82%B9%E3%82%AD%E3%83%BC%20%E3%83%81%E3%83%93%E3%83%89%E3%83%B3%E3%82%B9%E3%82%AD%E3%83%BC%20%E3%81%AC%E3%81%84%E3%81%90%E3%82%8B%E3%81%BF&amp;min=10000&amp;transaction=selling</t>
  </si>
  <si>
    <t>https://search.rakuten.co.jp/search/mall/%E3%82%B9%E3%83%9F%E3%82%B9%E3%82%AD%E3%83%BC%20%E3%83%81%E3%83%93%E3%83%89%E3%83%B3%E3%82%B9%E3%82%AD%E3%83%BC%20%E3%81%AC%E3%81%84%E3%81%90%E3%82%8B%E3%81%BF/?min=10000</t>
  </si>
  <si>
    <t>https://auctions.yahoo.co.jp/search/search?p=%E3%82%B9%E3%83%9F%E3%82%B9%E3%82%AD%E3%83%BC%20%E3%83%81%E3%83%93%E3%83%89%E3%83%B3%E3%82%B9%E3%82%AD%E3%83%BC%20%E3%81%AC%E3%81%84%E3%81%90%E3%82%8B%E3%81%BF&amp;aucminprice=10000</t>
  </si>
  <si>
    <t>https://shopping.yahoo.co.jp/search/%E3%82%B9%E3%83%9F%E3%82%B9%E3%82%AD%E3%83%BC%20%E3%83%81%E3%83%93%E3%83%89%E3%83%B3%E3%82%B9%E3%82%AD%E3%83%BC%20%E3%81%AC%E3%81%84%E3%81%90%E3%82%8B%E3%81%BF/0/?pf=10000</t>
  </si>
  <si>
    <t>謎の円盤UFO ブルーレイ・コレクターズBOX〈初回生産限定・7枚組〉07058</t>
  </si>
  <si>
    <t>https://www.ebay.com/sch/i.html?_nkw=UFO+Blu-ray+Collectors+BOX&amp;_sacat=0&amp;_from=R40&amp;_sop=15&amp;rt=nc&amp;_udlo=20000</t>
  </si>
  <si>
    <t>https://jp.mercari.com/search?keyword=%E8%AC%8E%E3%81%AE%E5%86%86%E7%9B%A4UFO%20%E3%83%96%E3%83%AB%E3%83%BC%E3%83%AC%E3%82%A4%20BOX&amp;price_min=10000&amp;sort=price&amp;order=asc&amp;status=on_sale</t>
  </si>
  <si>
    <t>https://fril.jp/s?query=%E8%AC%8E%E3%81%AE%E5%86%86%E7%9B%A4UFO%20%E3%83%96%E3%83%AB%E3%83%BC%E3%83%AC%E3%82%A4%20BOX&amp;min=10000&amp;transaction=selling</t>
  </si>
  <si>
    <t>https://search.rakuten.co.jp/search/mall/%E8%AC%8E%E3%81%AE%E5%86%86%E7%9B%A4UFO%20%E3%83%96%E3%83%AB%E3%83%BC%E3%83%AC%E3%82%A4%20BOX/?min=10000</t>
  </si>
  <si>
    <t>https://auctions.yahoo.co.jp/search/search?p=%E8%AC%8E%E3%81%AE%E5%86%86%E7%9B%A4UFO%20%E3%83%96%E3%83%AB%E3%83%BC%E3%83%AC%E3%82%A4%20BOX&amp;aucminprice=10000</t>
  </si>
  <si>
    <t>https://shopping.yahoo.co.jp/search/%E8%AC%8E%E3%81%AE%E5%86%86%E7%9B%A4UFO%20%E3%83%96%E3%83%AB%E3%83%BC%E3%83%AC%E3%82%A4%20BOX/0/?pf=10000</t>
  </si>
  <si>
    <t>wave 謎の円盤UFO スカイダイバー SHADO SKYDIVER 未組立</t>
  </si>
  <si>
    <t>wave Nazono Enban UFO SHADO Skydiver Sofubi Garage Kit Unbuilt 50cm Japan Rare</t>
  </si>
  <si>
    <t>https://www.ebay.com/sch/i.html?_nkw=wave+UFO+Skydiver+Sofubi+Kit&amp;_sacat=0&amp;_from=R40&amp;_sop=15&amp;rt=nc&amp;_udlo=20000</t>
  </si>
  <si>
    <t>https://jp.mercari.com/search?keyword=wave%20%E8%AC%8E%E3%81%AE%E5%86%86%E7%9B%A4UFO%20%E3%82%B9%E3%82%AB%E3%82%A4%E3%83%80%E3%82%A4%E3%83%90%E3%83%BC&amp;price_min=10000&amp;sort=price&amp;order=asc&amp;status=on_sale</t>
  </si>
  <si>
    <t>https://fril.jp/s?query=wave%20%E8%AC%8E%E3%81%AE%E5%86%86%E7%9B%A4UFO%20%E3%82%B9%E3%82%AB%E3%82%A4%E3%83%80%E3%82%A4%E3%83%90%E3%83%BC&amp;min=10000&amp;transaction=selling</t>
  </si>
  <si>
    <t>https://search.rakuten.co.jp/search/mall/wave%20%E8%AC%8E%E3%81%AE%E5%86%86%E7%9B%A4UFO%20%E3%82%B9%E3%82%AB%E3%82%A4%E3%83%80%E3%82%A4%E3%83%90%E3%83%BC/?min=10000</t>
  </si>
  <si>
    <t>https://auctions.yahoo.co.jp/search/search?p=wave%20%E8%AC%8E%E3%81%AE%E5%86%86%E7%9B%A4UFO%20%E3%82%B9%E3%82%AB%E3%82%A4%E3%83%80%E3%82%A4%E3%83%90%E3%83%BC&amp;aucminprice=10000</t>
  </si>
  <si>
    <t>https://shopping.yahoo.co.jp/search/wave%20%E8%AC%8E%E3%81%AE%E5%86%86%E7%9B%A4UFO%20%E3%82%B9%E3%82%AB%E3%82%A4%E3%83%80%E3%82%A4%E3%83%90%E3%83%BC/0/?pf=10000</t>
  </si>
  <si>
    <t>https://jp.mercari.com/item/m46944050307</t>
  </si>
  <si>
    <t>https://jp.mercari.com/item/m78821137173</t>
  </si>
  <si>
    <t>https://jp.mercari.com/item/m57859843278</t>
  </si>
  <si>
    <t>HKS レーシングサクション アリスト JZS161</t>
  </si>
  <si>
    <t>https://www.ebay.com/itm/147463371443?nordt=true&amp;orig_cvip=true&amp;rt=nc</t>
  </si>
  <si>
    <t>https://www.ebay.com/sch/i.html?_nkw=HKS+Racing+Suction+Aristo+JZS161&amp;_sacat=0&amp;_sop=15</t>
  </si>
  <si>
    <t>https://auctions.yahoo.co.jp/jp/auction/f1197633241</t>
  </si>
  <si>
    <t>https://auctions.yahoo.co.jp/jp/auction/m1236907552</t>
  </si>
  <si>
    <t>https://auctions.yahoo.co.jp/jp/auction/m1220692394</t>
  </si>
  <si>
    <t>https://auctions.yahoo.co.jp/jp/auction/s1194514157</t>
  </si>
  <si>
    <t>https://jp.mercari.com/search?keyword=HKS%20%E3%83%AC%E3%83%BC%E3%82%B7%E3%83%B3%E3%82%B0%E3%82%B5%E3%82%AF%E3%82%B7%E3%83%A7%E3%83%B3%20%E3%82%A2%E3%83%AA%E3%82%B9%E3%83%88%20JZS161&amp;status=on_sale&amp;sort=price&amp;order=asc</t>
  </si>
  <si>
    <t>https://fril.jp/s?query=HKS+%E3%83%AC%E3%83%BC%E3%82%B7%E3%83%B3%E3%82%B0%E3%82%B5%E3%82%AF%E3%82%B7%E3%83%A7%E3%83%B3+%E3%82%A2%E3%83%AA%E3%82%B9%E3%83%88+JZS161&amp;transaction=selling&amp;sort=relevance&amp;order=desc</t>
  </si>
  <si>
    <t>https://search.rakuten.co.jp/search/mall/HKS%20%E3%83%AC%E3%83%BC%E3%82%B7%E3%83%B3%E3%82%B0%E3%82%B5%E3%82%AF%E3%82%B7%E3%83%A7%E3%83%B3%20%E3%82%A2%E3%83%AA%E3%82%B9%E3%83%88%20JZS161/</t>
  </si>
  <si>
    <t>https://auctions.yahoo.co.jp/search/search?p=HKS%20%E3%83%AC%E3%83%BC%E3%82%B7%E3%83%B3%E3%82%B0%E3%82%B5%E3%82%AF%E3%82%B7%E3%83%A7%E3%83%B3%20%E3%82%A2%E3%83%AA%E3%82%B9%E3%83%88%20JZS161&amp;s1=cbids&amp;o1=a</t>
  </si>
  <si>
    <t>https://paypayfleamarket.yahoo.co.jp/search/HKS%20%E3%83%AC%E3%83%BC%E3%82%B7%E3%83%B3%E3%82%B0%E3%82%B5%E3%82%AF%E3%82%B7%E3%83%A7%E3%83%B3%20%E3%82%A2%E3%83%AA%E3%82%B9%E3%83%88%20JZS161?sort=price&amp;order=asc&amp;open=1</t>
  </si>
  <si>
    <t>ドラゴンボール超 江戸切子グラス 孫悟飯 パープル</t>
  </si>
  <si>
    <t>https://www.ebay.com/itm/358452895883?nordt=true&amp;orig_cvip=true&amp;rt=nc</t>
  </si>
  <si>
    <t>https://www.ebay.com/sch/i.html?_nkw=Dragon+Ball+Edo+Kiriko+Glass+Gohan&amp;_sacat=0&amp;_sop=15</t>
  </si>
  <si>
    <t>https://jp.mercari.com/item/m28888040475</t>
  </si>
  <si>
    <t>https://jp.mercari.com/search?keyword=%E3%83%89%E3%83%A9%E3%82%B4%E3%83%B3%E3%83%9C%E3%83%BC%E3%83%AB%E8%B6%85%20%E6%B1%9F%E6%88%B8%E5%88%87%E5%AD%90%E3%82%B0%E3%83%A9%E3%82%B9%20%E5%AD%AB%E6%82%9F%E9%A3%AF%20%E3%83%91%E3%83%BC%E3%83%97%E3%83%AB&amp;status=on_sale&amp;sort=price&amp;order=asc</t>
  </si>
  <si>
    <t>https://fril.jp/s?query=%E3%83%89%E3%83%A9%E3%82%B4%E3%83%B3%E3%83%9C%E3%83%BC%E3%83%AB%E8%B6%85+%E6%B1%9F%E6%88%B8%E5%88%87%E5%AD%90%E3%82%B0%E3%83%A9%E3%82%B9+%E5%AD%AB%E6%82%9F%E9%A3%AF+%E3%83%91%E3%83%BC%E3%83%97%E3%83%AB&amp;transaction=selling&amp;sort=relevance&amp;order=desc</t>
  </si>
  <si>
    <t>https://search.rakuten.co.jp/search/mall/%E3%83%89%E3%83%A9%E3%82%B4%E3%83%B3%E3%83%9C%E3%83%BC%E3%83%AB%E8%B6%85%20%E6%B1%9F%E6%88%B8%E5%88%87%E5%AD%90%E3%82%B0%E3%83%A9%E3%82%B9%20%E5%AD%AB%E6%82%9F%E9%A3%AF%20%E3%83%91%E3%83%BC%E3%83%97%E3%83%AB/</t>
  </si>
  <si>
    <t>https://auctions.yahoo.co.jp/search/search?p=%E3%83%89%E3%83%A9%E3%82%B4%E3%83%B3%E3%83%9C%E3%83%BC%E3%83%AB%E8%B6%85%20%E6%B1%9F%E6%88%B8%E5%88%87%E5%AD%90%E3%82%B0%E3%83%A9%E3%82%B9%20%E5%AD%AB%E6%82%9F%E9%A3%AF%20%E3%83%91%E3%83%BC%E3%83%97%E3%83%AB&amp;s1=cbids&amp;o1=a</t>
  </si>
  <si>
    <t>https://paypayfleamarket.yahoo.co.jp/search/%E3%83%89%E3%83%A9%E3%82%B4%E3%83%B3%E3%83%9C%E3%83%BC%E3%83%AB%E8%B6%85%20%E6%B1%9F%E6%88%B8%E5%88%87%E5%AD%90%E3%82%B0%E3%83%A9%E3%82%B9%20%E5%AD%AB%E6%82%9F%E9%A3%AF%20%E3%83%91%E3%83%BC%E3%83%97%E3%83%AB?sort=price&amp;order=asc&amp;open=1</t>
  </si>
  <si>
    <t>ドラゴンボール超 江戸切子グラス ピッコロ グリーン</t>
  </si>
  <si>
    <t>https://www.ebay.com/itm/358452919354?nordt=true&amp;orig_cvip=true&amp;rt=nc</t>
  </si>
  <si>
    <t>https://www.ebay.com/sch/i.html?_nkw=Dragon+Ball+Edo+Kiriko+Glass+Piccolo&amp;_sacat=0&amp;_sop=15</t>
  </si>
  <si>
    <t>https://jp.mercari.com/item/m78988162134</t>
  </si>
  <si>
    <t>https://jp.mercari.com/search?keyword=%E3%83%89%E3%83%A9%E3%82%B4%E3%83%B3%E3%83%9C%E3%83%BC%E3%83%AB%E8%B6%85%20%E6%B1%9F%E6%88%B8%E5%88%87%E5%AD%90%E3%82%B0%E3%83%A9%E3%82%B9%20%E3%83%94%E3%83%83%E3%82%B3%E3%83%AD%20%E3%82%B0%E3%83%AA%E3%83%BC%E3%83%B3&amp;status=on_sale&amp;sort=price&amp;order=asc</t>
  </si>
  <si>
    <t>https://fril.jp/s?query=%E3%83%89%E3%83%A9%E3%82%B4%E3%83%B3%E3%83%9C%E3%83%BC%E3%83%AB%E8%B6%85+%E6%B1%9F%E6%88%B8%E5%88%87%E5%AD%90%E3%82%B0%E3%83%A9%E3%82%B9+%E3%83%94%E3%83%83%E3%82%B3%E3%83%AD+%E3%82%B0%E3%83%AA%E3%83%BC%E3%83%B3&amp;transaction=selling&amp;sort=relevance&amp;order=desc</t>
  </si>
  <si>
    <t>https://search.rakuten.co.jp/search/mall/%E3%83%89%E3%83%A9%E3%82%B4%E3%83%B3%E3%83%9C%E3%83%BC%E3%83%AB%E8%B6%85%20%E6%B1%9F%E6%88%B8%E5%88%87%E5%AD%90%E3%82%B0%E3%83%A9%E3%82%B9%20%E3%83%94%E3%83%83%E3%82%B3%E3%83%AD%20%E3%82%B0%E3%83%AA%E3%83%BC%E3%83%B3/</t>
  </si>
  <si>
    <t>https://auctions.yahoo.co.jp/search/search?p=%E3%83%89%E3%83%A9%E3%82%B4%E3%83%B3%E3%83%9C%E3%83%BC%E3%83%AB%E8%B6%85%20%E6%B1%9F%E6%88%B8%E5%88%87%E5%AD%90%E3%82%B0%E3%83%A9%E3%82%B9%20%E3%83%94%E3%83%83%E3%82%B3%E3%83%AD%20%E3%82%B0%E3%83%AA%E3%83%BC%E3%83%B3&amp;s1=cbids&amp;o1=a</t>
  </si>
  <si>
    <t>https://paypayfleamarket.yahoo.co.jp/search/%E3%83%89%E3%83%A9%E3%82%B4%E3%83%B3%E3%83%9C%E3%83%BC%E3%83%AB%E8%B6%85%20%E6%B1%9F%E6%88%B8%E5%88%87%E5%AD%90%E3%82%B0%E3%83%A9%E3%82%B9%20%E3%83%94%E3%83%83%E3%82%B3%E3%83%AD%20%E3%82%B0%E3%83%AA%E3%83%BC%E3%83%B3?sort=price&amp;order=asc&amp;open=1</t>
  </si>
  <si>
    <t>ポケモンカード チルタリス 291/XY-P プロモ</t>
  </si>
  <si>
    <t>https://www.ebay.com/itm/406819118555?nordt=true&amp;orig_cvip=true&amp;rt=nc</t>
  </si>
  <si>
    <t>https://www.ebay.com/sch/i.html?_nkw=Pokemon+Altaria+291/XY-P+Promo&amp;_sacat=0&amp;_sop=15</t>
  </si>
  <si>
    <t>https://jp.mercari.com/item/m52755867934</t>
  </si>
  <si>
    <t>https://jp.mercari.com/search?keyword=%E3%83%9D%E3%82%B1%E3%83%A2%E3%83%B3%E3%82%AB%E3%83%BC%E3%83%89%20%E3%83%81%E3%83%AB%E3%82%BF%E3%83%AA%E3%82%B9%20291%2FXY-P%20%E3%83%97%E3%83%AD%E3%83%A2&amp;status=on_sale&amp;sort=price&amp;order=asc</t>
  </si>
  <si>
    <t>https://fril.jp/s?query=%E3%83%9D%E3%82%B1%E3%83%A2%E3%83%B3%E3%82%AB%E3%83%BC%E3%83%89+%E3%83%81%E3%83%AB%E3%82%BF%E3%83%AA%E3%82%B9+291%2FXY-P+%E3%83%97%E3%83%AD%E3%83%A2&amp;transaction=selling&amp;sort=relevance&amp;order=desc</t>
  </si>
  <si>
    <t>https://search.rakuten.co.jp/search/mall/%E3%83%9D%E3%82%B1%E3%83%A2%E3%83%B3%E3%82%AB%E3%83%BC%E3%83%89%20%E3%83%81%E3%83%AB%E3%82%BF%E3%83%AA%E3%82%B9%20291%2FXY-P%20%E3%83%97%E3%83%AD%E3%83%A2/</t>
  </si>
  <si>
    <t>https://auctions.yahoo.co.jp/search/search?p=%E3%83%9D%E3%82%B1%E3%83%A2%E3%83%B3%E3%82%AB%E3%83%BC%E3%83%89%20%E3%83%81%E3%83%AB%E3%82%BF%E3%83%AA%E3%82%B9%20291%2FXY-P%20%E3%83%97%E3%83%AD%E3%83%A2&amp;s1=cbids&amp;o1=a</t>
  </si>
  <si>
    <t>https://paypayfleamarket.yahoo.co.jp/search/%E3%83%9D%E3%82%B1%E3%83%A2%E3%83%B3%E3%82%AB%E3%83%BC%E3%83%89%20%E3%83%81%E3%83%AB%E3%82%BF%E3%83%AA%E3%82%B9%20291%2FXY-P%20%E3%83%97%E3%83%AD%E3%83%A2?sort=price&amp;order=asc&amp;open=1</t>
  </si>
  <si>
    <t>eBay Motors Air Filters</t>
  </si>
  <si>
    <t>https://auctions.yahoo.co.jp/jp/auction/b1238901728</t>
  </si>
  <si>
    <t>https://jp.mercari.com/item/m40439370595</t>
  </si>
  <si>
    <t>https://auctions.yahoo.co.jp/jp/auction/p1242390827</t>
  </si>
  <si>
    <t>https://paypayfleamarket.yahoo.co.jp/item/z646871872</t>
  </si>
  <si>
    <t>https://auctions.yahoo.co.jp/jp/auction/m1241695292</t>
  </si>
  <si>
    <t>File207</t>
  </si>
  <si>
    <t>YAMATO Macross 7 VF-11C Thunderbolt Super Pack 1/60 Complete Transform Figure JP</t>
  </si>
  <si>
    <t>File208</t>
  </si>
  <si>
    <t>YAMATO Macross Plus YF-19 Isamu Dyson 1/60 Complete Transformable Figure Japan</t>
  </si>
  <si>
    <t>File209</t>
  </si>
  <si>
    <t>YAMATO Macross VF-1A Angel Birds 1/60 Complete Transformable Valkyrie Figure JP</t>
  </si>
  <si>
    <t>File210</t>
  </si>
  <si>
    <t>YAMATO Macross VF-1S Strike Valkyrie Roy Focker 1/60 Transformable Figure Japan</t>
  </si>
  <si>
    <t>File211</t>
  </si>
  <si>
    <t>Arcadia Macross Zero SV-51 gamma Ivanov 1/60 Complete Transformable Figure Japan</t>
  </si>
  <si>
    <t>File212</t>
  </si>
  <si>
    <t>Arcadia Macross Plus YF-19 Premium Finish 1/60 Transformable Figure Fast Pack JP</t>
  </si>
  <si>
    <t>File213</t>
  </si>
  <si>
    <t>BOSS x Uma Musume Pretty Derby Grand Prix Jacket Muffler Set Limited Prize Japan</t>
  </si>
  <si>
    <t>File214</t>
  </si>
  <si>
    <t>Pokemon Card Monomane Musume LEGEND Tournament Prize Promo Supporter Japanese JP</t>
  </si>
  <si>
    <t>File215</t>
  </si>
  <si>
    <t>Punkdrunkers Aitsu Cyber Ninja Purple Devil Toys Sofubi Figure Japan Import New</t>
  </si>
  <si>
    <t>File216</t>
  </si>
  <si>
    <t>SMISKI Chibi Donski Plush Novelty Not for Sale Limited Japan Exclusive Rare New</t>
  </si>
  <si>
    <t>File217</t>
  </si>
  <si>
    <t>UFO Nazono Enban Blu-ray Collectors BOX 7 Disc First Press Limited Edition Japan</t>
  </si>
  <si>
    <t>File218</t>
  </si>
  <si>
    <t>らき☆すた 泉こなた 体操服ver 1/4 フィギュア</t>
  </si>
  <si>
    <t>https://www.ebay.com/itm/127989967264?nordt=true&amp;orig_cvip=true&amp;rt=nc</t>
  </si>
  <si>
    <t>https://www.ebay.com/sch/i.html?_nkw=FREEing+Lucky+Star+Konata+1/4+Figure&amp;_sacat=0&amp;_sop=15</t>
  </si>
  <si>
    <t>https://jp.mercari.com/item/m34412850513</t>
  </si>
  <si>
    <t>https://jp.mercari.com/search?keyword=%E3%82%89%E3%81%8D%E2%98%86%E3%81%99%E3%81%9F%20%E6%B3%89%E3%81%93%E3%81%AA%E3%81%9F%20%E4%BD%93%E6%93%8D%E6%9C%8Dver%201%2F4%20%E3%83%95%E3%82%A3%E3%82%AE%E3%83%A5%E3%82%A2&amp;status=on_sale&amp;sort=price&amp;order=asc</t>
  </si>
  <si>
    <t>https://fril.jp/s?query=%E3%82%89%E3%81%8D%E2%98%86%E3%81%99%E3%81%9F+%E6%B3%89%E3%81%93%E3%81%AA%E3%81%9F+%E4%BD%93%E6%93%8D%E6%9C%8Dver+1%2F4+%E3%83%95%E3%82%A3%E3%82%AE%E3%83%A5%E3%82%A2&amp;transaction=selling&amp;sort=relevance&amp;order=desc</t>
  </si>
  <si>
    <t>https://search.rakuten.co.jp/search/mall/%E3%82%89%E3%81%8D%E2%98%86%E3%81%99%E3%81%9F%20%E6%B3%89%E3%81%93%E3%81%AA%E3%81%9F%20%E4%BD%93%E6%93%8D%E6%9C%8Dver%201%2F4%20%E3%83%95%E3%82%A3%E3%82%AE%E3%83%A5%E3%82%A2/</t>
  </si>
  <si>
    <t>https://auctions.yahoo.co.jp/search/search?p=%E3%82%89%E3%81%8D%E2%98%86%E3%81%99%E3%81%9F%20%E6%B3%89%E3%81%93%E3%81%AA%E3%81%9F%20%E4%BD%93%E6%93%8D%E6%9C%8Dver%201%2F4%20%E3%83%95%E3%82%A3%E3%82%AE%E3%83%A5%E3%82%A2&amp;s1=cbids&amp;o1=a</t>
  </si>
  <si>
    <t>https://paypayfleamarket.yahoo.co.jp/search/%E3%82%89%E3%81%8D%E2%98%86%E3%81%99%E3%81%9F%20%E6%B3%89%E3%81%93%E3%81%AA%E3%81%9F%20%E4%BD%93%E6%93%8D%E6%9C%8Dver%201%2F4%20%E3%83%95%E3%82%A3%E3%82%AE%E3%83%A5%E3%82%A2?sort=price&amp;order=asc&amp;open=1</t>
  </si>
  <si>
    <t>Roland VR-6HD</t>
  </si>
  <si>
    <t>https://www.ebay.com/itm/117230268949?nordt=true&amp;orig_cvip=true&amp;rt=nc</t>
  </si>
  <si>
    <t>https://www.ebay.com/sch/i.html?_nkw=Roland+VR-6HD+AV+Mixer&amp;_sacat=0&amp;_sop=15</t>
  </si>
  <si>
    <t>https://jp.mercari.com/item/m26052084462</t>
  </si>
  <si>
    <t>https://jp.mercari.com/search?keyword=Roland%20VR-6HD&amp;status=on_sale&amp;sort=price&amp;order=asc</t>
  </si>
  <si>
    <t>https://fril.jp/s?query=Roland+VR-6HD+%E3%83%80%E3%82%A4%E3%83%AC%E3%82%AF%E3%83%88%E3%82%B9%E3%83%88%E3%83%AA%E3%83%BC%E3%83%9F%E3%83%B3%E3%82%B0AV%E3%83%9F%E3%82%AD%E3%82%B5%E3%83%BC&amp;transaction=selling&amp;sort=relevance&amp;order=desc</t>
  </si>
  <si>
    <t>https://search.rakuten.co.jp/search/mall/Roland%20VR-6HD%20%E3%83%80%E3%82%A4%E3%83%AC%E3%82%AF%E3%83%88%E3%82%B9%E3%83%88%E3%83%AA%E3%83%BC%E3%83%9F%E3%83%B3%E3%82%B0AV%E3%83%9F%E3%82%AD%E3%82%B5%E3%83%BC/</t>
  </si>
  <si>
    <t>https://auctions.yahoo.co.jp/search/search?va=Roland+VR-6HD+%E3%83%80%E3%82%A4%E3%83%AC%E3%82%AF%E3%83%88%E3%82%B9%E3%83%88%E3%83%AA%E3%83%BC%E3%83%9F%E3%83%B3%E3%82%B0AV%E3%83%9F%E3%82%AD%E3%82%B5%E3%83%BC&amp;is_postage_mode=1&amp;dest_pref_code=40&amp;b=1&amp;n=50&amp;mode=1&amp;user_type=c&amp;auccat=&amp;tab_ex=commerce&amp;ei=utf-8&amp;aq=-1&amp;oq=&amp;sc_i=&amp;p=Roland+VR-6HD&amp;x=0&amp;y=0</t>
  </si>
  <si>
    <t>https://paypayfleamarket.yahoo.co.jp/search/Roland%20VR-6HD%20%E3%83%80%E3%82%A4%E3%83%AC%E3%82%AF%E3%83%88%E3%82%B9%E3%83%88%E3%83%AA%E3%83%BC%E3%83%9F%E3%83%B3%E3%82%B0AV%E3%83%9F%E3%82%AD%E3%82%B5%E3%83%BC?sort=price&amp;order=asc&amp;open=1</t>
  </si>
  <si>
    <t>ポケモンカード セブンイレブン限定 スペシャルキラカード イーブイ</t>
  </si>
  <si>
    <t>https://www.ebay.com/itm/313696632171?nordt=true&amp;orig_cvip=true&amp;rt=nc</t>
  </si>
  <si>
    <t>https://www.ebay.com/sch/i.html?_nkw=Pokemon+Eevee+235/BW-P+Seven+Eleven+Promo&amp;_sacat=0&amp;_sop=15</t>
  </si>
  <si>
    <t>https://jp.mercari.com/item/m99852404333</t>
  </si>
  <si>
    <t>https://jp.mercari.com/item/m22236338126</t>
  </si>
  <si>
    <t>https://jp.mercari.com/item/m85923545799</t>
  </si>
  <si>
    <t>https://paypayfleamarket.yahoo.co.jp/item/z651198594</t>
  </si>
  <si>
    <t>https://paypayfleamarket.yahoo.co.jp/item/z669609226</t>
  </si>
  <si>
    <t>https://jp.mercari.com/search?keyword=%E3%83%9D%E3%82%B1%E3%83%A2%E3%83%B3%E3%82%AB%E3%83%BC%E3%83%89%20%E3%82%BB%E3%83%96%E3%83%B3%E3%82%A4%E3%83%AC%E3%83%96%E3%83%B3%E9%99%90%E5%AE%9A%20%E3%82%B9%E3%83%9A%E3%82%B7%E3%83%A3%E3%83%AB%E3%82%AD%E3%83%A9%E3%82%AB%E3%83%BC%E3%83%89%20%E3%82%A4%E3%83%BC%E3%83%96%E3%82%A4&amp;status=on_sale&amp;sort=price&amp;order=asc</t>
  </si>
  <si>
    <t>https://fril.jp/s?query=%E3%83%9D%E3%82%B1%E3%83%A2%E3%83%B3%E3%82%AB%E3%83%BC%E3%83%89+%E3%82%BB%E3%83%96%E3%83%B3%E3%82%A4%E3%83%AC%E3%83%96%E3%83%B3%E9%99%90%E5%AE%9A+%E3%82%B9%E3%83%9A%E3%82%B7%E3%83%A3%E3%83%AB%E3%82%AD%E3%83%A9%E3%82%AB%E3%83%BC%E3%83%89+%E3%82%A4%E3%83%BC%E3%83%96%E3%82%A4&amp;transaction=selling&amp;sort=relevance&amp;order=desc</t>
  </si>
  <si>
    <t>https://search.rakuten.co.jp/search/mall/%E3%83%9D%E3%82%B1%E3%83%A2%E3%83%B3%E3%82%AB%E3%83%BC%E3%83%89%20%E3%82%BB%E3%83%96%E3%83%B3%E3%82%A4%E3%83%AC%E3%83%96%E3%83%B3%E9%99%90%E5%AE%9A%20%E3%82%B9%E3%83%9A%E3%82%B7%E3%83%A3%E3%83%AB%E3%82%AD%E3%83%A9%E3%82%AB%E3%83%BC%E3%83%89%20%E3%82%A4%E3%83%BC%E3%83%96%E3%82%A4/</t>
  </si>
  <si>
    <t>https://auctions.yahoo.co.jp/search/search?p=%E3%83%9D%E3%82%B1%E3%83%A2%E3%83%B3%E3%82%AB%E3%83%BC%E3%83%89%20%E3%82%BB%E3%83%96%E3%83%B3%E3%82%A4%E3%83%AC%E3%83%96%E3%83%B3%E9%99%90%E5%AE%9A%20%E3%82%B9%E3%83%9A%E3%82%B7%E3%83%A3%E3%83%AB%E3%82%AD%E3%83%A9%E3%82%AB%E3%83%BC%E3%83%89%20%E3%82%A4%E3%83%BC%E3%83%96%E3%82%A4&amp;s1=cbids&amp;o1=a</t>
  </si>
  <si>
    <t>https://paypayfleamarket.yahoo.co.jp/search/%E3%83%9D%E3%82%B1%E3%83%A2%E3%83%B3%E3%82%AB%E3%83%BC%E3%83%89%20%E3%82%BB%E3%83%96%E3%83%B3%E3%82%A4%E3%83%AC%E3%83%96%E3%83%B3%E9%99%90%E5%AE%9A%20%E3%82%B9%E3%83%9A%E3%82%B7%E3%83%A3%E3%83%AB%E3%82%AD%E3%83%A9%E3%82%AB%E3%83%BC%E3%83%89%20%E3%82%A4%E3%83%BC%E3%83%96%E3%82%A4?sort=price&amp;order=asc&amp;open=1</t>
  </si>
  <si>
    <t>もっとiD!おうちdeたまごっちステーション ピンク</t>
  </si>
  <si>
    <t>https://www.ebay.com/itm/298403796247?nordt=true&amp;orig_cvip=true&amp;rt=nc</t>
  </si>
  <si>
    <t>https://www.ebay.com/sch/i.html?_nkw=BANDAI+Tamagotchi+iD+Station+at+Home&amp;_sacat=0&amp;_sop=15</t>
  </si>
  <si>
    <t>https://jp.mercari.com/item/m50004378317</t>
  </si>
  <si>
    <t>https://jp.mercari.com/item/m64729994413</t>
  </si>
  <si>
    <t>https://jp.mercari.com/item/m64663099927</t>
  </si>
  <si>
    <t>https://jp.mercari.com/search?keyword=%E3%82%82%E3%81%A3%E3%81%A8iD%21%E3%81%8A%E3%81%86%E3%81%A1de%E3%81%9F%E3%81%BE%E3%81%94%E3%81%A3%E3%81%A1%E3%82%B9%E3%83%86%E3%83%BC%E3%82%B7%E3%83%A7%E3%83%B3%20%E3%83%94%E3%83%B3%E3%82%AF&amp;status=on_sale&amp;sort=price&amp;order=asc</t>
  </si>
  <si>
    <t>https://fril.jp/s?query=%E3%82%82%E3%81%A3%E3%81%A8iD%21%E3%81%8A%E3%81%86%E3%81%A1de%E3%81%9F%E3%81%BE%E3%81%94%E3%81%A3%E3%81%A1%E3%82%B9%E3%83%86%E3%83%BC%E3%82%B7%E3%83%A7%E3%83%B3+%E3%83%94%E3%83%B3%E3%82%AF&amp;transaction=selling&amp;sort=relevance&amp;order=desc</t>
  </si>
  <si>
    <t>https://search.rakuten.co.jp/search/mall/%E3%82%82%E3%81%A3%E3%81%A8iD%21%E3%81%8A%E3%81%86%E3%81%A1de%E3%81%9F%E3%81%BE%E3%81%94%E3%81%A3%E3%81%A1%E3%82%B9%E3%83%86%E3%83%BC%E3%82%B7%E3%83%A7%E3%83%B3%20%E3%83%94%E3%83%B3%E3%82%AF/</t>
  </si>
  <si>
    <t>https://auctions.yahoo.co.jp/search/search?p=%E3%82%82%E3%81%A3%E3%81%A8iD%21%E3%81%8A%E3%81%86%E3%81%A1de%E3%81%9F%E3%81%BE%E3%81%94%E3%81%A3%E3%81%A1%E3%82%B9%E3%83%86%E3%83%BC%E3%82%B7%E3%83%A7%E3%83%B3%20%E3%83%94%E3%83%B3%E3%82%AF&amp;s1=cbids&amp;o1=a</t>
  </si>
  <si>
    <t>https://paypayfleamarket.yahoo.co.jp/search/%E3%82%82%E3%81%A3%E3%81%A8iD%21%E3%81%8A%E3%81%86%E3%81%A1de%E3%81%9F%E3%81%BE%E3%81%94%E3%81%A3%E3%81%A1%E3%82%B9%E3%83%86%E3%83%BC%E3%82%B7%E3%83%A7%E3%83%B3%20%E3%83%94%E3%83%B3%E3%82%AF?sort=price&amp;order=asc&amp;open=1</t>
  </si>
  <si>
    <t>https://jp.mercari.com/item/m13236427611</t>
  </si>
  <si>
    <t>https://jp.mercari.com/item/m78350050522</t>
  </si>
  <si>
    <t>https://jp.mercari.com/item/m68712691791</t>
  </si>
  <si>
    <t>https://jp.mercari.com/item/m41372709852</t>
  </si>
  <si>
    <t>https://jp.mercari.com/item/m44290621952</t>
  </si>
  <si>
    <t>★未開封品★アーマードコア MACHINE SIDE BOX　1997−2006</t>
  </si>
  <si>
    <t>https://www.ebay.com/sch/i.html?_nkw=Armored+Core+Machine+Side+Box&amp;_sacat=0&amp;_from=R40&amp;_sop=15&amp;rt=nc&amp;_udlo=20000</t>
  </si>
  <si>
    <t>https://jp.mercari.com/search?keyword=%E3%82%A2%E3%83%BC%E3%83%9E%E3%83%BC%E3%83%89%E3%82%B3%E3%82%A2%20MACHINE%20SIDE%20BOX&amp;price_min=10000&amp;sort=price&amp;order=asc&amp;status=on_sale</t>
  </si>
  <si>
    <t>https://fril.jp/s?query=%E3%82%A2%E3%83%BC%E3%83%9E%E3%83%BC%E3%83%89%E3%82%B3%E3%82%A2%20MACHINE%20SIDE%20BOX&amp;min=10000&amp;transaction=selling</t>
  </si>
  <si>
    <t>https://search.rakuten.co.jp/search/mall/%E3%82%A2%E3%83%BC%E3%83%9E%E3%83%BC%E3%83%89%E3%82%B3%E3%82%A2%20MACHINE%20SIDE%20BOX/?min=10000</t>
  </si>
  <si>
    <t>https://auctions.yahoo.co.jp/search/search?p=%E3%82%A2%E3%83%BC%E3%83%9E%E3%83%BC%E3%83%89%E3%82%B3%E3%82%A2%20MACHINE%20SIDE%20BOX&amp;aucminprice=10000</t>
  </si>
  <si>
    <t>https://shopping.yahoo.co.jp/search/%E3%82%A2%E3%83%BC%E3%83%9E%E3%83%BC%E3%83%89%E3%82%B3%E3%82%A2%20MACHINE%20SIDE%20BOX/0/?pf=10000</t>
  </si>
  <si>
    <t>【PSソフト】キングスフィールド2(非売品小冊子付き)</t>
  </si>
  <si>
    <t>https://www.ebay.com/sch/i.html?_nkw=King's+Field+II+PS1&amp;_sacat=0&amp;_from=R40&amp;_sop=15&amp;rt=nc&amp;_udlo=20000</t>
  </si>
  <si>
    <t>https://jp.mercari.com/search?keyword=%E3%82%AD%E3%83%B3%E3%82%B0%E3%82%B9%E3%83%95%E3%82%A3%E3%83%BC%E3%83%AB%E3%83%892%20PS&amp;price_min=10000&amp;sort=price&amp;order=asc&amp;status=on_sale</t>
  </si>
  <si>
    <t>https://fril.jp/s?query=%E3%82%AD%E3%83%B3%E3%82%B0%E3%82%B9%E3%83%95%E3%82%A3%E3%83%BC%E3%83%AB%E3%83%892%20PS&amp;min=10000&amp;transaction=selling</t>
  </si>
  <si>
    <t>https://search.rakuten.co.jp/search/mall/%E3%82%AD%E3%83%B3%E3%82%B0%E3%82%B9%E3%83%95%E3%82%A3%E3%83%BC%E3%83%AB%E3%83%892%20PS/?min=10000</t>
  </si>
  <si>
    <t>https://auctions.yahoo.co.jp/search/search?p=%E3%82%AD%E3%83%B3%E3%82%B0%E3%82%B9%E3%83%95%E3%82%A3%E3%83%BC%E3%83%AB%E3%83%892%20PS&amp;aucminprice=10000</t>
  </si>
  <si>
    <t>https://shopping.yahoo.co.jp/search/%E3%82%AD%E3%83%B3%E3%82%B0%E3%82%B9%E3%83%95%E3%82%A3%E3%83%BC%E3%83%AB%E3%83%892%20PS/0/?pf=10000</t>
  </si>
  <si>
    <t>ロストワールド　ジュラシックパーク メルセデスベンツ リモートコントロールカー</t>
  </si>
  <si>
    <t>https://www.ebay.com/sch/i.html?_nkw=Lost+World+Jurassic+Park+Mercedes&amp;_sacat=0&amp;_from=R40&amp;_sop=15&amp;rt=nc&amp;_udlo=20000</t>
  </si>
  <si>
    <t>https://jp.mercari.com/search?keyword=%E3%83%AD%E3%82%B9%E3%83%88%E3%83%AF%E3%83%BC%E3%83%AB%E3%83%89%20%E3%82%B8%E3%83%A5%E3%83%A9%E3%82%B7%E3%83%83%E3%82%AF%E3%83%91%E3%83%BC%E3%82%AF%20%E3%83%A9%E3%82%B8%E3%82%B3%E3%83%B3%20%E3%83%99%E3%83%B3%E3%83%84&amp;price_min=10000&amp;sort=price&amp;order=asc&amp;status=on_sale</t>
  </si>
  <si>
    <t>https://fril.jp/s?query=%E3%83%AD%E3%82%B9%E3%83%88%E3%83%AF%E3%83%BC%E3%83%AB%E3%83%89%20%E3%82%B8%E3%83%A5%E3%83%A9%E3%82%B7%E3%83%83%E3%82%AF%E3%83%91%E3%83%BC%E3%82%AF%20%E3%83%A9%E3%82%B8%E3%82%B3%E3%83%B3%20%E3%83%99%E3%83%B3%E3%83%84&amp;min=10000&amp;transaction=selling</t>
  </si>
  <si>
    <t>https://search.rakuten.co.jp/search/mall/%E3%83%AD%E3%82%B9%E3%83%88%E3%83%AF%E3%83%BC%E3%83%AB%E3%83%89%20%E3%82%B8%E3%83%A5%E3%83%A9%E3%82%B7%E3%83%83%E3%82%AF%E3%83%91%E3%83%BC%E3%82%AF%20%E3%83%A9%E3%82%B8%E3%82%B3%E3%83%B3%20%E3%83%99%E3%83%B3%E3%83%84/?min=10000</t>
  </si>
  <si>
    <t>https://auctions.yahoo.co.jp/search/search?p=%E3%83%AD%E3%82%B9%E3%83%88%E3%83%AF%E3%83%BC%E3%83%AB%E3%83%89%20%E3%82%B8%E3%83%A5%E3%83%A9%E3%82%B7%E3%83%83%E3%82%AF%E3%83%91%E3%83%BC%E3%82%AF%20%E3%83%A9%E3%82%B8%E3%82%B3%E3%83%B3%20%E3%83%99%E3%83%B3%E3%83%84&amp;aucminprice=10000</t>
  </si>
  <si>
    <t>https://shopping.yahoo.co.jp/search/%E3%83%AD%E3%82%B9%E3%83%88%E3%83%AF%E3%83%BC%E3%83%AB%E3%83%89%20%E3%82%B8%E3%83%A5%E3%83%A9%E3%82%B7%E3%83%83%E3%82%AF%E3%83%91%E3%83%BC%E3%82%AF%20%E3%83%A9%E3%82%B8%E3%82%B3%E3%83%B3%20%E3%83%99%E3%83%B3%E3%83%84/0/?pf=10000</t>
  </si>
  <si>
    <t>街道ハウス　ホビーエクスポ・チャイナ限定 - LTDEDN ホンダ NSX</t>
  </si>
  <si>
    <t>https://www.ebay.com/sch/i.html?_nkw=Kaido+House+Honda+NSX+China&amp;_sacat=0&amp;_from=R40&amp;_sop=15&amp;rt=nc&amp;_udlo=20000</t>
  </si>
  <si>
    <t>https://jp.mercari.com/search?keyword=%E8%A1%97%E9%81%93%E3%83%8F%E3%82%A6%E3%82%B9%20%E3%83%9B%E3%83%B3%E3%83%80%20NSX%20%E3%83%81%E3%83%A3%E3%82%A4%E3%83%8A&amp;price_min=10000&amp;sort=price&amp;order=asc&amp;status=on_sale</t>
  </si>
  <si>
    <t>https://fril.jp/s?query=%E8%A1%97%E9%81%93%E3%83%8F%E3%82%A6%E3%82%B9%20%E3%83%9B%E3%83%B3%E3%83%80%20NSX%20%E3%83%81%E3%83%A3%E3%82%A4%E3%83%8A&amp;min=10000&amp;transaction=selling</t>
  </si>
  <si>
    <t>https://search.rakuten.co.jp/search/mall/%E8%A1%97%E9%81%93%E3%83%8F%E3%82%A6%E3%82%B9%20%E3%83%9B%E3%83%B3%E3%83%80%20NSX%20%E3%83%81%E3%83%A3%E3%82%A4%E3%83%8A/?min=10000</t>
  </si>
  <si>
    <t>https://auctions.yahoo.co.jp/search/search?p=%E8%A1%97%E9%81%93%E3%83%8F%E3%82%A6%E3%82%B9%20%E3%83%9B%E3%83%B3%E3%83%80%20NSX%20%E3%83%81%E3%83%A3%E3%82%A4%E3%83%8A&amp;aucminprice=10000</t>
  </si>
  <si>
    <t>https://shopping.yahoo.co.jp/search/%E8%A1%97%E9%81%93%E3%83%8F%E3%82%A6%E3%82%B9%20%E3%83%9B%E3%83%B3%E3%83%80%20NSX%20%E3%83%81%E3%83%A3%E3%82%A4%E3%83%8A/0/?pf=10000</t>
  </si>
  <si>
    <t>KAIDO HOUSE Nissan Skyline 2000GT-R</t>
  </si>
  <si>
    <t>https://www.ebay.com/sch/i.html?_nkw=Kaido+House+Skyline+2000GT-R&amp;_sacat=0&amp;_from=R40&amp;_sop=15&amp;rt=nc&amp;_udlo=20000</t>
  </si>
  <si>
    <t>https://jp.mercari.com/search?keyword=%E8%A1%97%E9%81%93%E3%83%8F%E3%82%A6%E3%82%B9%20%E3%82%B9%E3%82%AB%E3%82%A4%E3%83%A9%E3%82%A4%E3%83%B3%202000GT-R&amp;price_min=10000&amp;sort=price&amp;order=asc&amp;status=on_sale</t>
  </si>
  <si>
    <t>https://fril.jp/s?query=%E8%A1%97%E9%81%93%E3%83%8F%E3%82%A6%E3%82%B9%20%E3%82%B9%E3%82%AB%E3%82%A4%E3%83%A9%E3%82%A4%E3%83%B3%202000GT-R&amp;min=10000&amp;transaction=selling</t>
  </si>
  <si>
    <t>https://search.rakuten.co.jp/search/mall/%E8%A1%97%E9%81%93%E3%83%8F%E3%82%A6%E3%82%B9%20%E3%82%B9%E3%82%AB%E3%82%A4%E3%83%A9%E3%82%A4%E3%83%B3%202000GT-R/?min=10000</t>
  </si>
  <si>
    <t>https://auctions.yahoo.co.jp/search/search?p=%E8%A1%97%E9%81%93%E3%83%8F%E3%82%A6%E3%82%B9%20%E3%82%B9%E3%82%AB%E3%82%A4%E3%83%A9%E3%82%A4%E3%83%B3%202000GT-R&amp;aucminprice=10000</t>
  </si>
  <si>
    <t>https://shopping.yahoo.co.jp/search/%E8%A1%97%E9%81%93%E3%83%8F%E3%82%A6%E3%82%B9%20%E3%82%B9%E3%82%AB%E3%82%A4%E3%83%A9%E3%82%A4%E3%83%B3%202000GT-R/0/?pf=10000</t>
  </si>
  <si>
    <t>一番くじ スプラトゥーン3 ダブルチャンス ナワバリバトルサウンド クロック</t>
  </si>
  <si>
    <t>https://www.ebay.com/sch/i.html?_nkw=Ichiban+Kuji+Splatoon+Sound+Clock&amp;_sacat=0&amp;_from=R40&amp;_sop=15&amp;rt=nc&amp;_udlo=20000</t>
  </si>
  <si>
    <t>https://jp.mercari.com/search?keyword=%E4%B8%80%E7%95%AA%E3%81%8F%E3%81%98%20%E3%82%B9%E3%83%97%E3%83%A9%E3%83%88%E3%82%A5%E3%83%BC%E3%83%B33%20%E3%82%B5%E3%82%A6%E3%83%B3%E3%83%89%E3%82%AF%E3%83%AD%E3%83%83%E3%82%AF&amp;price_min=10000&amp;sort=price&amp;order=asc&amp;status=on_sale</t>
  </si>
  <si>
    <t>https://fril.jp/s?query=%E4%B8%80%E7%95%AA%E3%81%8F%E3%81%98%20%E3%82%B9%E3%83%97%E3%83%A9%E3%83%88%E3%82%A5%E3%83%BC%E3%83%B33%20%E3%82%B5%E3%82%A6%E3%83%B3%E3%83%89%E3%82%AF%E3%83%AD%E3%83%83%E3%82%AF&amp;min=10000&amp;transaction=selling</t>
  </si>
  <si>
    <t>https://search.rakuten.co.jp/search/mall/%E4%B8%80%E7%95%AA%E3%81%8F%E3%81%98%20%E3%82%B9%E3%83%97%E3%83%A9%E3%83%88%E3%82%A5%E3%83%BC%E3%83%B33%20%E3%82%B5%E3%82%A6%E3%83%B3%E3%83%89%E3%82%AF%E3%83%AD%E3%83%83%E3%82%AF/?min=10000</t>
  </si>
  <si>
    <t>https://auctions.yahoo.co.jp/search/search?p=%E4%B8%80%E7%95%AA%E3%81%8F%E3%81%98%20%E3%82%B9%E3%83%97%E3%83%A9%E3%83%88%E3%82%A5%E3%83%BC%E3%83%B33%20%E3%82%B5%E3%82%A6%E3%83%B3%E3%83%89%E3%82%AF%E3%83%AD%E3%83%83%E3%82%AF&amp;aucminprice=10000</t>
  </si>
  <si>
    <t>https://shopping.yahoo.co.jp/search/%E4%B8%80%E7%95%AA%E3%81%8F%E3%81%98%20%E3%82%B9%E3%83%97%E3%83%A9%E3%83%88%E3%82%A5%E3%83%BC%E3%83%B33%20%E3%82%B5%E3%82%A6%E3%83%B3%E3%83%89%E3%82%AF%E3%83%AD%E3%83%83%E3%82%AF/0/?pf=10000</t>
  </si>
  <si>
    <t>スプラトゥーン サンリオ ポムポムプリン イカクッション ぬいぐるみ ラバスト</t>
  </si>
  <si>
    <t>https://www.ebay.com/sch/i.html?_nkw=Splatoon+Sanrio+Pompompurin+Plush&amp;_sacat=0&amp;_from=R40&amp;_sop=15&amp;rt=nc&amp;_udlo=20000</t>
  </si>
  <si>
    <t>https://jp.mercari.com/search?keyword=%E3%82%B9%E3%83%97%E3%83%A9%E3%83%88%E3%82%A5%E3%83%BC%E3%83%B3%20%E3%82%B5%E3%83%B3%E3%83%AA%E3%82%AA%20%E3%83%9D%E3%83%A0%E3%83%9D%E3%83%A0%E3%83%97%E3%83%AA%E3%83%B3%20%E3%81%AC%E3%81%84%E3%81%90%E3%82%8B%E3%81%BF&amp;price_min=10000&amp;sort=price&amp;order=asc&amp;status=on_sale</t>
  </si>
  <si>
    <t>https://fril.jp/s?query=%E3%82%B9%E3%83%97%E3%83%A9%E3%83%88%E3%82%A5%E3%83%BC%E3%83%B3%20%E3%82%B5%E3%83%B3%E3%83%AA%E3%82%AA%20%E3%83%9D%E3%83%A0%E3%83%9D%E3%83%A0%E3%83%97%E3%83%AA%E3%83%B3%20%E3%81%AC%E3%81%84%E3%81%90%E3%82%8B%E3%81%BF&amp;min=10000&amp;transaction=selling</t>
  </si>
  <si>
    <t>https://search.rakuten.co.jp/search/mall/%E3%82%B9%E3%83%97%E3%83%A9%E3%83%88%E3%82%A5%E3%83%BC%E3%83%B3%20%E3%82%B5%E3%83%B3%E3%83%AA%E3%82%AA%20%E3%83%9D%E3%83%A0%E3%83%9D%E3%83%A0%E3%83%97%E3%83%AA%E3%83%B3%20%E3%81%AC%E3%81%84%E3%81%90%E3%82%8B%E3%81%BF/?min=10000</t>
  </si>
  <si>
    <t>https://auctions.yahoo.co.jp/search/search?p=%E3%82%B9%E3%83%97%E3%83%A9%E3%83%88%E3%82%A5%E3%83%BC%E3%83%B3%20%E3%82%B5%E3%83%B3%E3%83%AA%E3%82%AA%20%E3%83%9D%E3%83%A0%E3%83%9D%E3%83%A0%E3%83%97%E3%83%AA%E3%83%B3%20%E3%81%AC%E3%81%84%E3%81%90%E3%82%8B%E3%81%BF&amp;aucminprice=10000</t>
  </si>
  <si>
    <t>https://shopping.yahoo.co.jp/search/%E3%82%B9%E3%83%97%E3%83%A9%E3%83%88%E3%82%A5%E3%83%BC%E3%83%B3%20%E3%82%B5%E3%83%B3%E3%83%AA%E3%82%AA%20%E3%83%9D%E3%83%A0%E3%83%9D%E3%83%A0%E3%83%97%E3%83%AA%E3%83%B3%20%E3%81%AC%E3%81%84%E3%81%90%E3%82%8B%E3%81%BF/0/?pf=10000</t>
  </si>
  <si>
    <t>シオカラーズ　アオリ　ホタルTシャツ　フェスT</t>
  </si>
  <si>
    <t>https://www.ebay.com/sch/i.html?_nkw=Splatoon+Squid+Sisters+Fest+T-Shirt&amp;_sacat=0&amp;_from=R40&amp;_sop=15&amp;rt=nc&amp;_udlo=20000</t>
  </si>
  <si>
    <t>https://jp.mercari.com/search?keyword=%E3%82%B7%E3%82%AA%E3%82%AB%E3%83%A9%E3%83%BC%E3%82%BA%20T%E3%82%B7%E3%83%A3%E3%83%84%20%E3%83%95%E3%82%A7%E3%82%B9%20%E3%82%B9%E3%83%97%E3%83%A9%E3%83%88%E3%82%A5%E3%83%BC%E3%83%B3&amp;price_min=10000&amp;sort=price&amp;order=asc&amp;status=on_sale</t>
  </si>
  <si>
    <t>https://fril.jp/s?query=%E3%82%B7%E3%82%AA%E3%82%AB%E3%83%A9%E3%83%BC%E3%82%BA%20T%E3%82%B7%E3%83%A3%E3%83%84%20%E3%83%95%E3%82%A7%E3%82%B9%20%E3%82%B9%E3%83%97%E3%83%A9%E3%83%88%E3%82%A5%E3%83%BC%E3%83%B3&amp;min=10000&amp;transaction=selling</t>
  </si>
  <si>
    <t>https://search.rakuten.co.jp/search/mall/%E3%82%B7%E3%82%AA%E3%82%AB%E3%83%A9%E3%83%BC%E3%82%BA%20T%E3%82%B7%E3%83%A3%E3%83%84%20%E3%83%95%E3%82%A7%E3%82%B9%20%E3%82%B9%E3%83%97%E3%83%A9%E3%83%88%E3%82%A5%E3%83%BC%E3%83%B3/?min=10000</t>
  </si>
  <si>
    <t>https://auctions.yahoo.co.jp/search/search?p=%E3%82%B7%E3%82%AA%E3%82%AB%E3%83%A9%E3%83%BC%E3%82%BA%20T%E3%82%B7%E3%83%A3%E3%83%84%20%E3%83%95%E3%82%A7%E3%82%B9%20%E3%82%B9%E3%83%97%E3%83%A9%E3%83%88%E3%82%A5%E3%83%BC%E3%83%B3&amp;aucminprice=10000</t>
  </si>
  <si>
    <t>https://shopping.yahoo.co.jp/search/%E3%82%B7%E3%82%AA%E3%82%AB%E3%83%A9%E3%83%BC%E3%82%BA%20T%E3%82%B7%E3%83%A3%E3%83%84%20%E3%83%95%E3%82%A7%E3%82%B9%20%E3%82%B9%E3%83%97%E3%83%A9%E3%83%88%E3%82%A5%E3%83%BC%E3%83%B3/0/?pf=10000</t>
  </si>
  <si>
    <t>B-STYLE マブラヴ クリスカ・ビャーチェノワ バニーVer. 1/4</t>
  </si>
  <si>
    <t>B-STYLE Muv-Luv Cryska Barchenowa Bunny Ver 1/4 Figure FREEing Japan Import Used</t>
  </si>
  <si>
    <t>https://www.ebay.com/sch/i.html?_nkw=Muv-Luv+Cryska+Bunny+1/4+FREEing&amp;_sacat=0&amp;_from=R40&amp;_sop=15&amp;rt=nc&amp;_udlo=20000</t>
  </si>
  <si>
    <t>https://jp.mercari.com/search?keyword=B-STYLE%20%E3%83%9E%E3%83%96%E3%83%A9%E3%83%B4%20%E3%82%AF%E3%83%AA%E3%82%B9%E3%82%AB%20%E3%83%90%E3%83%8B%E3%83%BC%201%2F4&amp;price_min=10000&amp;sort=price&amp;order=asc&amp;status=on_sale</t>
  </si>
  <si>
    <t>https://fril.jp/s?query=B-STYLE%20%E3%83%9E%E3%83%96%E3%83%A9%E3%83%B4%20%E3%82%AF%E3%83%AA%E3%82%B9%E3%82%AB%20%E3%83%90%E3%83%8B%E3%83%BC%201%2F4&amp;min=10000&amp;transaction=selling</t>
  </si>
  <si>
    <t>https://search.rakuten.co.jp/search/mall/B-STYLE%20%E3%83%9E%E3%83%96%E3%83%A9%E3%83%B4%20%E3%82%AF%E3%83%AA%E3%82%B9%E3%82%AB%20%E3%83%90%E3%83%8B%E3%83%BC%201%2F4/?min=10000</t>
  </si>
  <si>
    <t>https://auctions.yahoo.co.jp/search/search?p=B-STYLE%20%E3%83%9E%E3%83%96%E3%83%A9%E3%83%B4%20%E3%82%AF%E3%83%AA%E3%82%B9%E3%82%AB%20%E3%83%90%E3%83%8B%E3%83%BC%201%2F4&amp;aucminprice=10000</t>
  </si>
  <si>
    <t>https://shopping.yahoo.co.jp/search/B-STYLE%20%E3%83%9E%E3%83%96%E3%83%A9%E3%83%B4%20%E3%82%AF%E3%83%AA%E3%82%B9%E3%82%AB%20%E3%83%90%E3%83%8B%E3%83%BC%201%2F4/0/?pf=10000</t>
  </si>
  <si>
    <t>https://jp.mercari.com/item/m55690663950</t>
  </si>
  <si>
    <t>ヤマハ マリンジェット リモコンキー</t>
  </si>
  <si>
    <t>https://www.ebay.com/itm/143623778726?nordt=true&amp;orig_cvip=true&amp;rt=nc</t>
  </si>
  <si>
    <t>https://www.ebay.com/sch/i.html?_nkw=Yamaha+WaveRunner+Remote+Control+Transmitter&amp;_sacat=0&amp;_sop=15</t>
  </si>
  <si>
    <t>https://jp.mercari.com/item/m81330625947</t>
  </si>
  <si>
    <t>https://jp.mercari.com/item/m92809168409</t>
  </si>
  <si>
    <t>https://auctions.yahoo.co.jp/jp/auction/w1241764767</t>
  </si>
  <si>
    <t>https://jp.mercari.com/search?keyword=%E3%83%A4%E3%83%9E%E3%83%8F%20%E3%83%9E%E3%83%AA%E3%83%B3%E3%82%B8%E3%82%A7%E3%83%83%E3%83%88%20%E3%83%AA%E3%83%A2%E3%82%B3%E3%83%B3%E3%82%AD%E3%83%BC&amp;status=on_sale&amp;sort=price&amp;order=asc</t>
  </si>
  <si>
    <t>https://fril.jp/s?query=%E3%83%A4%E3%83%9E%E3%83%8F+%E3%83%9E%E3%83%AA%E3%83%B3%E3%82%B8%E3%82%A7%E3%83%83%E3%83%88+%E3%83%AA%E3%83%A2%E3%82%B3%E3%83%B3%E3%82%AD%E3%83%BC&amp;transaction=selling&amp;sort=relevance&amp;order=desc</t>
  </si>
  <si>
    <t>https://search.rakuten.co.jp/search/mall/%E3%83%A4%E3%83%9E%E3%83%8F%20%E3%83%9E%E3%83%AA%E3%83%B3%E3%82%B8%E3%82%A7%E3%83%83%E3%83%88%20%E3%83%AA%E3%83%A2%E3%82%B3%E3%83%B3%E3%82%AD%E3%83%BC/</t>
  </si>
  <si>
    <t>https://auctions.yahoo.co.jp/search/search?p=%E3%83%A4%E3%83%9E%E3%83%8F%20%E3%83%9E%E3%83%AA%E3%83%B3%E3%82%B8%E3%82%A7%E3%83%83%E3%83%88%20%E3%83%AA%E3%83%A2%E3%82%B3%E3%83%B3%E3%82%AD%E3%83%BC&amp;s1=cbids&amp;o1=a</t>
  </si>
  <si>
    <t>https://paypayfleamarket.yahoo.co.jp/search/%E3%83%A4%E3%83%9E%E3%83%8F%20%E3%83%9E%E3%83%AA%E3%83%B3%E3%82%B8%E3%82%A7%E3%83%83%E3%83%88%20%E3%83%AA%E3%83%A2%E3%82%B3%E3%83%B3%E3%82%AD%E3%83%BC?sort=price&amp;order=asc&amp;open=1</t>
  </si>
  <si>
    <t>ポケモンタイム ピタッとクチート ぬいぐるみ</t>
  </si>
  <si>
    <t>https://www.ebay.com/itm/377314173438?nordt=true&amp;orig_cvip=true&amp;rt=nc</t>
  </si>
  <si>
    <t>https://www.ebay.com/sch/i.html?_nkw=Pokemon+Time+Mawile+Plush&amp;_sacat=0&amp;_sop=15</t>
  </si>
  <si>
    <t>https://jp.mercari.com/item/m54970458444</t>
  </si>
  <si>
    <t>https://jp.mercari.com/search?keyword=%E3%83%9D%E3%82%B1%E3%83%A2%E3%83%B3%E3%82%BF%E3%82%A4%E3%83%A0%20%E3%83%94%E3%82%BF%E3%83%83%E3%81%A8%E3%82%AF%E3%83%81%E3%83%BC%E3%83%88%20%E3%81%AC%E3%81%84%E3%81%90%E3%82%8B%E3%81%BF&amp;status=on_sale&amp;sort=price&amp;order=asc</t>
  </si>
  <si>
    <t>https://fril.jp/s?query=%E3%83%9D%E3%82%B1%E3%83%A2%E3%83%B3%E3%82%BF%E3%82%A4%E3%83%A0+%E3%83%94%E3%82%BF%E3%83%83%E3%81%A8%E3%82%AF%E3%83%81%E3%83%BC%E3%83%88+%E3%81%AC%E3%81%84%E3%81%90%E3%82%8B%E3%81%BF&amp;transaction=selling&amp;sort=relevance&amp;order=desc</t>
  </si>
  <si>
    <t>https://search.rakuten.co.jp/search/mall/%E3%83%9D%E3%82%B1%E3%83%A2%E3%83%B3%E3%82%BF%E3%82%A4%E3%83%A0%20%E3%83%94%E3%82%BF%E3%83%83%E3%81%A8%E3%82%AF%E3%83%81%E3%83%BC%E3%83%88%20%E3%81%AC%E3%81%84%E3%81%90%E3%82%8B%E3%81%BF/</t>
  </si>
  <si>
    <t>https://auctions.yahoo.co.jp/search/search?p=%E3%83%9D%E3%82%B1%E3%83%A2%E3%83%B3%E3%82%BF%E3%82%A4%E3%83%A0%20%E3%83%94%E3%82%BF%E3%83%83%E3%81%A8%E3%82%AF%E3%83%81%E3%83%BC%E3%83%88%20%E3%81%AC%E3%81%84%E3%81%90%E3%82%8B%E3%81%BF&amp;s1=cbids&amp;o1=a</t>
  </si>
  <si>
    <t>https://paypayfleamarket.yahoo.co.jp/search/%E3%83%9D%E3%82%B1%E3%83%A2%E3%83%B3%E3%82%BF%E3%82%A4%E3%83%A0%20%E3%83%94%E3%82%BF%E3%83%83%E3%81%A8%E3%82%AF%E3%83%81%E3%83%BC%E3%83%88%20%E3%81%AC%E3%81%84%E3%81%90%E3%82%8B%E3%81%BF?sort=price&amp;order=asc&amp;open=1</t>
  </si>
  <si>
    <t>KISS KISSTORY 限定版 直筆サイン入り写真集</t>
  </si>
  <si>
    <t>https://www.ebay.com/itm/377079037716?nordt=true&amp;orig_cvip=true&amp;rt=nc</t>
  </si>
  <si>
    <t>https://www.ebay.com/sch/i.html?_nkw=KISS+KISSTORY+Signed+Limited+Edition&amp;_sacat=0&amp;_sop=15</t>
  </si>
  <si>
    <t>https://jp.mercari.com/item/m97801209006</t>
  </si>
  <si>
    <t>https://jp.mercari.com/search?keyword=KISS%20KISSTORY%20%E9%99%90%E5%AE%9A%E7%89%88%20%E7%9B%B4%E7%AD%86%E3%82%B5%E3%82%A4%E3%83%B3%E5%85%A5%E3%82%8A%E5%86%99%E7%9C%9F%E9%9B%86&amp;status=on_sale&amp;sort=price&amp;order=asc</t>
  </si>
  <si>
    <t>https://fril.jp/s?query=KISS+KISSTORY+%E9%99%90%E5%AE%9A%E7%89%88+%E7%9B%B4%E7%AD%86%E3%82%B5%E3%82%A4%E3%83%B3%E5%85%A5%E3%82%8A%E5%86%99%E7%9C%9F%E9%9B%86&amp;transaction=selling&amp;sort=relevance&amp;order=desc</t>
  </si>
  <si>
    <t>https://search.rakuten.co.jp/search/mall/KISS%20KISSTORY%20%E9%99%90%E5%AE%9A%E7%89%88%20%E7%9B%B4%E7%AD%86%E3%82%B5%E3%82%A4%E3%83%B3%E5%85%A5%E3%82%8A%E5%86%99%E7%9C%9F%E9%9B%86/</t>
  </si>
  <si>
    <t>https://auctions.yahoo.co.jp/search/search?p=KISS%20KISSTORY%20%E9%99%90%E5%AE%9A%E7%89%88%20%E7%9B%B4%E7%AD%86%E3%82%B5%E3%82%A4%E3%83%B3%E5%85%A5%E3%82%8A%E5%86%99%E7%9C%9F%E9%9B%86&amp;s1=cbids&amp;o1=a</t>
  </si>
  <si>
    <t>https://paypayfleamarket.yahoo.co.jp/search/KISS%20KISSTORY%20%E9%99%90%E5%AE%9A%E7%89%88%20%E7%9B%B4%E7%AD%86%E3%82%B5%E3%82%A4%E3%83%B3%E5%85%A5%E3%82%8A%E5%86%99%E7%9C%9F%E9%9B%86?sort=price&amp;order=asc&amp;open=1</t>
  </si>
  <si>
    <t>Ignition &amp; Starting Systems</t>
  </si>
  <si>
    <t>自動車等カギのシステム等</t>
    <rPh sb="0" eb="4">
      <t>ジドウシャトウ</t>
    </rPh>
    <rPh sb="11" eb="12">
      <t>ナド</t>
    </rPh>
    <phoneticPr fontId="1"/>
  </si>
  <si>
    <t>テンプレ説明</t>
    <rPh sb="4" eb="6">
      <t>セツメイ</t>
    </rPh>
    <phoneticPr fontId="1"/>
  </si>
  <si>
    <t>https://auctions.yahoo.co.jp/jp/auction/t1127969307</t>
  </si>
  <si>
    <t>https://jp.mercari.com/item/m48507643435</t>
  </si>
  <si>
    <t>https://paypayfleamarket.yahoo.co.jp/item/z654461726</t>
  </si>
  <si>
    <t>File219</t>
  </si>
  <si>
    <t>Armored Core Machine Side Box PS2 1997-2006 From Software Japan Import Used</t>
  </si>
  <si>
    <t>File220</t>
  </si>
  <si>
    <t>King's Field II PS1 PlayStation Sealed From Software RPG Japan NTSC-J New</t>
  </si>
  <si>
    <t>File221</t>
  </si>
  <si>
    <t>Lost World Jurassic Park Mercedes-Benz AAV Remote Control Car ToyBiz Vintage</t>
  </si>
  <si>
    <t>File222</t>
  </si>
  <si>
    <t>Kaido House Honda NSX Hobby Expo China 2025 Exclusive 1/64 Diecast KHMG183</t>
  </si>
  <si>
    <t>File223</t>
  </si>
  <si>
    <t>Kaido House Mini GT Nissan Skyline 2000 GT-R BLK LTD 1/64 Diecast KHMG178 Japan</t>
  </si>
  <si>
    <t>File224</t>
  </si>
  <si>
    <t>Ichiban Kuji Splatoon 3 Sound Clock Double Chance Campaign Limited 50 Japan</t>
  </si>
  <si>
    <t>File225</t>
  </si>
  <si>
    <t>Splatoon 2 Sanrio Pompompurin Squid Cushion Plush Rubber Strap 4pc Set Japan Lot</t>
  </si>
  <si>
    <t>File226</t>
  </si>
  <si>
    <t>Splatoon Squid Sisters Callie Marie Final Fest T-Shirt Set M Size 2pc Japan</t>
  </si>
  <si>
    <t>File227</t>
  </si>
  <si>
    <t>https://jp.mercari.com/item/m46831840838</t>
  </si>
  <si>
    <t>https://jp.mercari.com/item/m99488825388</t>
  </si>
  <si>
    <t>https://jp.mercari.com/item/m87346117935</t>
  </si>
  <si>
    <t>https://jp.mercari.com/item/m56334718647</t>
  </si>
  <si>
    <t>【再販中】Harry Potter 怪物的な怪物の本</t>
  </si>
  <si>
    <t>Harry Potter Monster Book of Monsters 1/1 Replica 30cm Prop Prisoner Azkaban JP</t>
  </si>
  <si>
    <t>https://www.ebay.com/sch/i.html?_nkw=Harry+Potter+Monster+Book+Monsters&amp;_sacat=0&amp;_from=R40&amp;_sop=15&amp;rt=nc&amp;_udlo=20000</t>
  </si>
  <si>
    <t>https://jp.mercari.com/search?keyword=%E3%83%8F%E3%83%AA%E3%83%BC%E3%83%9D%E3%83%83%E3%82%BF%E3%83%BC%20%E6%80%AA%E7%89%A9%E7%9A%84%E3%81%AA%E6%80%AA%E7%89%A9%E3%81%AE%E6%9C%AC%20%E3%83%AC%E3%83%97%E3%83%AA%E3%82%AB&amp;price_min=10000&amp;sort=price&amp;order=asc&amp;status=on_sale</t>
  </si>
  <si>
    <t>https://fril.jp/s?query=%E3%83%8F%E3%83%AA%E3%83%BC%E3%83%9D%E3%83%83%E3%82%BF%E3%83%BC%20%E6%80%AA%E7%89%A9%E7%9A%84%E3%81%AA%E6%80%AA%E7%89%A9%E3%81%AE%E6%9C%AC%20%E3%83%AC%E3%83%97%E3%83%AA%E3%82%AB&amp;min=10000&amp;transaction=selling</t>
  </si>
  <si>
    <t>https://search.rakuten.co.jp/search/mall/%E3%83%8F%E3%83%AA%E3%83%BC%E3%83%9D%E3%83%83%E3%82%BF%E3%83%BC%20%E6%80%AA%E7%89%A9%E7%9A%84%E3%81%AA%E6%80%AA%E7%89%A9%E3%81%AE%E6%9C%AC%20%E3%83%AC%E3%83%97%E3%83%AA%E3%82%AB/?min=10000</t>
  </si>
  <si>
    <t>https://auctions.yahoo.co.jp/search/search?p=%E3%83%8F%E3%83%AA%E3%83%BC%E3%83%9D%E3%83%83%E3%82%BF%E3%83%BC%20%E6%80%AA%E7%89%A9%E7%9A%84%E3%81%AA%E6%80%AA%E7%89%A9%E3%81%AE%E6%9C%AC%20%E3%83%AC%E3%83%97%E3%83%AA%E3%82%AB&amp;aucminprice=10000</t>
  </si>
  <si>
    <t>https://shopping.yahoo.co.jp/search/%E3%83%8F%E3%83%AA%E3%83%BC%E3%83%9D%E3%83%83%E3%82%BF%E3%83%BC%20%E6%80%AA%E7%89%A9%E7%9A%84%E3%81%AA%E6%80%AA%E7%89%A9%E3%81%AE%E6%9C%AC%20%E3%83%AC%E3%83%97%E3%83%AA%E3%82%AB/0/?pf=10000</t>
  </si>
  <si>
    <t>ハリーポッター 　　ナルシッサ・マルフォイ　杖 ノーブルコレクション　レア</t>
  </si>
  <si>
    <t>Harry Potter Narcissa Malfoy Wand Noble Collection Ollivanders Box Rare Prop JP</t>
  </si>
  <si>
    <t>https://www.ebay.com/sch/i.html?_nkw=Harry+Potter+Narcissa+Malfoy+Wand&amp;_sacat=0&amp;_from=R40&amp;_sop=15&amp;rt=nc&amp;_udlo=20000</t>
  </si>
  <si>
    <t>https://jp.mercari.com/search?keyword=%E3%83%8F%E3%83%AA%E3%83%BC%E3%83%9D%E3%83%83%E3%82%BF%E3%83%BC%20%E3%83%8A%E3%83%AB%E3%82%B7%E3%83%83%E3%82%B5%20%E6%9D%96%20%E3%83%8E%E3%83%BC%E3%83%96%E3%83%AB%E3%82%B3%E3%83%AC%E3%82%AF%E3%82%B7%E3%83%A7%E3%83%B3&amp;price_min=10000&amp;sort=price&amp;order=asc&amp;status=on_sale</t>
  </si>
  <si>
    <t>https://fril.jp/s?query=%E3%83%8F%E3%83%AA%E3%83%BC%E3%83%9D%E3%83%83%E3%82%BF%E3%83%BC%20%E3%83%8A%E3%83%AB%E3%82%B7%E3%83%83%E3%82%B5%20%E6%9D%96%20%E3%83%8E%E3%83%BC%E3%83%96%E3%83%AB%E3%82%B3%E3%83%AC%E3%82%AF%E3%82%B7%E3%83%A7%E3%83%B3&amp;min=10000&amp;transaction=selling</t>
  </si>
  <si>
    <t>https://search.rakuten.co.jp/search/mall/%E3%83%8F%E3%83%AA%E3%83%BC%E3%83%9D%E3%83%83%E3%82%BF%E3%83%BC%20%E3%83%8A%E3%83%AB%E3%82%B7%E3%83%83%E3%82%B5%20%E6%9D%96%20%E3%83%8E%E3%83%BC%E3%83%96%E3%83%AB%E3%82%B3%E3%83%AC%E3%82%AF%E3%82%B7%E3%83%A7%E3%83%B3/?min=10000</t>
  </si>
  <si>
    <t>https://auctions.yahoo.co.jp/search/search?p=%E3%83%8F%E3%83%AA%E3%83%BC%E3%83%9D%E3%83%83%E3%82%BF%E3%83%BC%20%E3%83%8A%E3%83%AB%E3%82%B7%E3%83%83%E3%82%B5%20%E6%9D%96%20%E3%83%8E%E3%83%BC%E3%83%96%E3%83%AB%E3%82%B3%E3%83%AC%E3%82%AF%E3%82%B7%E3%83%A7%E3%83%B3&amp;aucminprice=10000</t>
  </si>
  <si>
    <t>https://shopping.yahoo.co.jp/search/%E3%83%8F%E3%83%AA%E3%83%BC%E3%83%9D%E3%83%83%E3%82%BF%E3%83%BC%20%E3%83%8A%E3%83%AB%E3%82%B7%E3%83%83%E3%82%B5%20%E6%9D%96%20%E3%83%8E%E3%83%BC%E3%83%96%E3%83%AB%E3%82%B3%E3%83%AC%E3%82%AF%E3%82%B7%E3%83%A7%E3%83%B3/0/?pf=10000</t>
  </si>
  <si>
    <t>ハリーポッター ノーブルコレクション ホグワーツ特急 50/1スケールフィギュア</t>
  </si>
  <si>
    <t>Harry Potter Hogwarts Express 1/50 Scale Noble Collection Die-cast Replica Japan</t>
  </si>
  <si>
    <t>https://www.ebay.com/sch/i.html?_nkw=Harry+Potter+Hogwarts+Express+Noble&amp;_sacat=0&amp;_from=R40&amp;_sop=15&amp;rt=nc&amp;_udlo=20000</t>
  </si>
  <si>
    <t>https://jp.mercari.com/search?keyword=%E3%83%8F%E3%83%AA%E3%83%BC%E3%83%9D%E3%83%83%E3%82%BF%E3%83%BC%20%E3%83%9B%E3%82%B0%E3%83%AF%E3%83%BC%E3%83%84%E7%89%B9%E6%80%A5%20%E3%83%8E%E3%83%BC%E3%83%96%E3%83%AB%E3%82%B3%E3%83%AC%E3%82%AF%E3%82%B7%E3%83%A7%E3%83%B3&amp;price_min=10000&amp;sort=price&amp;order=asc&amp;status=on_sale</t>
  </si>
  <si>
    <t>https://fril.jp/s?query=%E3%83%8F%E3%83%AA%E3%83%BC%E3%83%9D%E3%83%83%E3%82%BF%E3%83%BC%20%E3%83%9B%E3%82%B0%E3%83%AF%E3%83%BC%E3%83%84%E7%89%B9%E6%80%A5%20%E3%83%8E%E3%83%BC%E3%83%96%E3%83%AB%E3%82%B3%E3%83%AC%E3%82%AF%E3%82%B7%E3%83%A7%E3%83%B3&amp;min=10000&amp;transaction=selling</t>
  </si>
  <si>
    <t>https://search.rakuten.co.jp/search/mall/%E3%83%8F%E3%83%AA%E3%83%BC%E3%83%9D%E3%83%83%E3%82%BF%E3%83%BC%20%E3%83%9B%E3%82%B0%E3%83%AF%E3%83%BC%E3%83%84%E7%89%B9%E6%80%A5%20%E3%83%8E%E3%83%BC%E3%83%96%E3%83%AB%E3%82%B3%E3%83%AC%E3%82%AF%E3%82%B7%E3%83%A7%E3%83%B3/?min=10000</t>
  </si>
  <si>
    <t>https://auctions.yahoo.co.jp/search/search?p=%E3%83%8F%E3%83%AA%E3%83%BC%E3%83%9D%E3%83%83%E3%82%BF%E3%83%BC%20%E3%83%9B%E3%82%B0%E3%83%AF%E3%83%BC%E3%83%84%E7%89%B9%E6%80%A5%20%E3%83%8E%E3%83%BC%E3%83%96%E3%83%AB%E3%82%B3%E3%83%AC%E3%82%AF%E3%82%B7%E3%83%A7%E3%83%B3&amp;aucminprice=10000</t>
  </si>
  <si>
    <t>https://shopping.yahoo.co.jp/search/%E3%83%8F%E3%83%AA%E3%83%BC%E3%83%9D%E3%83%83%E3%82%BF%E3%83%BC%20%E3%83%9B%E3%82%B0%E3%83%AF%E3%83%BC%E3%83%84%E7%89%B9%E6%80%A5%20%E3%83%8E%E3%83%BC%E3%83%96%E3%83%AB%E3%82%B3%E3%83%AC%E3%82%AF%E3%82%B7%E3%83%A7%E3%83%B3/0/?pf=10000</t>
  </si>
  <si>
    <t>【マホウドコロ限定】 ハリー・ポッター リカちゃん 4種セット トートバッグ付き</t>
  </si>
  <si>
    <t>Harry Potter Licca Doll 4 Set Mahoudokoro Limited Hogwarts Houses Tote Bag Japan</t>
  </si>
  <si>
    <t>https://www.ebay.com/sch/i.html?_nkw=Harry+Potter+Licca+Doll+Mahoudokoro&amp;_sacat=0&amp;_from=R40&amp;_sop=15&amp;rt=nc&amp;_udlo=20000</t>
  </si>
  <si>
    <t>https://jp.mercari.com/search?keyword=%E3%83%8F%E3%83%AA%E3%83%BC%E3%83%9D%E3%83%83%E3%82%BF%E3%83%BC%20%E3%83%AA%E3%82%AB%E3%81%A1%E3%82%83%E3%82%93%20%E3%83%9E%E3%83%9B%E3%82%A6%E3%83%89%E3%82%B3%E3%83%AD%204%E7%A8%AE&amp;price_min=10000&amp;sort=price&amp;order=asc&amp;status=on_sale</t>
  </si>
  <si>
    <t>https://fril.jp/s?query=%E3%83%8F%E3%83%AA%E3%83%BC%E3%83%9D%E3%83%83%E3%82%BF%E3%83%BC%20%E3%83%AA%E3%82%AB%E3%81%A1%E3%82%83%E3%82%93%20%E3%83%9E%E3%83%9B%E3%82%A6%E3%83%89%E3%82%B3%E3%83%AD%204%E7%A8%AE&amp;min=10000&amp;transaction=selling</t>
  </si>
  <si>
    <t>https://search.rakuten.co.jp/search/mall/%E3%83%8F%E3%83%AA%E3%83%BC%E3%83%9D%E3%83%83%E3%82%BF%E3%83%BC%20%E3%83%AA%E3%82%AB%E3%81%A1%E3%82%83%E3%82%93%20%E3%83%9E%E3%83%9B%E3%82%A6%E3%83%89%E3%82%B3%E3%83%AD%204%E7%A8%AE/?min=10000</t>
  </si>
  <si>
    <t>https://auctions.yahoo.co.jp/search/search?p=%E3%83%8F%E3%83%AA%E3%83%BC%E3%83%9D%E3%83%83%E3%82%BF%E3%83%BC%20%E3%83%AA%E3%82%AB%E3%81%A1%E3%82%83%E3%82%93%20%E3%83%9E%E3%83%9B%E3%82%A6%E3%83%89%E3%82%B3%E3%83%AD%204%E7%A8%AE&amp;aucminprice=10000</t>
  </si>
  <si>
    <t>https://shopping.yahoo.co.jp/search/%E3%83%8F%E3%83%AA%E3%83%BC%E3%83%9D%E3%83%83%E3%82%BF%E3%83%BC%20%E3%83%AA%E3%82%AB%E3%81%A1%E3%82%83%E3%82%93%20%E3%83%9E%E3%83%9B%E3%82%A6%E3%83%89%E3%82%B3%E3%83%AD%204%E7%A8%AE/0/?pf=10000</t>
  </si>
  <si>
    <t>Nゲージ　カトー　ユニオンパシフィック　FEF</t>
  </si>
  <si>
    <t>KATO N Gauge Union Pacific FEF-3 Steam Locomotive Model Railroad Japan Used</t>
  </si>
  <si>
    <t>https://www.ebay.com/sch/i.html?_nkw=KATO+Union+Pacific+FEF+Steam&amp;_sacat=0&amp;_from=R40&amp;_sop=15&amp;rt=nc&amp;_udlo=20000</t>
  </si>
  <si>
    <t>https://jp.mercari.com/search?keyword=KATO%20N%E3%82%B2%E3%83%BC%E3%82%B8%20%E3%83%A6%E3%83%8B%E3%82%AA%E3%83%B3%E3%83%91%E3%82%B7%E3%83%95%E3%82%A3%E3%83%83%E3%82%AF%20FEF&amp;price_min=10000&amp;sort=price&amp;order=asc&amp;status=on_sale</t>
  </si>
  <si>
    <t>https://fril.jp/s?query=KATO%20N%E3%82%B2%E3%83%BC%E3%82%B8%20%E3%83%A6%E3%83%8B%E3%82%AA%E3%83%B3%E3%83%91%E3%82%B7%E3%83%95%E3%82%A3%E3%83%83%E3%82%AF%20FEF&amp;min=10000&amp;transaction=selling</t>
  </si>
  <si>
    <t>https://search.rakuten.co.jp/search/mall/KATO%20N%E3%82%B2%E3%83%BC%E3%82%B8%20%E3%83%A6%E3%83%8B%E3%82%AA%E3%83%B3%E3%83%91%E3%82%B7%E3%83%95%E3%82%A3%E3%83%83%E3%82%AF%20FEF/?min=10000</t>
  </si>
  <si>
    <t>https://auctions.yahoo.co.jp/search/search?p=KATO%20N%E3%82%B2%E3%83%BC%E3%82%B8%20%E3%83%A6%E3%83%8B%E3%82%AA%E3%83%B3%E3%83%91%E3%82%B7%E3%83%95%E3%82%A3%E3%83%83%E3%82%AF%20FEF&amp;aucminprice=10000</t>
  </si>
  <si>
    <t>https://shopping.yahoo.co.jp/search/KATO%20N%E3%82%B2%E3%83%BC%E3%82%B8%20%E3%83%A6%E3%83%8B%E3%82%AA%E3%83%B3%E3%83%91%E3%82%B7%E3%83%95%E3%82%A3%E3%83%83%E3%82%AF%20FEF/0/?pf=10000</t>
  </si>
  <si>
    <t>ねんどろいどどーる 黒執事 セバスチャン・ミカエリス boy フィギュア ドール</t>
  </si>
  <si>
    <t>Black Butler Nendoroid Doll Sebastian Michaelis Boy Good Smile Japan Import New</t>
  </si>
  <si>
    <t>https://jp.mercari.com/search?keyword=%E3%81%AD%E3%82%93%E3%81%A9%E3%82%8D%E3%81%84%E3%81%A9%E3%81%A9%E3%83%BC%E3%82%8B%20%E9%BB%92%E5%9F%B7%E4%BA%8B%20%E3%82%BB%E3%83%90%E3%82%B9%E3%83%81%E3%83%A3%E3%83%B3&amp;price_min=10000&amp;sort=price&amp;order=asc&amp;status=on_sale</t>
  </si>
  <si>
    <t>https://fril.jp/s?query=%E3%81%AD%E3%82%93%E3%81%A9%E3%82%8D%E3%81%84%E3%81%A9%E3%81%A9%E3%83%BC%E3%82%8B%20%E9%BB%92%E5%9F%B7%E4%BA%8B%20%E3%82%BB%E3%83%90%E3%82%B9%E3%83%81%E3%83%A3%E3%83%B3&amp;min=10000&amp;transaction=selling</t>
  </si>
  <si>
    <t>https://search.rakuten.co.jp/search/mall/%E3%81%AD%E3%82%93%E3%81%A9%E3%82%8D%E3%81%84%E3%81%A9%E3%81%A9%E3%83%BC%E3%82%8B%20%E9%BB%92%E5%9F%B7%E4%BA%8B%20%E3%82%BB%E3%83%90%E3%82%B9%E3%83%81%E3%83%A3%E3%83%B3/?min=10000</t>
  </si>
  <si>
    <t>https://auctions.yahoo.co.jp/search/search?p=%E3%81%AD%E3%82%93%E3%81%A9%E3%82%8D%E3%81%84%E3%81%A9%E3%81%A9%E3%83%BC%E3%82%8B%20%E9%BB%92%E5%9F%B7%E4%BA%8B%20%E3%82%BB%E3%83%90%E3%82%B9%E3%83%81%E3%83%A3%E3%83%B3&amp;aucminprice=10000</t>
  </si>
  <si>
    <t>https://shopping.yahoo.co.jp/search/%E3%81%AD%E3%82%93%E3%81%A9%E3%82%8D%E3%81%84%E3%81%A9%E3%81%A9%E3%83%BC%E3%82%8B%20%E9%BB%92%E5%9F%B7%E4%BA%8B%20%E3%82%BB%E3%83%90%E3%82%B9%E3%83%81%E3%83%A3%E3%83%B3/0/?pf=10000</t>
  </si>
  <si>
    <t>【新品未開封・廃盤】SHM-CD BOX ザ・キンクス・アット・ザ・BBC</t>
  </si>
  <si>
    <t>The Kinks At The BBC SHM-CD BOX 5CD 1DVD Limited Japan Discontinued Sealed New</t>
  </si>
  <si>
    <t>https://www.ebay.com/sch/i.html?_nkw=Kinks+At+The+BBC+SHM-CD&amp;_sacat=0&amp;_from=R40&amp;_sop=15&amp;rt=nc&amp;_udlo=20000</t>
  </si>
  <si>
    <t>https://jp.mercari.com/search?keyword=%E3%82%AD%E3%83%B3%E3%82%AF%E3%82%B9%20BBC%20SHM-CD%20BOX&amp;price_min=10000&amp;sort=price&amp;order=asc&amp;status=on_sale</t>
  </si>
  <si>
    <t>https://fril.jp/s?query=%E3%82%AD%E3%83%B3%E3%82%AF%E3%82%B9%20BBC%20SHM-CD%20BOX&amp;min=10000&amp;transaction=selling</t>
  </si>
  <si>
    <t>https://search.rakuten.co.jp/search/mall/%E3%82%AD%E3%83%B3%E3%82%AF%E3%82%B9%20BBC%20SHM-CD%20BOX/?min=10000</t>
  </si>
  <si>
    <t>https://auctions.yahoo.co.jp/search/search?p=%E3%82%AD%E3%83%B3%E3%82%AF%E3%82%B9%20BBC%20SHM-CD%20BOX&amp;aucminprice=10000</t>
  </si>
  <si>
    <t>https://shopping.yahoo.co.jp/search/%E3%82%AD%E3%83%B3%E3%82%AF%E3%82%B9%20BBC%20SHM-CD%20BOX/0/?pf=10000</t>
  </si>
  <si>
    <t>https://paypayfleamarket.yahoo.co.jp/item/z364388102</t>
  </si>
  <si>
    <t>https://auctions.yahoo.co.jp/jp/auction/v1232834879</t>
  </si>
  <si>
    <t>https://www.ebay.com/sch/i.html?_nkw=Nendoroid+Doll+Sebastian&amp;_sacat=0&amp;_from=R40&amp;_trksid=m570.l1313&amp;_udlo=20000&amp;rt=nc&amp;_odkw=Nendoroid+Doll+Sebastian+Kuroshitsuji&amp;_osacat=0&amp;_sop=15</t>
  </si>
  <si>
    <t>https://jp.mercari.com/item/m80930809643</t>
  </si>
  <si>
    <t>File228</t>
  </si>
  <si>
    <t>File229</t>
  </si>
  <si>
    <t>File230</t>
  </si>
  <si>
    <t>File231</t>
  </si>
  <si>
    <t>File232</t>
  </si>
  <si>
    <t>File233</t>
  </si>
  <si>
    <t>File234</t>
  </si>
  <si>
    <t>1語目-1</t>
    <phoneticPr fontId="1"/>
  </si>
  <si>
    <t>1語目-2</t>
  </si>
  <si>
    <t>1語目-3</t>
  </si>
  <si>
    <t>1語目-4</t>
  </si>
  <si>
    <t>1語目-5</t>
  </si>
  <si>
    <t>2語目-1</t>
    <phoneticPr fontId="1"/>
  </si>
  <si>
    <t>2語目-2</t>
  </si>
  <si>
    <t>2語目-3</t>
  </si>
  <si>
    <t>2語目-4</t>
  </si>
  <si>
    <t>2語目-5</t>
  </si>
  <si>
    <t>3語目-1</t>
    <phoneticPr fontId="1"/>
  </si>
  <si>
    <t>3語目-2</t>
  </si>
  <si>
    <t>3語目-3</t>
  </si>
  <si>
    <t>3語目-4</t>
  </si>
  <si>
    <t>3語目-5</t>
  </si>
  <si>
    <t>4語目-1</t>
    <phoneticPr fontId="1"/>
  </si>
  <si>
    <t>4語目-2</t>
  </si>
  <si>
    <t>4語目-3</t>
  </si>
  <si>
    <t>4語目-4</t>
  </si>
  <si>
    <t>4語目-5</t>
  </si>
  <si>
    <t>figma Lancer Altria Pendragon DX Edition Fate Grand Order Max Factory Japan 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</si>
</sst>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26" formatCode="\$#,##0.00_);[Red]\(\$#,##0.00\)"/>
    <numFmt numFmtId="176" formatCode="\$#,##0.00;[Red]\-\$#,##0.00"/>
    <numFmt numFmtId="177" formatCode="0.0"/>
  </numFmts>
  <fonts count="10">
    <font>
      <sz val="11"/>
      <color theme="1"/>
      <name val="游ゴシック"/>
      <family val="2"/>
      <charset val="128"/>
      <scheme val="minor"/>
    </font>
    <font>
      <sz val="6"/>
      <name val="游ゴシック"/>
      <family val="2"/>
      <charset val="128"/>
      <scheme val="minor"/>
    </font>
    <font>
      <sz val="10"/>
      <color rgb="FFCCCCCC"/>
      <name val="Arial"/>
      <family val="2"/>
    </font>
    <font>
      <sz val="11"/>
      <color theme="1"/>
      <name val="游ゴシック"/>
      <family val="2"/>
      <charset val="128"/>
      <scheme val="minor"/>
    </font>
    <font>
      <u/>
      <sz val="11"/>
      <color theme="10"/>
      <name val="游ゴシック"/>
      <family val="2"/>
      <charset val="128"/>
      <scheme val="minor"/>
    </font>
    <font>
      <sz val="11"/>
      <name val="游ゴシック"/>
      <family val="2"/>
      <charset val="128"/>
      <scheme val="minor"/>
    </font>
    <font>
      <b/>
      <sz val="11"/>
      <name val="游ゴシック"/>
      <family val="3"/>
      <charset val="128"/>
    </font>
    <font>
      <sz val="6"/>
      <color theme="1"/>
      <name val="游ゴシック"/>
      <family val="2"/>
      <charset val="128"/>
      <scheme val="minor"/>
    </font>
    <font>
      <b/>
      <sz val="11"/>
      <color theme="1"/>
      <name val="游ゴシック"/>
      <family val="3"/>
      <charset val="128"/>
      <scheme val="minor"/>
    </font>
    <font>
      <b/>
      <sz val="9"/>
      <color theme="1"/>
      <name val="游ゴシック"/>
      <family val="3"/>
      <charset val="128"/>
      <scheme val="minor"/>
    </font>
  </fonts>
  <fills count="30">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FF8B"/>
        <bgColor indexed="64"/>
      </patternFill>
    </fill>
    <fill>
      <patternFill patternType="solid">
        <fgColor rgb="FFDFDA00"/>
        <bgColor indexed="64"/>
      </patternFill>
    </fill>
    <fill>
      <patternFill patternType="solid">
        <fgColor rgb="FFFFFB57"/>
        <bgColor indexed="64"/>
      </patternFill>
    </fill>
    <fill>
      <patternFill patternType="solid">
        <fgColor rgb="FFFFFF29"/>
        <bgColor indexed="64"/>
      </patternFill>
    </fill>
    <fill>
      <patternFill patternType="solid">
        <fgColor rgb="FFD5D000"/>
        <bgColor indexed="64"/>
      </patternFill>
    </fill>
    <fill>
      <patternFill patternType="solid">
        <fgColor rgb="FFFFD1D1"/>
        <bgColor indexed="64"/>
      </patternFill>
    </fill>
    <fill>
      <patternFill patternType="solid">
        <fgColor rgb="FFFF8F8F"/>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rgb="FFE8F1F0"/>
      </patternFill>
    </fill>
    <fill>
      <patternFill patternType="solid">
        <fgColor theme="3" tint="0.49998474074526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2" tint="-0.249977111117893"/>
        <bgColor indexed="64"/>
      </patternFill>
    </fill>
  </fills>
  <borders count="86">
    <border>
      <left/>
      <right/>
      <top/>
      <bottom/>
      <diagonal/>
    </border>
    <border>
      <left/>
      <right/>
      <top/>
      <bottom style="double">
        <color indexed="64"/>
      </bottom>
      <diagonal/>
    </border>
    <border>
      <left style="thin">
        <color auto="1"/>
      </left>
      <right style="dotted">
        <color auto="1"/>
      </right>
      <top/>
      <bottom style="double">
        <color indexed="64"/>
      </bottom>
      <diagonal/>
    </border>
    <border>
      <left style="dotted">
        <color auto="1"/>
      </left>
      <right style="dotted">
        <color auto="1"/>
      </right>
      <top/>
      <bottom style="double">
        <color indexed="64"/>
      </bottom>
      <diagonal/>
    </border>
    <border>
      <left style="dotted">
        <color auto="1"/>
      </left>
      <right style="thin">
        <color auto="1"/>
      </right>
      <top/>
      <bottom style="double">
        <color indexed="64"/>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thin">
        <color auto="1"/>
      </right>
      <top/>
      <bottom/>
      <diagonal/>
    </border>
    <border>
      <left/>
      <right/>
      <top style="thin">
        <color auto="1"/>
      </top>
      <bottom style="hair">
        <color auto="1"/>
      </bottom>
      <diagonal/>
    </border>
    <border>
      <left style="thin">
        <color auto="1"/>
      </left>
      <right style="dotted">
        <color auto="1"/>
      </right>
      <top style="thin">
        <color auto="1"/>
      </top>
      <bottom style="hair">
        <color auto="1"/>
      </bottom>
      <diagonal/>
    </border>
    <border>
      <left style="dotted">
        <color auto="1"/>
      </left>
      <right style="dotted">
        <color auto="1"/>
      </right>
      <top style="thin">
        <color auto="1"/>
      </top>
      <bottom style="hair">
        <color auto="1"/>
      </bottom>
      <diagonal/>
    </border>
    <border>
      <left/>
      <right/>
      <top style="hair">
        <color auto="1"/>
      </top>
      <bottom style="hair">
        <color auto="1"/>
      </bottom>
      <diagonal/>
    </border>
    <border>
      <left style="thin">
        <color auto="1"/>
      </left>
      <right style="dotted">
        <color auto="1"/>
      </right>
      <top style="hair">
        <color auto="1"/>
      </top>
      <bottom style="hair">
        <color auto="1"/>
      </bottom>
      <diagonal/>
    </border>
    <border>
      <left style="dotted">
        <color auto="1"/>
      </left>
      <right style="dotted">
        <color auto="1"/>
      </right>
      <top style="hair">
        <color auto="1"/>
      </top>
      <bottom style="hair">
        <color auto="1"/>
      </bottom>
      <diagonal/>
    </border>
    <border>
      <left style="dotted">
        <color auto="1"/>
      </left>
      <right style="thin">
        <color auto="1"/>
      </right>
      <top style="hair">
        <color auto="1"/>
      </top>
      <bottom style="hair">
        <color auto="1"/>
      </bottom>
      <diagonal/>
    </border>
    <border>
      <left/>
      <right/>
      <top style="hair">
        <color auto="1"/>
      </top>
      <bottom style="thin">
        <color auto="1"/>
      </bottom>
      <diagonal/>
    </border>
    <border>
      <left style="dashed">
        <color auto="1"/>
      </left>
      <right style="dashed">
        <color auto="1"/>
      </right>
      <top/>
      <bottom/>
      <diagonal/>
    </border>
    <border>
      <left style="dotted">
        <color auto="1"/>
      </left>
      <right/>
      <top/>
      <bottom/>
      <diagonal/>
    </border>
    <border>
      <left style="dotted">
        <color auto="1"/>
      </left>
      <right/>
      <top style="thin">
        <color auto="1"/>
      </top>
      <bottom style="hair">
        <color auto="1"/>
      </bottom>
      <diagonal/>
    </border>
    <border>
      <left style="dotted">
        <color auto="1"/>
      </left>
      <right/>
      <top style="hair">
        <color auto="1"/>
      </top>
      <bottom style="hair">
        <color auto="1"/>
      </bottom>
      <diagonal/>
    </border>
    <border>
      <left style="dashed">
        <color auto="1"/>
      </left>
      <right style="dashed">
        <color auto="1"/>
      </right>
      <top style="thin">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dashed">
        <color auto="1"/>
      </right>
      <top/>
      <bottom style="thin">
        <color indexed="64"/>
      </bottom>
      <diagonal/>
    </border>
    <border>
      <left/>
      <right style="dotted">
        <color auto="1"/>
      </right>
      <top/>
      <bottom/>
      <diagonal/>
    </border>
    <border>
      <left/>
      <right style="dotted">
        <color auto="1"/>
      </right>
      <top style="thin">
        <color auto="1"/>
      </top>
      <bottom style="hair">
        <color auto="1"/>
      </bottom>
      <diagonal/>
    </border>
    <border>
      <left/>
      <right style="dotted">
        <color auto="1"/>
      </right>
      <top style="hair">
        <color auto="1"/>
      </top>
      <bottom style="hair">
        <color auto="1"/>
      </bottom>
      <diagonal/>
    </border>
    <border>
      <left style="dashed">
        <color indexed="64"/>
      </left>
      <right style="medium">
        <color indexed="64"/>
      </right>
      <top style="thin">
        <color indexed="64"/>
      </top>
      <bottom style="medium">
        <color indexed="64"/>
      </bottom>
      <diagonal/>
    </border>
    <border>
      <left style="dashed">
        <color indexed="64"/>
      </left>
      <right style="dashed">
        <color indexed="64"/>
      </right>
      <top style="thin">
        <color indexed="64"/>
      </top>
      <bottom style="medium">
        <color indexed="64"/>
      </bottom>
      <diagonal/>
    </border>
    <border>
      <left/>
      <right style="dashed">
        <color indexed="64"/>
      </right>
      <top style="thin">
        <color indexed="64"/>
      </top>
      <bottom style="medium">
        <color indexed="64"/>
      </bottom>
      <diagonal/>
    </border>
    <border>
      <left style="medium">
        <color indexed="64"/>
      </left>
      <right style="dashed">
        <color indexed="64"/>
      </right>
      <top style="thin">
        <color indexed="64"/>
      </top>
      <bottom style="medium">
        <color indexed="64"/>
      </bottom>
      <diagonal/>
    </border>
    <border>
      <left style="dashed">
        <color indexed="64"/>
      </left>
      <right/>
      <top style="thin">
        <color indexed="64"/>
      </top>
      <bottom style="medium">
        <color indexed="64"/>
      </bottom>
      <diagonal/>
    </border>
    <border>
      <left style="dashed">
        <color indexed="64"/>
      </left>
      <right style="medium">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right style="dashed">
        <color indexed="64"/>
      </right>
      <top style="thin">
        <color indexed="64"/>
      </top>
      <bottom style="thin">
        <color indexed="64"/>
      </bottom>
      <diagonal/>
    </border>
    <border>
      <left style="medium">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dashed">
        <color indexed="64"/>
      </left>
      <right style="medium">
        <color indexed="64"/>
      </right>
      <top/>
      <bottom style="thin">
        <color indexed="64"/>
      </bottom>
      <diagonal/>
    </border>
    <border>
      <left/>
      <right style="dashed">
        <color indexed="64"/>
      </right>
      <top/>
      <bottom style="thin">
        <color indexed="64"/>
      </bottom>
      <diagonal/>
    </border>
    <border>
      <left style="medium">
        <color indexed="64"/>
      </left>
      <right style="dashed">
        <color indexed="64"/>
      </right>
      <top/>
      <bottom style="thin">
        <color indexed="64"/>
      </bottom>
      <diagonal/>
    </border>
    <border>
      <left style="dashed">
        <color indexed="64"/>
      </left>
      <right/>
      <top/>
      <bottom style="thin">
        <color indexed="64"/>
      </bottom>
      <diagonal/>
    </border>
    <border>
      <left style="dashed">
        <color indexed="64"/>
      </left>
      <right style="medium">
        <color indexed="64"/>
      </right>
      <top style="thin">
        <color indexed="64"/>
      </top>
      <bottom/>
      <diagonal/>
    </border>
    <border>
      <left style="dashed">
        <color indexed="64"/>
      </left>
      <right style="dashed">
        <color indexed="64"/>
      </right>
      <top style="thin">
        <color indexed="64"/>
      </top>
      <bottom/>
      <diagonal/>
    </border>
    <border>
      <left/>
      <right style="dashed">
        <color indexed="64"/>
      </right>
      <top style="thin">
        <color indexed="64"/>
      </top>
      <bottom/>
      <diagonal/>
    </border>
    <border>
      <left style="medium">
        <color indexed="64"/>
      </left>
      <right style="dashed">
        <color indexed="64"/>
      </right>
      <top style="thin">
        <color indexed="64"/>
      </top>
      <bottom/>
      <diagonal/>
    </border>
    <border>
      <left style="dashed">
        <color indexed="64"/>
      </left>
      <right/>
      <top style="thin">
        <color indexed="64"/>
      </top>
      <bottom/>
      <diagonal/>
    </border>
    <border>
      <left style="dashed">
        <color indexed="64"/>
      </left>
      <right style="medium">
        <color indexed="64"/>
      </right>
      <top style="medium">
        <color indexed="64"/>
      </top>
      <bottom style="thin">
        <color indexed="64"/>
      </bottom>
      <diagonal/>
    </border>
    <border>
      <left style="dashed">
        <color indexed="64"/>
      </left>
      <right style="dashed">
        <color indexed="64"/>
      </right>
      <top style="medium">
        <color indexed="64"/>
      </top>
      <bottom style="thin">
        <color indexed="64"/>
      </bottom>
      <diagonal/>
    </border>
    <border>
      <left style="medium">
        <color indexed="64"/>
      </left>
      <right style="dashed">
        <color indexed="64"/>
      </right>
      <top style="medium">
        <color indexed="64"/>
      </top>
      <bottom style="thin">
        <color indexed="64"/>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ck">
        <color indexed="64"/>
      </left>
      <right/>
      <top/>
      <bottom/>
      <diagonal/>
    </border>
    <border>
      <left/>
      <right style="thick">
        <color indexed="64"/>
      </right>
      <top/>
      <bottom/>
      <diagonal/>
    </border>
    <border>
      <left/>
      <right style="thick">
        <color indexed="64"/>
      </right>
      <top/>
      <bottom style="double">
        <color indexed="64"/>
      </bottom>
      <diagonal/>
    </border>
    <border>
      <left style="thick">
        <color indexed="64"/>
      </left>
      <right/>
      <top style="medium">
        <color indexed="64"/>
      </top>
      <bottom style="double">
        <color indexed="64"/>
      </bottom>
      <diagonal/>
    </border>
    <border>
      <left/>
      <right/>
      <top style="medium">
        <color indexed="64"/>
      </top>
      <bottom style="double">
        <color indexed="64"/>
      </bottom>
      <diagonal/>
    </border>
    <border>
      <left/>
      <right style="thick">
        <color indexed="64"/>
      </right>
      <top style="medium">
        <color indexed="64"/>
      </top>
      <bottom style="double">
        <color indexed="64"/>
      </bottom>
      <diagonal/>
    </border>
    <border>
      <left style="thick">
        <color indexed="64"/>
      </left>
      <right/>
      <top/>
      <bottom style="double">
        <color indexed="64"/>
      </bottom>
      <diagonal/>
    </border>
    <border>
      <left style="thin">
        <color auto="1"/>
      </left>
      <right/>
      <top/>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thin">
        <color auto="1"/>
      </right>
      <top/>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ck">
        <color auto="1"/>
      </left>
      <right style="thin">
        <color auto="1"/>
      </right>
      <top/>
      <bottom/>
      <diagonal/>
    </border>
    <border>
      <left style="thin">
        <color auto="1"/>
      </left>
      <right style="thick">
        <color auto="1"/>
      </right>
      <top/>
      <bottom/>
      <diagonal/>
    </border>
    <border>
      <left style="thick">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n">
        <color auto="1"/>
      </bottom>
      <diagonal/>
    </border>
    <border>
      <left style="thin">
        <color auto="1"/>
      </left>
      <right style="thick">
        <color auto="1"/>
      </right>
      <top style="hair">
        <color auto="1"/>
      </top>
      <bottom style="thin">
        <color auto="1"/>
      </bottom>
      <diagonal/>
    </border>
    <border>
      <left style="thin">
        <color auto="1"/>
      </left>
      <right style="thin">
        <color auto="1"/>
      </right>
      <top/>
      <bottom style="double">
        <color indexed="64"/>
      </bottom>
      <diagonal/>
    </border>
    <border>
      <left style="thin">
        <color auto="1"/>
      </left>
      <right/>
      <top/>
      <bottom style="double">
        <color indexed="64"/>
      </bottom>
      <diagonal/>
    </border>
    <border>
      <left style="thick">
        <color auto="1"/>
      </left>
      <right style="thin">
        <color auto="1"/>
      </right>
      <top/>
      <bottom style="double">
        <color indexed="64"/>
      </bottom>
      <diagonal/>
    </border>
    <border>
      <left style="thin">
        <color auto="1"/>
      </left>
      <right style="thick">
        <color auto="1"/>
      </right>
      <top/>
      <bottom style="double">
        <color indexed="64"/>
      </bottom>
      <diagonal/>
    </border>
    <border>
      <left/>
      <right style="thin">
        <color auto="1"/>
      </right>
      <top/>
      <bottom style="double">
        <color indexed="64"/>
      </bottom>
      <diagonal/>
    </border>
    <border>
      <left style="medium">
        <color indexed="64"/>
      </left>
      <right style="thin">
        <color auto="1"/>
      </right>
      <top style="medium">
        <color indexed="64"/>
      </top>
      <bottom style="double">
        <color indexed="64"/>
      </bottom>
      <diagonal/>
    </border>
    <border>
      <left style="thin">
        <color auto="1"/>
      </left>
      <right style="thin">
        <color auto="1"/>
      </right>
      <top style="medium">
        <color indexed="64"/>
      </top>
      <bottom style="double">
        <color indexed="64"/>
      </bottom>
      <diagonal/>
    </border>
    <border>
      <left style="thin">
        <color auto="1"/>
      </left>
      <right style="medium">
        <color indexed="64"/>
      </right>
      <top style="medium">
        <color indexed="64"/>
      </top>
      <bottom style="double">
        <color indexed="64"/>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dashed">
        <color indexed="64"/>
      </left>
      <right/>
      <top style="medium">
        <color indexed="64"/>
      </top>
      <bottom style="thin">
        <color indexed="64"/>
      </bottom>
      <diagonal/>
    </border>
    <border>
      <left/>
      <right style="dashed">
        <color indexed="64"/>
      </right>
      <top style="medium">
        <color indexed="64"/>
      </top>
      <bottom style="thin">
        <color indexed="64"/>
      </bottom>
      <diagonal/>
    </border>
  </borders>
  <cellStyleXfs count="3">
    <xf numFmtId="0" fontId="0" fillId="0" borderId="0">
      <alignment vertical="center"/>
    </xf>
    <xf numFmtId="6" fontId="3"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235">
    <xf numFmtId="0" fontId="0" fillId="0" borderId="0" xfId="0">
      <alignment vertical="center"/>
    </xf>
    <xf numFmtId="0" fontId="0" fillId="2" borderId="0" xfId="0" applyFill="1">
      <alignment vertical="center"/>
    </xf>
    <xf numFmtId="26" fontId="2" fillId="3" borderId="1" xfId="0" applyNumberFormat="1" applyFont="1"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4" xfId="0" applyFill="1" applyBorder="1">
      <alignment vertical="center"/>
    </xf>
    <xf numFmtId="0" fontId="0" fillId="2" borderId="5" xfId="0" applyFill="1" applyBorder="1" applyAlignment="1">
      <alignment vertical="center" shrinkToFit="1"/>
    </xf>
    <xf numFmtId="0" fontId="0" fillId="2" borderId="6" xfId="0" applyFill="1" applyBorder="1">
      <alignment vertical="center"/>
    </xf>
    <xf numFmtId="176" fontId="0" fillId="2" borderId="6" xfId="1" applyNumberFormat="1" applyFont="1" applyFill="1"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2" borderId="11" xfId="0" applyFill="1" applyBorder="1">
      <alignment vertical="center"/>
    </xf>
    <xf numFmtId="0" fontId="0" fillId="2" borderId="12" xfId="0" applyFill="1" applyBorder="1" applyAlignment="1">
      <alignment vertical="center" shrinkToFit="1"/>
    </xf>
    <xf numFmtId="0" fontId="0" fillId="2" borderId="13" xfId="0" applyFill="1" applyBorder="1">
      <alignment vertical="center"/>
    </xf>
    <xf numFmtId="176" fontId="0" fillId="2" borderId="13" xfId="1" applyNumberFormat="1" applyFont="1" applyFill="1" applyBorder="1">
      <alignment vertical="center"/>
    </xf>
    <xf numFmtId="0" fontId="0" fillId="2" borderId="14" xfId="0" applyFill="1" applyBorder="1">
      <alignment vertical="center"/>
    </xf>
    <xf numFmtId="0" fontId="0" fillId="5" borderId="5" xfId="0" applyFill="1" applyBorder="1">
      <alignment vertical="center"/>
    </xf>
    <xf numFmtId="0" fontId="0" fillId="5" borderId="6" xfId="0" applyFill="1" applyBorder="1">
      <alignment vertical="center"/>
    </xf>
    <xf numFmtId="0" fontId="0" fillId="4" borderId="10" xfId="0" applyFill="1" applyBorder="1" applyAlignment="1">
      <alignment vertical="center" shrinkToFit="1"/>
    </xf>
    <xf numFmtId="0" fontId="0" fillId="4" borderId="13" xfId="0" applyFill="1" applyBorder="1" applyAlignment="1">
      <alignment vertical="center" shrinkToFit="1"/>
    </xf>
    <xf numFmtId="0" fontId="4" fillId="4" borderId="13" xfId="2" applyFill="1" applyBorder="1" applyAlignment="1">
      <alignment vertical="center" shrinkToFit="1"/>
    </xf>
    <xf numFmtId="177" fontId="0" fillId="0" borderId="0" xfId="0" applyNumberFormat="1">
      <alignment vertical="center"/>
    </xf>
    <xf numFmtId="0" fontId="0" fillId="0" borderId="17" xfId="0" applyBorder="1">
      <alignment vertical="center"/>
    </xf>
    <xf numFmtId="0" fontId="0" fillId="8" borderId="16" xfId="0" applyFill="1" applyBorder="1">
      <alignment vertical="center"/>
    </xf>
    <xf numFmtId="0" fontId="0" fillId="6" borderId="16" xfId="0" applyFill="1" applyBorder="1">
      <alignment vertical="center"/>
    </xf>
    <xf numFmtId="0" fontId="0" fillId="0" borderId="16" xfId="0" applyBorder="1">
      <alignment vertical="center"/>
    </xf>
    <xf numFmtId="0" fontId="0" fillId="4" borderId="20" xfId="0" applyFill="1" applyBorder="1">
      <alignment vertical="center"/>
    </xf>
    <xf numFmtId="0" fontId="0" fillId="6" borderId="20" xfId="0" applyFill="1" applyBorder="1">
      <alignment vertical="center"/>
    </xf>
    <xf numFmtId="0" fontId="0" fillId="4" borderId="21" xfId="0" applyFill="1" applyBorder="1">
      <alignment vertical="center"/>
    </xf>
    <xf numFmtId="0" fontId="0" fillId="6" borderId="21" xfId="0" applyFill="1" applyBorder="1">
      <alignment vertical="center"/>
    </xf>
    <xf numFmtId="0" fontId="0" fillId="0" borderId="5" xfId="0" applyFill="1" applyBorder="1">
      <alignment vertical="center"/>
    </xf>
    <xf numFmtId="0" fontId="0" fillId="0" borderId="12" xfId="0" applyFill="1" applyBorder="1" applyAlignment="1">
      <alignment vertical="center" shrinkToFit="1"/>
    </xf>
    <xf numFmtId="0" fontId="0" fillId="5" borderId="16" xfId="0" applyFill="1" applyBorder="1" applyAlignment="1">
      <alignment vertical="center" wrapText="1"/>
    </xf>
    <xf numFmtId="26" fontId="0" fillId="2" borderId="13" xfId="0" applyNumberFormat="1" applyFill="1" applyBorder="1">
      <alignment vertical="center"/>
    </xf>
    <xf numFmtId="0" fontId="4" fillId="4" borderId="10" xfId="2" applyFill="1" applyBorder="1" applyAlignment="1">
      <alignment vertical="center" shrinkToFit="1"/>
    </xf>
    <xf numFmtId="0" fontId="0" fillId="5" borderId="23" xfId="0" applyFill="1" applyBorder="1">
      <alignment vertical="center"/>
    </xf>
    <xf numFmtId="0" fontId="0" fillId="0" borderId="23" xfId="0" applyFill="1" applyBorder="1">
      <alignment vertical="center"/>
    </xf>
    <xf numFmtId="0" fontId="0" fillId="5" borderId="17" xfId="0" applyFill="1" applyBorder="1">
      <alignment vertical="center"/>
    </xf>
    <xf numFmtId="0" fontId="4" fillId="4" borderId="18" xfId="2" applyFill="1" applyBorder="1" applyAlignment="1">
      <alignment vertical="center" shrinkToFit="1"/>
    </xf>
    <xf numFmtId="0" fontId="4" fillId="4" borderId="19" xfId="2" applyFill="1" applyBorder="1" applyAlignment="1">
      <alignment vertical="center" shrinkToFit="1"/>
    </xf>
    <xf numFmtId="0" fontId="0" fillId="4" borderId="19" xfId="0" applyFill="1" applyBorder="1" applyAlignment="1">
      <alignment vertical="center" shrinkToFit="1"/>
    </xf>
    <xf numFmtId="0" fontId="4" fillId="4" borderId="24" xfId="2" applyFill="1" applyBorder="1" applyAlignment="1">
      <alignment vertical="center" shrinkToFit="1"/>
    </xf>
    <xf numFmtId="0" fontId="4" fillId="4" borderId="25" xfId="2" applyFill="1" applyBorder="1" applyAlignment="1">
      <alignment vertical="center" shrinkToFit="1"/>
    </xf>
    <xf numFmtId="0" fontId="0" fillId="4" borderId="25" xfId="0" applyFill="1" applyBorder="1" applyAlignment="1">
      <alignment vertical="center" shrinkToFit="1"/>
    </xf>
    <xf numFmtId="0" fontId="4" fillId="2" borderId="7" xfId="2" applyFill="1" applyBorder="1" applyAlignment="1">
      <alignment vertical="center" shrinkToFit="1"/>
    </xf>
    <xf numFmtId="0" fontId="0" fillId="2" borderId="14" xfId="0" applyFill="1" applyBorder="1" applyAlignment="1">
      <alignment vertical="center" shrinkToFit="1"/>
    </xf>
    <xf numFmtId="0" fontId="0" fillId="9" borderId="16" xfId="0" applyFill="1" applyBorder="1">
      <alignment vertical="center"/>
    </xf>
    <xf numFmtId="0" fontId="0" fillId="9" borderId="22" xfId="0" applyFill="1" applyBorder="1">
      <alignment vertical="center"/>
    </xf>
    <xf numFmtId="0" fontId="0" fillId="10" borderId="16" xfId="0" applyFill="1" applyBorder="1">
      <alignment vertical="center"/>
    </xf>
    <xf numFmtId="0" fontId="0" fillId="10" borderId="20" xfId="0" applyFill="1" applyBorder="1">
      <alignment vertical="center"/>
    </xf>
    <xf numFmtId="177" fontId="0" fillId="10" borderId="20" xfId="0" applyNumberFormat="1" applyFill="1" applyBorder="1">
      <alignment vertical="center"/>
    </xf>
    <xf numFmtId="0" fontId="0" fillId="10" borderId="21" xfId="0" applyFill="1" applyBorder="1">
      <alignment vertical="center"/>
    </xf>
    <xf numFmtId="177" fontId="0" fillId="10" borderId="21" xfId="0" applyNumberFormat="1" applyFill="1" applyBorder="1">
      <alignment vertical="center"/>
    </xf>
    <xf numFmtId="6" fontId="5" fillId="4" borderId="25" xfId="1" applyFont="1" applyFill="1" applyBorder="1" applyAlignment="1">
      <alignment vertical="center" shrinkToFit="1"/>
    </xf>
    <xf numFmtId="6" fontId="5" fillId="4" borderId="23" xfId="1" applyFont="1" applyFill="1" applyBorder="1">
      <alignment vertical="center"/>
    </xf>
    <xf numFmtId="6" fontId="5" fillId="4" borderId="24" xfId="1" applyFont="1" applyFill="1" applyBorder="1" applyAlignment="1">
      <alignment vertical="center" shrinkToFit="1"/>
    </xf>
    <xf numFmtId="0" fontId="0" fillId="11" borderId="16" xfId="0" applyFill="1" applyBorder="1">
      <alignment vertical="center"/>
    </xf>
    <xf numFmtId="0" fontId="0" fillId="12" borderId="20" xfId="0" applyFill="1" applyBorder="1">
      <alignment vertical="center"/>
    </xf>
    <xf numFmtId="0" fontId="0" fillId="12" borderId="16" xfId="0" applyFill="1" applyBorder="1">
      <alignment vertical="center"/>
    </xf>
    <xf numFmtId="0" fontId="0" fillId="13" borderId="16" xfId="0" applyFill="1" applyBorder="1">
      <alignment vertical="center"/>
    </xf>
    <xf numFmtId="0" fontId="0" fillId="13" borderId="20" xfId="0" applyFill="1" applyBorder="1">
      <alignment vertical="center"/>
    </xf>
    <xf numFmtId="0" fontId="0" fillId="14" borderId="16" xfId="0" applyFill="1" applyBorder="1">
      <alignment vertical="center"/>
    </xf>
    <xf numFmtId="0" fontId="0" fillId="16" borderId="0" xfId="0" applyFill="1" applyBorder="1" applyAlignment="1">
      <alignment vertical="center" wrapText="1"/>
    </xf>
    <xf numFmtId="1" fontId="0" fillId="15" borderId="0" xfId="0" applyNumberFormat="1" applyFill="1" applyBorder="1">
      <alignment vertical="center"/>
    </xf>
    <xf numFmtId="1" fontId="0" fillId="18" borderId="0" xfId="0" applyNumberFormat="1" applyFill="1" applyBorder="1">
      <alignment vertical="center"/>
    </xf>
    <xf numFmtId="0" fontId="0" fillId="17" borderId="0" xfId="0" applyFill="1" applyBorder="1" applyAlignment="1">
      <alignment vertical="center" wrapText="1"/>
    </xf>
    <xf numFmtId="0" fontId="0" fillId="0" borderId="0" xfId="0" applyAlignment="1"/>
    <xf numFmtId="0" fontId="0" fillId="19" borderId="26" xfId="0" applyFill="1" applyBorder="1" applyAlignment="1">
      <alignment vertical="center" shrinkToFit="1"/>
    </xf>
    <xf numFmtId="0" fontId="0" fillId="19" borderId="27" xfId="0" applyFill="1" applyBorder="1" applyAlignment="1">
      <alignment vertical="center" shrinkToFit="1"/>
    </xf>
    <xf numFmtId="0" fontId="0" fillId="19" borderId="28" xfId="0" applyFill="1" applyBorder="1" applyAlignment="1">
      <alignment vertical="center" shrinkToFit="1"/>
    </xf>
    <xf numFmtId="0" fontId="0" fillId="19" borderId="29" xfId="0" applyFill="1" applyBorder="1" applyAlignment="1">
      <alignment vertical="center" shrinkToFit="1"/>
    </xf>
    <xf numFmtId="0" fontId="0" fillId="19" borderId="30" xfId="0" applyFill="1" applyBorder="1" applyAlignment="1">
      <alignment vertical="center" shrinkToFit="1"/>
    </xf>
    <xf numFmtId="0" fontId="0" fillId="19" borderId="0" xfId="0" applyFill="1" applyAlignment="1"/>
    <xf numFmtId="0" fontId="0" fillId="19" borderId="0" xfId="0" applyFill="1" applyAlignment="1">
      <alignment horizontal="center" vertical="center"/>
    </xf>
    <xf numFmtId="0" fontId="6" fillId="20" borderId="0" xfId="0" applyFont="1" applyFill="1" applyAlignment="1">
      <alignment horizontal="center" vertical="center"/>
    </xf>
    <xf numFmtId="0" fontId="0" fillId="19" borderId="0" xfId="0" applyFill="1">
      <alignment vertical="center"/>
    </xf>
    <xf numFmtId="0" fontId="0" fillId="19" borderId="31" xfId="0" applyFill="1" applyBorder="1" applyAlignment="1">
      <alignment vertical="center" shrinkToFit="1"/>
    </xf>
    <xf numFmtId="0" fontId="0" fillId="19" borderId="32" xfId="0" applyFill="1" applyBorder="1" applyAlignment="1">
      <alignment vertical="center" shrinkToFit="1"/>
    </xf>
    <xf numFmtId="0" fontId="0" fillId="19" borderId="33" xfId="0" applyFill="1" applyBorder="1" applyAlignment="1">
      <alignment vertical="center" shrinkToFit="1"/>
    </xf>
    <xf numFmtId="0" fontId="0" fillId="19" borderId="34" xfId="0" applyFill="1" applyBorder="1" applyAlignment="1">
      <alignment vertical="center" shrinkToFit="1"/>
    </xf>
    <xf numFmtId="0" fontId="0" fillId="19" borderId="35" xfId="0" applyFill="1" applyBorder="1" applyAlignment="1">
      <alignment vertical="center" shrinkToFit="1"/>
    </xf>
    <xf numFmtId="0" fontId="0" fillId="19" borderId="36" xfId="0" applyFill="1" applyBorder="1" applyAlignment="1">
      <alignment vertical="center" shrinkToFit="1"/>
    </xf>
    <xf numFmtId="0" fontId="0" fillId="19" borderId="22" xfId="0" applyFill="1" applyBorder="1" applyAlignment="1">
      <alignment vertical="center" shrinkToFit="1"/>
    </xf>
    <xf numFmtId="0" fontId="0" fillId="19" borderId="37" xfId="0" applyFill="1" applyBorder="1" applyAlignment="1">
      <alignment vertical="center" shrinkToFit="1"/>
    </xf>
    <xf numFmtId="0" fontId="0" fillId="19" borderId="38" xfId="0" applyFill="1" applyBorder="1" applyAlignment="1">
      <alignment vertical="center" shrinkToFit="1"/>
    </xf>
    <xf numFmtId="0" fontId="0" fillId="19" borderId="39" xfId="0" applyFill="1" applyBorder="1" applyAlignment="1">
      <alignment vertical="center" shrinkToFit="1"/>
    </xf>
    <xf numFmtId="0" fontId="0" fillId="19" borderId="40" xfId="0" applyFill="1" applyBorder="1" applyAlignment="1">
      <alignment vertical="center" shrinkToFit="1"/>
    </xf>
    <xf numFmtId="0" fontId="0" fillId="19" borderId="41" xfId="0" applyFill="1" applyBorder="1" applyAlignment="1">
      <alignment vertical="center" shrinkToFit="1"/>
    </xf>
    <xf numFmtId="0" fontId="0" fillId="19" borderId="42" xfId="0" applyFill="1" applyBorder="1" applyAlignment="1">
      <alignment vertical="center" shrinkToFit="1"/>
    </xf>
    <xf numFmtId="0" fontId="0" fillId="19" borderId="43" xfId="0" applyFill="1" applyBorder="1" applyAlignment="1">
      <alignment vertical="center" shrinkToFit="1"/>
    </xf>
    <xf numFmtId="0" fontId="0" fillId="19" borderId="44" xfId="0" applyFill="1" applyBorder="1" applyAlignment="1">
      <alignment vertical="center" shrinkToFit="1"/>
    </xf>
    <xf numFmtId="0" fontId="0" fillId="19" borderId="45" xfId="0" applyFill="1" applyBorder="1" applyAlignment="1">
      <alignment vertical="center" shrinkToFit="1"/>
    </xf>
    <xf numFmtId="0" fontId="0" fillId="19" borderId="46" xfId="0" applyFill="1" applyBorder="1" applyAlignment="1">
      <alignment vertical="center" shrinkToFit="1"/>
    </xf>
    <xf numFmtId="0" fontId="0" fillId="19" borderId="47" xfId="0" applyFill="1" applyBorder="1" applyAlignment="1">
      <alignment vertical="center" shrinkToFit="1"/>
    </xf>
    <xf numFmtId="0" fontId="7" fillId="21" borderId="0" xfId="0" applyFont="1" applyFill="1" applyAlignment="1">
      <alignment vertical="center" wrapText="1"/>
    </xf>
    <xf numFmtId="0" fontId="0" fillId="21" borderId="0" xfId="0" applyFill="1" applyAlignment="1">
      <alignment vertical="center" wrapText="1"/>
    </xf>
    <xf numFmtId="0" fontId="0" fillId="21" borderId="0" xfId="0" applyFill="1">
      <alignment vertical="center"/>
    </xf>
    <xf numFmtId="0" fontId="0" fillId="6" borderId="0" xfId="0" applyFill="1">
      <alignment vertical="center"/>
    </xf>
    <xf numFmtId="56" fontId="0" fillId="6" borderId="0" xfId="0" applyNumberFormat="1" applyFill="1">
      <alignment vertical="center"/>
    </xf>
    <xf numFmtId="0" fontId="0" fillId="7" borderId="0" xfId="0" applyFill="1">
      <alignment vertical="center"/>
    </xf>
    <xf numFmtId="0" fontId="0" fillId="21" borderId="0" xfId="0" applyFill="1" applyAlignment="1"/>
    <xf numFmtId="49" fontId="0" fillId="5" borderId="0" xfId="0" applyNumberFormat="1" applyFill="1">
      <alignment vertical="center"/>
    </xf>
    <xf numFmtId="49" fontId="0" fillId="4" borderId="8" xfId="0" applyNumberFormat="1" applyFill="1" applyBorder="1">
      <alignment vertical="center"/>
    </xf>
    <xf numFmtId="49" fontId="0" fillId="4" borderId="11" xfId="0" applyNumberFormat="1" applyFill="1" applyBorder="1">
      <alignment vertical="center"/>
    </xf>
    <xf numFmtId="49" fontId="0" fillId="0" borderId="0" xfId="0" applyNumberFormat="1">
      <alignment vertical="center"/>
    </xf>
    <xf numFmtId="0" fontId="0" fillId="22" borderId="18" xfId="0" applyFill="1" applyBorder="1">
      <alignment vertical="center"/>
    </xf>
    <xf numFmtId="0" fontId="0" fillId="22" borderId="19" xfId="0" applyFill="1" applyBorder="1">
      <alignment vertical="center"/>
    </xf>
    <xf numFmtId="0" fontId="0" fillId="22" borderId="17" xfId="0" applyFill="1" applyBorder="1">
      <alignment vertical="center"/>
    </xf>
    <xf numFmtId="0" fontId="0" fillId="23" borderId="17" xfId="0" applyFill="1" applyBorder="1" applyAlignment="1">
      <alignment vertical="center" wrapText="1"/>
    </xf>
    <xf numFmtId="0" fontId="0" fillId="5" borderId="23" xfId="0" applyFill="1" applyBorder="1" applyAlignment="1">
      <alignment horizontal="center" vertical="center"/>
    </xf>
    <xf numFmtId="0" fontId="0" fillId="0" borderId="23" xfId="0" applyFill="1" applyBorder="1" applyAlignment="1">
      <alignment horizontal="center" vertical="center"/>
    </xf>
    <xf numFmtId="0" fontId="4" fillId="0" borderId="24" xfId="2" applyFill="1" applyBorder="1" applyAlignment="1">
      <alignment horizontal="center" vertical="center" shrinkToFit="1"/>
      <extLst>
        <ext xmlns:xfpb="http://schemas.microsoft.com/office/spreadsheetml/2022/featurepropertybag" uri="{C7286773-470A-42A8-94C7-1B2B4C69688A}">
          <xfpb:xfComplement i="2"/>
        </ext>
      </extLst>
    </xf>
    <xf numFmtId="0" fontId="4" fillId="0" borderId="25" xfId="2" applyFill="1" applyBorder="1" applyAlignment="1">
      <alignment horizontal="center" vertical="center" shrinkToFit="1"/>
      <extLst>
        <ext xmlns:xfpb="http://schemas.microsoft.com/office/spreadsheetml/2022/featurepropertybag" uri="{C7286773-470A-42A8-94C7-1B2B4C69688A}">
          <xfpb:xfComplement i="2"/>
        </ext>
      </extLst>
    </xf>
    <xf numFmtId="0" fontId="0" fillId="0" borderId="25" xfId="0" applyFill="1" applyBorder="1" applyAlignment="1">
      <alignment horizontal="center" vertical="center" shrinkToFit="1"/>
      <extLst>
        <ext xmlns:xfpb="http://schemas.microsoft.com/office/spreadsheetml/2022/featurepropertybag" uri="{C7286773-470A-42A8-94C7-1B2B4C69688A}">
          <xfpb:xfComplement i="2"/>
        </ext>
      </extLst>
    </xf>
    <xf numFmtId="0" fontId="0" fillId="4" borderId="0" xfId="0" applyFill="1">
      <alignment vertical="center"/>
    </xf>
    <xf numFmtId="0" fontId="0" fillId="4" borderId="11" xfId="0" applyFill="1" applyBorder="1">
      <alignment vertical="center"/>
    </xf>
    <xf numFmtId="0" fontId="0" fillId="4" borderId="15" xfId="0" applyFill="1" applyBorder="1">
      <alignment vertical="center"/>
    </xf>
    <xf numFmtId="0" fontId="0" fillId="4" borderId="48" xfId="0" applyFill="1" applyBorder="1">
      <alignment vertical="center"/>
    </xf>
    <xf numFmtId="0" fontId="0" fillId="4" borderId="49" xfId="0" applyFill="1" applyBorder="1">
      <alignment vertical="center"/>
    </xf>
    <xf numFmtId="0" fontId="0" fillId="4" borderId="50" xfId="0" applyFill="1" applyBorder="1">
      <alignment vertical="center"/>
    </xf>
    <xf numFmtId="0" fontId="0" fillId="0" borderId="48" xfId="0" applyBorder="1">
      <alignment vertical="center"/>
    </xf>
    <xf numFmtId="0" fontId="8" fillId="4" borderId="48" xfId="0" applyFont="1" applyFill="1" applyBorder="1" applyAlignment="1">
      <alignment vertical="center" shrinkToFit="1"/>
    </xf>
    <xf numFmtId="0" fontId="8" fillId="4" borderId="49" xfId="0" applyFont="1" applyFill="1" applyBorder="1" applyAlignment="1">
      <alignment vertical="center" shrinkToFit="1"/>
    </xf>
    <xf numFmtId="0" fontId="8" fillId="4" borderId="49" xfId="0" applyFont="1" applyFill="1" applyBorder="1">
      <alignment vertical="center"/>
    </xf>
    <xf numFmtId="0" fontId="8" fillId="4" borderId="50" xfId="0" applyFont="1" applyFill="1" applyBorder="1">
      <alignment vertical="center"/>
    </xf>
    <xf numFmtId="0" fontId="8" fillId="0" borderId="48" xfId="0" applyFont="1" applyBorder="1">
      <alignment vertical="center"/>
    </xf>
    <xf numFmtId="0" fontId="0" fillId="26" borderId="0" xfId="0" applyFill="1">
      <alignment vertical="center"/>
    </xf>
    <xf numFmtId="0" fontId="0" fillId="26" borderId="0" xfId="0" applyFill="1" applyBorder="1">
      <alignment vertical="center"/>
    </xf>
    <xf numFmtId="0" fontId="0" fillId="0" borderId="0" xfId="0" applyBorder="1">
      <alignment vertical="center"/>
    </xf>
    <xf numFmtId="0" fontId="0" fillId="26" borderId="51" xfId="0" applyFill="1" applyBorder="1">
      <alignment vertical="center"/>
    </xf>
    <xf numFmtId="0" fontId="0" fillId="26" borderId="52" xfId="0" applyFill="1" applyBorder="1">
      <alignment vertical="center"/>
    </xf>
    <xf numFmtId="0" fontId="0" fillId="0" borderId="51" xfId="0" applyBorder="1">
      <alignment vertical="center"/>
    </xf>
    <xf numFmtId="0" fontId="0" fillId="0" borderId="52" xfId="0" applyBorder="1">
      <alignment vertical="center"/>
    </xf>
    <xf numFmtId="0" fontId="0" fillId="27" borderId="1" xfId="0" applyFill="1" applyBorder="1">
      <alignment vertical="center"/>
    </xf>
    <xf numFmtId="0" fontId="0" fillId="27" borderId="54" xfId="0" applyFill="1" applyBorder="1">
      <alignment vertical="center"/>
    </xf>
    <xf numFmtId="0" fontId="0" fillId="27" borderId="55" xfId="0" applyFill="1" applyBorder="1">
      <alignment vertical="center"/>
    </xf>
    <xf numFmtId="0" fontId="0" fillId="27" borderId="56" xfId="0" applyFill="1" applyBorder="1">
      <alignment vertical="center"/>
    </xf>
    <xf numFmtId="0" fontId="0" fillId="27" borderId="57" xfId="0" applyFill="1" applyBorder="1">
      <alignment vertical="center"/>
    </xf>
    <xf numFmtId="0" fontId="0" fillId="27" borderId="53" xfId="0" applyFill="1" applyBorder="1">
      <alignment vertical="center"/>
    </xf>
    <xf numFmtId="0" fontId="0" fillId="21" borderId="0" xfId="0" applyFill="1" applyAlignment="1">
      <alignment horizontal="right"/>
    </xf>
    <xf numFmtId="0" fontId="0" fillId="0" borderId="0" xfId="0" applyAlignment="1">
      <alignment horizontal="right"/>
    </xf>
    <xf numFmtId="0" fontId="0" fillId="21" borderId="0" xfId="0" applyFill="1" applyAlignment="1">
      <alignment horizontal="center"/>
    </xf>
    <xf numFmtId="1" fontId="0" fillId="4" borderId="48" xfId="0" applyNumberFormat="1" applyFill="1" applyBorder="1">
      <alignment vertical="center"/>
    </xf>
    <xf numFmtId="1" fontId="0" fillId="4" borderId="49" xfId="0" applyNumberFormat="1" applyFill="1" applyBorder="1">
      <alignment vertical="center"/>
    </xf>
    <xf numFmtId="1" fontId="0" fillId="4" borderId="50" xfId="0" applyNumberFormat="1" applyFill="1" applyBorder="1">
      <alignment vertical="center"/>
    </xf>
    <xf numFmtId="1" fontId="0" fillId="0" borderId="48" xfId="0" applyNumberFormat="1" applyBorder="1">
      <alignment vertical="center"/>
    </xf>
    <xf numFmtId="1" fontId="0" fillId="4" borderId="58" xfId="0" applyNumberFormat="1" applyFill="1" applyBorder="1">
      <alignment vertical="center"/>
    </xf>
    <xf numFmtId="1" fontId="0" fillId="4" borderId="59" xfId="0" applyNumberFormat="1" applyFill="1" applyBorder="1">
      <alignment vertical="center"/>
    </xf>
    <xf numFmtId="1" fontId="0" fillId="4" borderId="60" xfId="0" applyNumberFormat="1" applyFill="1" applyBorder="1">
      <alignment vertical="center"/>
    </xf>
    <xf numFmtId="1" fontId="0" fillId="0" borderId="58" xfId="0" applyNumberFormat="1" applyBorder="1">
      <alignment vertical="center"/>
    </xf>
    <xf numFmtId="0" fontId="8" fillId="25" borderId="61" xfId="0" applyFont="1" applyFill="1" applyBorder="1" applyAlignment="1">
      <alignment horizontal="right" vertical="center" shrinkToFit="1"/>
    </xf>
    <xf numFmtId="0" fontId="8" fillId="24" borderId="61" xfId="0" applyFont="1" applyFill="1" applyBorder="1" applyAlignment="1">
      <alignment vertical="center" shrinkToFit="1"/>
    </xf>
    <xf numFmtId="0" fontId="8" fillId="24" borderId="62" xfId="0" applyFont="1" applyFill="1" applyBorder="1" applyAlignment="1">
      <alignment vertical="center" shrinkToFit="1"/>
    </xf>
    <xf numFmtId="0" fontId="8" fillId="24" borderId="62" xfId="0" applyFont="1" applyFill="1" applyBorder="1">
      <alignment vertical="center"/>
    </xf>
    <xf numFmtId="0" fontId="8" fillId="24" borderId="63" xfId="0" applyFont="1" applyFill="1" applyBorder="1">
      <alignment vertical="center"/>
    </xf>
    <xf numFmtId="0" fontId="8" fillId="24" borderId="61" xfId="0" applyFont="1" applyFill="1" applyBorder="1">
      <alignment vertical="center"/>
    </xf>
    <xf numFmtId="0" fontId="8" fillId="4" borderId="64" xfId="0" applyFont="1" applyFill="1" applyBorder="1" applyAlignment="1">
      <alignment vertical="center" shrinkToFit="1"/>
    </xf>
    <xf numFmtId="0" fontId="8" fillId="4" borderId="65" xfId="0" applyFont="1" applyFill="1" applyBorder="1" applyAlignment="1">
      <alignment vertical="center" shrinkToFit="1"/>
    </xf>
    <xf numFmtId="0" fontId="8" fillId="4" borderId="66" xfId="0" applyFont="1" applyFill="1" applyBorder="1" applyAlignment="1">
      <alignment vertical="center" shrinkToFit="1"/>
    </xf>
    <xf numFmtId="0" fontId="8" fillId="4" borderId="67" xfId="0" applyFont="1" applyFill="1" applyBorder="1" applyAlignment="1">
      <alignment vertical="center" shrinkToFit="1"/>
    </xf>
    <xf numFmtId="0" fontId="8" fillId="4" borderId="67" xfId="0" applyFont="1" applyFill="1" applyBorder="1">
      <alignment vertical="center"/>
    </xf>
    <xf numFmtId="0" fontId="8" fillId="4" borderId="66" xfId="0" applyFont="1" applyFill="1" applyBorder="1">
      <alignment vertical="center"/>
    </xf>
    <xf numFmtId="0" fontId="8" fillId="4" borderId="68" xfId="0" applyFont="1" applyFill="1" applyBorder="1">
      <alignment vertical="center"/>
    </xf>
    <xf numFmtId="0" fontId="8" fillId="4" borderId="69" xfId="0" applyFont="1" applyFill="1" applyBorder="1">
      <alignment vertical="center"/>
    </xf>
    <xf numFmtId="0" fontId="8" fillId="0" borderId="64" xfId="0" applyFont="1" applyBorder="1">
      <alignment vertical="center"/>
    </xf>
    <xf numFmtId="0" fontId="8" fillId="0" borderId="65" xfId="0" applyFont="1" applyBorder="1">
      <alignment vertical="center"/>
    </xf>
    <xf numFmtId="0" fontId="0" fillId="5" borderId="1" xfId="0" applyFill="1" applyBorder="1">
      <alignment vertical="center"/>
    </xf>
    <xf numFmtId="0" fontId="9" fillId="5" borderId="70" xfId="0" applyFont="1" applyFill="1" applyBorder="1">
      <alignment vertical="center"/>
    </xf>
    <xf numFmtId="0" fontId="9" fillId="5" borderId="70" xfId="0" applyFont="1" applyFill="1" applyBorder="1" applyAlignment="1">
      <alignment vertical="center" wrapText="1"/>
    </xf>
    <xf numFmtId="0" fontId="9" fillId="5" borderId="71" xfId="0" applyFont="1" applyFill="1" applyBorder="1" applyAlignment="1">
      <alignment vertical="center" wrapText="1"/>
    </xf>
    <xf numFmtId="0" fontId="9" fillId="5" borderId="72" xfId="0" applyFont="1" applyFill="1" applyBorder="1">
      <alignment vertical="center"/>
    </xf>
    <xf numFmtId="0" fontId="9" fillId="5" borderId="73" xfId="0" applyFont="1" applyFill="1" applyBorder="1" applyAlignment="1">
      <alignment vertical="center" shrinkToFit="1"/>
    </xf>
    <xf numFmtId="0" fontId="8" fillId="4" borderId="58" xfId="0" applyFont="1" applyFill="1" applyBorder="1" applyAlignment="1">
      <alignment vertical="center" shrinkToFit="1"/>
    </xf>
    <xf numFmtId="0" fontId="8" fillId="4" borderId="59" xfId="0" applyFont="1" applyFill="1" applyBorder="1" applyAlignment="1">
      <alignment vertical="center" shrinkToFit="1"/>
    </xf>
    <xf numFmtId="0" fontId="8" fillId="4" borderId="59" xfId="0" applyFont="1" applyFill="1" applyBorder="1">
      <alignment vertical="center"/>
    </xf>
    <xf numFmtId="0" fontId="8" fillId="4" borderId="60" xfId="0" applyFont="1" applyFill="1" applyBorder="1">
      <alignment vertical="center"/>
    </xf>
    <xf numFmtId="0" fontId="8" fillId="0" borderId="58" xfId="0" applyFont="1" applyBorder="1">
      <alignment vertical="center"/>
    </xf>
    <xf numFmtId="0" fontId="9" fillId="5" borderId="74" xfId="0" applyFont="1" applyFill="1" applyBorder="1" applyAlignment="1">
      <alignment vertical="center" wrapText="1"/>
    </xf>
    <xf numFmtId="0" fontId="8" fillId="4" borderId="61" xfId="0" applyFont="1" applyFill="1" applyBorder="1" applyAlignment="1">
      <alignment vertical="center" shrinkToFit="1"/>
    </xf>
    <xf numFmtId="0" fontId="8" fillId="4" borderId="62" xfId="0" applyFont="1" applyFill="1" applyBorder="1" applyAlignment="1">
      <alignment vertical="center" shrinkToFit="1"/>
    </xf>
    <xf numFmtId="0" fontId="8" fillId="4" borderId="62" xfId="0" applyFont="1" applyFill="1" applyBorder="1">
      <alignment vertical="center"/>
    </xf>
    <xf numFmtId="0" fontId="8" fillId="4" borderId="63" xfId="0" applyFont="1" applyFill="1" applyBorder="1">
      <alignment vertical="center"/>
    </xf>
    <xf numFmtId="0" fontId="8" fillId="0" borderId="61" xfId="0" applyFont="1" applyBorder="1">
      <alignment vertical="center"/>
    </xf>
    <xf numFmtId="0" fontId="9" fillId="5" borderId="75" xfId="0" applyFont="1" applyFill="1" applyBorder="1">
      <alignment vertical="center"/>
    </xf>
    <xf numFmtId="0" fontId="9" fillId="5" borderId="76" xfId="0" applyFont="1" applyFill="1" applyBorder="1">
      <alignment vertical="center"/>
    </xf>
    <xf numFmtId="0" fontId="9" fillId="5" borderId="77" xfId="0" applyFont="1" applyFill="1" applyBorder="1">
      <alignment vertical="center"/>
    </xf>
    <xf numFmtId="0" fontId="8" fillId="4" borderId="78" xfId="0" applyFont="1" applyFill="1" applyBorder="1" applyAlignment="1">
      <alignment vertical="center" shrinkToFit="1"/>
    </xf>
    <xf numFmtId="0" fontId="8" fillId="4" borderId="79" xfId="0" applyFont="1" applyFill="1" applyBorder="1" applyAlignment="1">
      <alignment vertical="center" shrinkToFit="1"/>
    </xf>
    <xf numFmtId="0" fontId="8" fillId="4" borderId="80" xfId="0" applyFont="1" applyFill="1" applyBorder="1" applyAlignment="1">
      <alignment vertical="center" shrinkToFit="1"/>
    </xf>
    <xf numFmtId="0" fontId="8" fillId="4" borderId="81" xfId="0" applyFont="1" applyFill="1" applyBorder="1" applyAlignment="1">
      <alignment vertical="center" shrinkToFit="1"/>
    </xf>
    <xf numFmtId="0" fontId="8" fillId="4" borderId="80" xfId="0" applyFont="1" applyFill="1" applyBorder="1">
      <alignment vertical="center"/>
    </xf>
    <xf numFmtId="0" fontId="8" fillId="4" borderId="81" xfId="0" applyFont="1" applyFill="1" applyBorder="1">
      <alignment vertical="center"/>
    </xf>
    <xf numFmtId="0" fontId="8" fillId="4" borderId="82" xfId="0" applyFont="1" applyFill="1" applyBorder="1">
      <alignment vertical="center"/>
    </xf>
    <xf numFmtId="0" fontId="8" fillId="4" borderId="83" xfId="0" applyFont="1" applyFill="1" applyBorder="1">
      <alignment vertical="center"/>
    </xf>
    <xf numFmtId="0" fontId="8" fillId="0" borderId="78" xfId="0" applyFont="1" applyBorder="1">
      <alignment vertical="center"/>
    </xf>
    <xf numFmtId="0" fontId="8" fillId="0" borderId="79" xfId="0" applyFont="1" applyBorder="1">
      <alignment vertical="center"/>
    </xf>
    <xf numFmtId="0" fontId="0" fillId="26" borderId="51" xfId="0" applyFill="1" applyBorder="1" applyAlignment="1">
      <alignment horizontal="left" vertical="center" shrinkToFit="1"/>
    </xf>
    <xf numFmtId="0" fontId="0" fillId="26" borderId="0" xfId="0" applyFill="1" applyBorder="1" applyAlignment="1">
      <alignment horizontal="left" vertical="center" shrinkToFit="1"/>
    </xf>
    <xf numFmtId="0" fontId="0" fillId="26" borderId="52" xfId="0" applyFill="1" applyBorder="1" applyAlignment="1">
      <alignment horizontal="left" vertical="center" shrinkToFit="1"/>
    </xf>
    <xf numFmtId="0" fontId="0" fillId="26" borderId="51" xfId="0" applyFill="1" applyBorder="1" applyAlignment="1">
      <alignment horizontal="left" vertical="top" shrinkToFit="1"/>
    </xf>
    <xf numFmtId="0" fontId="0" fillId="26" borderId="0" xfId="0" applyFill="1" applyBorder="1" applyAlignment="1">
      <alignment horizontal="left" vertical="top" shrinkToFit="1"/>
    </xf>
    <xf numFmtId="0" fontId="0" fillId="26" borderId="52" xfId="0" applyFill="1" applyBorder="1" applyAlignment="1">
      <alignment horizontal="left" vertical="top" shrinkToFit="1"/>
    </xf>
    <xf numFmtId="0" fontId="0" fillId="0" borderId="51" xfId="0" applyBorder="1" applyAlignment="1">
      <alignment vertical="center" shrinkToFit="1"/>
    </xf>
    <xf numFmtId="0" fontId="0" fillId="0" borderId="0" xfId="0" applyBorder="1" applyAlignment="1">
      <alignment vertical="center" shrinkToFit="1"/>
    </xf>
    <xf numFmtId="0" fontId="0" fillId="0" borderId="52" xfId="0" applyBorder="1" applyAlignment="1">
      <alignment vertical="center" shrinkToFit="1"/>
    </xf>
    <xf numFmtId="0" fontId="0" fillId="5" borderId="11" xfId="0" applyFill="1" applyBorder="1">
      <alignment vertical="center"/>
    </xf>
    <xf numFmtId="0" fontId="0" fillId="5" borderId="49" xfId="0" applyFill="1" applyBorder="1">
      <alignment vertical="center"/>
    </xf>
    <xf numFmtId="1" fontId="0" fillId="5" borderId="49" xfId="0" applyNumberFormat="1" applyFill="1" applyBorder="1">
      <alignment vertical="center"/>
    </xf>
    <xf numFmtId="1" fontId="0" fillId="5" borderId="59" xfId="0" applyNumberFormat="1" applyFill="1" applyBorder="1">
      <alignment vertical="center"/>
    </xf>
    <xf numFmtId="0" fontId="8" fillId="5" borderId="66" xfId="0" applyFont="1" applyFill="1" applyBorder="1" applyAlignment="1">
      <alignment vertical="center" shrinkToFit="1"/>
    </xf>
    <xf numFmtId="0" fontId="8" fillId="5" borderId="59" xfId="0" applyFont="1" applyFill="1" applyBorder="1" applyAlignment="1">
      <alignment vertical="center" shrinkToFit="1"/>
    </xf>
    <xf numFmtId="0" fontId="8" fillId="5" borderId="80" xfId="0" applyFont="1" applyFill="1" applyBorder="1" applyAlignment="1">
      <alignment vertical="center" shrinkToFit="1"/>
    </xf>
    <xf numFmtId="0" fontId="8" fillId="5" borderId="49" xfId="0" applyFont="1" applyFill="1" applyBorder="1" applyAlignment="1">
      <alignment vertical="center" shrinkToFit="1"/>
    </xf>
    <xf numFmtId="0" fontId="8" fillId="5" borderId="81" xfId="0" applyFont="1" applyFill="1" applyBorder="1" applyAlignment="1">
      <alignment vertical="center" shrinkToFit="1"/>
    </xf>
    <xf numFmtId="0" fontId="8" fillId="5" borderId="62" xfId="0" applyFont="1" applyFill="1" applyBorder="1" applyAlignment="1">
      <alignment vertical="center" shrinkToFit="1"/>
    </xf>
    <xf numFmtId="0" fontId="8" fillId="5" borderId="67" xfId="0" applyFont="1" applyFill="1" applyBorder="1" applyAlignment="1">
      <alignment vertical="center" shrinkToFit="1"/>
    </xf>
    <xf numFmtId="56" fontId="0" fillId="0" borderId="0" xfId="0" applyNumberFormat="1">
      <alignment vertical="center"/>
    </xf>
    <xf numFmtId="0" fontId="0" fillId="19" borderId="84" xfId="0" applyFill="1" applyBorder="1" applyAlignment="1">
      <alignment vertical="center" shrinkToFit="1"/>
    </xf>
    <xf numFmtId="0" fontId="0" fillId="19" borderId="85" xfId="0" applyFill="1" applyBorder="1" applyAlignment="1">
      <alignment vertical="center" shrinkToFit="1"/>
    </xf>
    <xf numFmtId="0" fontId="0" fillId="25" borderId="0" xfId="0" applyFill="1">
      <alignment vertical="center"/>
    </xf>
    <xf numFmtId="0" fontId="0" fillId="25" borderId="11" xfId="0" applyFill="1" applyBorder="1">
      <alignment vertical="center"/>
    </xf>
    <xf numFmtId="0" fontId="0" fillId="25" borderId="15" xfId="0" applyFill="1" applyBorder="1">
      <alignment vertical="center"/>
    </xf>
    <xf numFmtId="0" fontId="0" fillId="28" borderId="0" xfId="0" applyFill="1">
      <alignment vertical="center"/>
    </xf>
    <xf numFmtId="0" fontId="4" fillId="4" borderId="66" xfId="2" applyFill="1" applyBorder="1" applyAlignment="1">
      <alignment vertical="center" shrinkToFit="1"/>
    </xf>
    <xf numFmtId="6" fontId="0" fillId="4" borderId="48" xfId="0" applyNumberFormat="1" applyFill="1" applyBorder="1">
      <alignment vertical="center"/>
    </xf>
    <xf numFmtId="6" fontId="0" fillId="4" borderId="49" xfId="0" applyNumberFormat="1" applyFill="1" applyBorder="1">
      <alignment vertical="center"/>
    </xf>
    <xf numFmtId="6" fontId="0" fillId="5" borderId="49" xfId="0" applyNumberFormat="1" applyFill="1" applyBorder="1">
      <alignment vertical="center"/>
    </xf>
    <xf numFmtId="0" fontId="4" fillId="4" borderId="64" xfId="2" applyFill="1" applyBorder="1" applyAlignment="1">
      <alignment vertical="center" shrinkToFit="1"/>
    </xf>
    <xf numFmtId="0" fontId="4" fillId="29" borderId="9" xfId="2" applyFill="1" applyBorder="1" applyAlignment="1">
      <alignment vertical="center" shrinkToFit="1"/>
    </xf>
    <xf numFmtId="0" fontId="4" fillId="29" borderId="12" xfId="2" applyFill="1" applyBorder="1" applyAlignment="1">
      <alignment vertical="center" shrinkToFit="1"/>
    </xf>
    <xf numFmtId="0" fontId="0" fillId="29" borderId="12" xfId="0" applyFill="1" applyBorder="1" applyAlignment="1">
      <alignment vertical="center" shrinkToFit="1"/>
    </xf>
    <xf numFmtId="4" fontId="0" fillId="5" borderId="49" xfId="0" applyNumberFormat="1" applyFill="1" applyBorder="1">
      <alignment vertical="center"/>
    </xf>
    <xf numFmtId="4" fontId="0" fillId="4" borderId="49" xfId="0" applyNumberFormat="1" applyFill="1" applyBorder="1">
      <alignment vertical="center"/>
    </xf>
  </cellXfs>
  <cellStyles count="3">
    <cellStyle name="ハイパーリンク" xfId="2" builtinId="8"/>
    <cellStyle name="通貨" xfId="1" builtinId="7"/>
    <cellStyle name="標準" xfId="0" builtinId="0"/>
  </cellStyles>
  <dxfs count="0"/>
  <tableStyles count="0" defaultTableStyle="TableStyleMedium2" defaultPivotStyle="PivotStyleLight16"/>
  <colors>
    <mruColors>
      <color rgb="FFFF8F8F"/>
      <color rgb="FFFFD1D1"/>
      <color rgb="FFD5D000"/>
      <color rgb="FFFFFF29"/>
      <color rgb="FFFFFB57"/>
      <color rgb="FFFFFA37"/>
      <color rgb="FFF8F200"/>
      <color rgb="FFDFDA00"/>
      <color rgb="FFFFFF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D4B2-94FE-4BC8-B437-7C9408DA26E9}">
  <dimension ref="A1:J229"/>
  <sheetViews>
    <sheetView tabSelected="1" workbookViewId="0">
      <selection activeCell="B5" sqref="B5"/>
    </sheetView>
  </sheetViews>
  <sheetFormatPr defaultRowHeight="18.75"/>
  <cols>
    <col min="2" max="2" width="44.5" style="68" customWidth="1"/>
  </cols>
  <sheetData>
    <row r="1" spans="1:10">
      <c r="A1" s="98"/>
      <c r="B1" s="98" t="s">
        <v>166</v>
      </c>
      <c r="D1" t="s">
        <v>1746</v>
      </c>
      <c r="E1" s="218">
        <v>46043</v>
      </c>
      <c r="F1" s="101" t="s">
        <v>165</v>
      </c>
      <c r="G1" s="101"/>
      <c r="H1" s="101"/>
      <c r="I1" s="101"/>
      <c r="J1" s="101"/>
    </row>
    <row r="2" spans="1:10">
      <c r="A2" s="77">
        <v>1</v>
      </c>
      <c r="B2" s="77" t="s">
        <v>3393</v>
      </c>
      <c r="D2" s="218" t="s">
        <v>1853</v>
      </c>
      <c r="E2" s="218">
        <v>46278</v>
      </c>
      <c r="F2" s="99" t="s">
        <v>164</v>
      </c>
      <c r="G2" s="99"/>
      <c r="H2" s="99"/>
      <c r="I2" s="99"/>
      <c r="J2" s="99"/>
    </row>
    <row r="3" spans="1:10">
      <c r="A3" s="77">
        <v>2</v>
      </c>
      <c r="B3" s="77"/>
      <c r="D3" s="218" t="s">
        <v>1747</v>
      </c>
      <c r="F3" s="99" t="s">
        <v>163</v>
      </c>
      <c r="G3" s="99"/>
      <c r="H3" s="99"/>
      <c r="I3" s="99"/>
      <c r="J3" s="99"/>
    </row>
    <row r="4" spans="1:10">
      <c r="A4" s="77">
        <v>3</v>
      </c>
      <c r="B4" s="77"/>
      <c r="D4" s="218" t="s">
        <v>1748</v>
      </c>
      <c r="F4" s="99" t="s">
        <v>162</v>
      </c>
      <c r="G4" s="99"/>
      <c r="H4" s="99"/>
      <c r="I4" s="99"/>
      <c r="J4" s="99"/>
    </row>
    <row r="5" spans="1:10">
      <c r="A5" s="77">
        <v>4</v>
      </c>
      <c r="B5" s="77"/>
      <c r="D5" s="218" t="s">
        <v>1852</v>
      </c>
      <c r="F5" s="99" t="s">
        <v>161</v>
      </c>
      <c r="G5" s="99"/>
      <c r="H5" s="99"/>
      <c r="I5" s="99"/>
      <c r="J5" s="99"/>
    </row>
    <row r="6" spans="1:10">
      <c r="A6" s="77">
        <v>5</v>
      </c>
      <c r="B6" s="77"/>
      <c r="D6" s="218" t="s">
        <v>1749</v>
      </c>
      <c r="F6" s="99" t="s">
        <v>160</v>
      </c>
      <c r="G6" s="99"/>
      <c r="H6" s="99"/>
      <c r="I6" s="99"/>
      <c r="J6" s="99"/>
    </row>
    <row r="7" spans="1:10">
      <c r="A7" s="77">
        <v>6</v>
      </c>
      <c r="B7" s="77"/>
      <c r="D7" s="218" t="s">
        <v>2115</v>
      </c>
      <c r="F7" s="99" t="s">
        <v>159</v>
      </c>
      <c r="G7" s="99"/>
      <c r="H7" s="99"/>
      <c r="I7" s="99"/>
      <c r="J7" s="99"/>
    </row>
    <row r="8" spans="1:10">
      <c r="A8" s="77">
        <v>7</v>
      </c>
      <c r="B8" s="77"/>
      <c r="D8" s="218" t="s">
        <v>2517</v>
      </c>
      <c r="F8" s="99" t="s">
        <v>158</v>
      </c>
      <c r="G8" s="99"/>
      <c r="H8" s="99"/>
      <c r="I8" s="99"/>
      <c r="J8" s="99"/>
    </row>
    <row r="9" spans="1:10">
      <c r="A9" s="77">
        <v>8</v>
      </c>
      <c r="B9" s="77"/>
      <c r="F9" s="99" t="s">
        <v>157</v>
      </c>
      <c r="G9" s="99"/>
      <c r="H9" s="99"/>
      <c r="I9" s="99"/>
      <c r="J9" s="99"/>
    </row>
    <row r="10" spans="1:10">
      <c r="A10" s="77">
        <v>9</v>
      </c>
      <c r="B10" s="77"/>
      <c r="F10" s="99" t="s">
        <v>156</v>
      </c>
      <c r="G10" s="99"/>
      <c r="H10" s="99"/>
      <c r="I10" s="99"/>
      <c r="J10" s="99"/>
    </row>
    <row r="11" spans="1:10">
      <c r="A11" s="77">
        <v>10</v>
      </c>
      <c r="B11" s="77"/>
      <c r="F11" s="99" t="s">
        <v>155</v>
      </c>
      <c r="G11" s="99"/>
      <c r="H11" s="99"/>
      <c r="I11" s="100">
        <v>46181</v>
      </c>
      <c r="J11" s="99"/>
    </row>
    <row r="12" spans="1:10">
      <c r="A12" s="77">
        <v>11</v>
      </c>
      <c r="B12" s="77"/>
      <c r="F12" s="99" t="s">
        <v>154</v>
      </c>
      <c r="G12" s="99"/>
      <c r="H12" s="99"/>
      <c r="I12" s="99"/>
      <c r="J12" s="99"/>
    </row>
    <row r="13" spans="1:10">
      <c r="A13" s="77">
        <v>12</v>
      </c>
      <c r="B13" s="77"/>
      <c r="F13" s="99" t="s">
        <v>153</v>
      </c>
      <c r="G13" s="99"/>
      <c r="H13" s="99"/>
      <c r="I13" s="99"/>
      <c r="J13" s="99"/>
    </row>
    <row r="14" spans="1:10">
      <c r="A14" s="77">
        <v>13</v>
      </c>
      <c r="B14" s="77"/>
      <c r="F14" s="99" t="s">
        <v>152</v>
      </c>
      <c r="G14" s="99"/>
      <c r="H14" s="99"/>
      <c r="I14" s="99"/>
      <c r="J14" s="99"/>
    </row>
    <row r="15" spans="1:10">
      <c r="A15" s="77">
        <v>14</v>
      </c>
      <c r="B15" s="77"/>
      <c r="F15" s="99" t="s">
        <v>151</v>
      </c>
      <c r="G15" s="99"/>
      <c r="H15" s="99"/>
      <c r="I15" s="99"/>
      <c r="J15" s="99"/>
    </row>
    <row r="16" spans="1:10">
      <c r="A16" s="77">
        <v>15</v>
      </c>
      <c r="B16" s="77"/>
      <c r="F16" s="99" t="s">
        <v>150</v>
      </c>
      <c r="G16" s="99"/>
      <c r="H16" s="99"/>
      <c r="I16" s="99"/>
      <c r="J16" s="99"/>
    </row>
    <row r="17" spans="1:10">
      <c r="A17" s="77">
        <v>16</v>
      </c>
      <c r="B17" s="77"/>
      <c r="F17" s="99" t="s">
        <v>149</v>
      </c>
      <c r="G17" s="99"/>
      <c r="H17" s="99"/>
      <c r="I17" s="99"/>
      <c r="J17" s="99"/>
    </row>
    <row r="18" spans="1:10">
      <c r="A18" s="77">
        <v>17</v>
      </c>
      <c r="B18" s="77"/>
      <c r="F18" s="99" t="s">
        <v>148</v>
      </c>
      <c r="G18" s="99"/>
      <c r="H18" s="99"/>
      <c r="I18" s="99"/>
      <c r="J18" s="99"/>
    </row>
    <row r="19" spans="1:10">
      <c r="A19" s="77">
        <v>18</v>
      </c>
      <c r="B19" s="77"/>
      <c r="F19" s="99" t="s">
        <v>147</v>
      </c>
      <c r="G19" s="99"/>
      <c r="H19" s="99"/>
      <c r="I19" s="99"/>
      <c r="J19" s="99"/>
    </row>
    <row r="20" spans="1:10">
      <c r="A20" s="77">
        <v>19</v>
      </c>
      <c r="B20" s="77"/>
      <c r="F20" s="99" t="s">
        <v>146</v>
      </c>
      <c r="G20" s="99"/>
      <c r="H20" s="99"/>
      <c r="I20" s="100">
        <v>46189</v>
      </c>
      <c r="J20" s="99"/>
    </row>
    <row r="21" spans="1:10">
      <c r="A21" s="77">
        <v>20</v>
      </c>
      <c r="B21" s="77"/>
      <c r="F21" s="99" t="s">
        <v>145</v>
      </c>
      <c r="G21" s="99"/>
      <c r="H21" s="99"/>
      <c r="I21" s="99"/>
      <c r="J21" s="99"/>
    </row>
    <row r="22" spans="1:10">
      <c r="F22" s="99" t="s">
        <v>144</v>
      </c>
      <c r="G22" s="99"/>
      <c r="H22" s="99"/>
      <c r="I22" s="99"/>
      <c r="J22" s="99"/>
    </row>
    <row r="23" spans="1:10">
      <c r="F23" s="99" t="s">
        <v>143</v>
      </c>
      <c r="G23" s="99"/>
      <c r="H23" s="99"/>
      <c r="I23" s="99"/>
      <c r="J23" s="99"/>
    </row>
    <row r="24" spans="1:10">
      <c r="F24" s="99" t="s">
        <v>142</v>
      </c>
      <c r="G24" s="99"/>
      <c r="H24" s="99"/>
      <c r="I24" s="99"/>
      <c r="J24" s="99"/>
    </row>
    <row r="25" spans="1:10">
      <c r="F25" s="99" t="s">
        <v>141</v>
      </c>
      <c r="G25" s="99"/>
      <c r="H25" s="99"/>
      <c r="I25" s="99"/>
      <c r="J25" s="99"/>
    </row>
    <row r="26" spans="1:10">
      <c r="F26" s="99" t="s">
        <v>140</v>
      </c>
      <c r="G26" s="99"/>
      <c r="H26" s="99"/>
      <c r="I26" s="99"/>
      <c r="J26" s="99"/>
    </row>
    <row r="27" spans="1:10">
      <c r="F27" s="99" t="s">
        <v>139</v>
      </c>
      <c r="G27" s="99"/>
      <c r="H27" s="99"/>
      <c r="I27" s="99"/>
      <c r="J27" s="99"/>
    </row>
    <row r="28" spans="1:10">
      <c r="F28" s="99" t="s">
        <v>138</v>
      </c>
      <c r="G28" s="99"/>
      <c r="H28" s="99"/>
      <c r="I28" s="99"/>
      <c r="J28" s="99"/>
    </row>
    <row r="29" spans="1:10">
      <c r="F29" s="99" t="s">
        <v>137</v>
      </c>
      <c r="G29" s="99"/>
      <c r="H29" s="99"/>
      <c r="I29" s="99"/>
      <c r="J29" s="99"/>
    </row>
    <row r="30" spans="1:10">
      <c r="F30" s="99" t="s">
        <v>136</v>
      </c>
      <c r="G30" s="99"/>
      <c r="H30" s="99"/>
      <c r="I30" s="100">
        <v>46199</v>
      </c>
      <c r="J30" s="99"/>
    </row>
    <row r="31" spans="1:10">
      <c r="F31" s="99" t="s">
        <v>135</v>
      </c>
      <c r="G31" s="99"/>
      <c r="H31" s="99"/>
      <c r="I31" s="99"/>
      <c r="J31" s="99"/>
    </row>
    <row r="32" spans="1:10">
      <c r="F32" s="99" t="s">
        <v>134</v>
      </c>
      <c r="G32" s="99"/>
      <c r="H32" s="99"/>
      <c r="I32" s="99"/>
      <c r="J32" s="99"/>
    </row>
    <row r="33" spans="6:10">
      <c r="F33" s="99" t="s">
        <v>133</v>
      </c>
      <c r="G33" s="99"/>
      <c r="H33" s="99"/>
      <c r="I33" s="99"/>
      <c r="J33" s="99"/>
    </row>
    <row r="34" spans="6:10">
      <c r="F34" s="99" t="s">
        <v>132</v>
      </c>
      <c r="G34" s="99"/>
      <c r="H34" s="99"/>
      <c r="I34" s="99"/>
      <c r="J34" s="99"/>
    </row>
    <row r="35" spans="6:10">
      <c r="F35" s="99" t="s">
        <v>131</v>
      </c>
      <c r="G35" s="99"/>
      <c r="H35" s="99"/>
      <c r="I35" s="99"/>
      <c r="J35" s="99"/>
    </row>
    <row r="36" spans="6:10">
      <c r="F36" s="99" t="s">
        <v>130</v>
      </c>
      <c r="G36" s="99"/>
      <c r="H36" s="99"/>
      <c r="I36" s="99"/>
      <c r="J36" s="99"/>
    </row>
    <row r="37" spans="6:10">
      <c r="F37" s="99" t="s">
        <v>129</v>
      </c>
      <c r="G37" s="99"/>
      <c r="H37" s="99"/>
      <c r="I37" s="99"/>
      <c r="J37" s="99"/>
    </row>
    <row r="38" spans="6:10">
      <c r="F38" s="99" t="s">
        <v>128</v>
      </c>
      <c r="G38" s="99"/>
      <c r="H38" s="99"/>
      <c r="I38" s="99"/>
      <c r="J38" s="99"/>
    </row>
    <row r="39" spans="6:10">
      <c r="F39" s="99" t="s">
        <v>127</v>
      </c>
      <c r="G39" s="99"/>
      <c r="H39" s="99"/>
      <c r="I39" s="99"/>
      <c r="J39" s="99"/>
    </row>
    <row r="40" spans="6:10">
      <c r="F40" s="99" t="s">
        <v>126</v>
      </c>
      <c r="G40" s="99"/>
      <c r="H40" s="99"/>
      <c r="I40" s="100">
        <v>46146</v>
      </c>
      <c r="J40" s="99"/>
    </row>
    <row r="41" spans="6:10">
      <c r="F41" s="99" t="s">
        <v>125</v>
      </c>
      <c r="G41" s="99"/>
      <c r="H41" s="99"/>
      <c r="I41" s="99"/>
      <c r="J41" s="99"/>
    </row>
    <row r="42" spans="6:10">
      <c r="F42" s="99" t="s">
        <v>124</v>
      </c>
      <c r="G42" s="99"/>
      <c r="H42" s="99"/>
      <c r="I42" s="99"/>
      <c r="J42" s="99"/>
    </row>
    <row r="43" spans="6:10">
      <c r="F43" s="99" t="s">
        <v>123</v>
      </c>
      <c r="G43" s="99"/>
      <c r="H43" s="99"/>
      <c r="I43" s="99"/>
      <c r="J43" s="99"/>
    </row>
    <row r="44" spans="6:10">
      <c r="F44" s="99" t="s">
        <v>122</v>
      </c>
      <c r="G44" s="99"/>
      <c r="H44" s="99"/>
      <c r="I44" s="99"/>
      <c r="J44" s="99"/>
    </row>
    <row r="45" spans="6:10">
      <c r="F45" s="99" t="s">
        <v>121</v>
      </c>
      <c r="G45" s="99"/>
      <c r="H45" s="99"/>
      <c r="I45" s="99"/>
      <c r="J45" s="99"/>
    </row>
    <row r="46" spans="6:10">
      <c r="F46" s="99" t="s">
        <v>120</v>
      </c>
      <c r="G46" s="99"/>
      <c r="H46" s="99"/>
      <c r="I46" s="99"/>
      <c r="J46" s="99"/>
    </row>
    <row r="47" spans="6:10">
      <c r="F47" s="99" t="s">
        <v>119</v>
      </c>
      <c r="G47" s="99"/>
      <c r="H47" s="99"/>
      <c r="I47" s="99"/>
      <c r="J47" s="99"/>
    </row>
    <row r="48" spans="6:10">
      <c r="F48" s="99" t="s">
        <v>118</v>
      </c>
      <c r="G48" s="99"/>
      <c r="H48" s="99"/>
      <c r="I48" s="99"/>
      <c r="J48" s="99"/>
    </row>
    <row r="49" spans="6:10">
      <c r="F49" s="99" t="s">
        <v>117</v>
      </c>
      <c r="G49" s="99"/>
      <c r="H49" s="99"/>
      <c r="I49" s="99"/>
      <c r="J49" s="99"/>
    </row>
    <row r="50" spans="6:10">
      <c r="F50" s="99" t="s">
        <v>116</v>
      </c>
      <c r="G50" s="99"/>
      <c r="H50" s="99"/>
      <c r="I50" s="100">
        <v>46154</v>
      </c>
      <c r="J50" s="99"/>
    </row>
    <row r="51" spans="6:10">
      <c r="F51" s="99" t="s">
        <v>175</v>
      </c>
      <c r="G51" s="99"/>
      <c r="H51" s="99"/>
      <c r="I51" s="99"/>
      <c r="J51" s="99"/>
    </row>
    <row r="52" spans="6:10">
      <c r="F52" s="99" t="s">
        <v>176</v>
      </c>
      <c r="G52" s="99"/>
      <c r="H52" s="99"/>
      <c r="I52" s="99"/>
      <c r="J52" s="99"/>
    </row>
    <row r="53" spans="6:10">
      <c r="F53" s="99" t="s">
        <v>177</v>
      </c>
      <c r="G53" s="99"/>
      <c r="H53" s="99"/>
      <c r="I53" s="99"/>
      <c r="J53" s="99"/>
    </row>
    <row r="54" spans="6:10">
      <c r="F54" s="99" t="s">
        <v>178</v>
      </c>
      <c r="G54" s="99"/>
      <c r="H54" s="99"/>
      <c r="I54" s="99"/>
      <c r="J54" s="99"/>
    </row>
    <row r="55" spans="6:10">
      <c r="F55" s="99" t="s">
        <v>179</v>
      </c>
      <c r="G55" s="99"/>
      <c r="H55" s="99"/>
      <c r="I55" s="99"/>
      <c r="J55" s="99"/>
    </row>
    <row r="56" spans="6:10">
      <c r="F56" s="99" t="s">
        <v>180</v>
      </c>
      <c r="G56" s="99"/>
      <c r="H56" s="99"/>
      <c r="I56" s="99"/>
      <c r="J56" s="99"/>
    </row>
    <row r="57" spans="6:10">
      <c r="F57" s="99" t="s">
        <v>181</v>
      </c>
      <c r="G57" s="99"/>
      <c r="H57" s="99"/>
      <c r="I57" s="99"/>
      <c r="J57" s="99"/>
    </row>
    <row r="58" spans="6:10">
      <c r="F58" s="99" t="s">
        <v>182</v>
      </c>
      <c r="G58" s="99"/>
      <c r="H58" s="99"/>
      <c r="I58" s="99"/>
      <c r="J58" s="99"/>
    </row>
    <row r="59" spans="6:10">
      <c r="F59" s="99" t="s">
        <v>183</v>
      </c>
      <c r="G59" s="99"/>
      <c r="H59" s="99"/>
      <c r="I59" s="99"/>
      <c r="J59" s="99"/>
    </row>
    <row r="60" spans="6:10">
      <c r="F60" s="99" t="s">
        <v>184</v>
      </c>
      <c r="G60" s="99"/>
      <c r="H60" s="99"/>
      <c r="I60" s="100">
        <v>46162</v>
      </c>
      <c r="J60" s="99"/>
    </row>
    <row r="61" spans="6:10">
      <c r="F61" s="99" t="s">
        <v>749</v>
      </c>
      <c r="G61" s="99"/>
      <c r="H61" s="99"/>
      <c r="I61" s="99"/>
      <c r="J61" s="99"/>
    </row>
    <row r="62" spans="6:10">
      <c r="F62" s="99" t="s">
        <v>750</v>
      </c>
      <c r="G62" s="99"/>
      <c r="H62" s="99"/>
      <c r="I62" s="99"/>
      <c r="J62" s="99"/>
    </row>
    <row r="63" spans="6:10">
      <c r="F63" s="99" t="s">
        <v>751</v>
      </c>
      <c r="G63" s="99"/>
      <c r="H63" s="99"/>
      <c r="I63" s="99"/>
      <c r="J63" s="99"/>
    </row>
    <row r="64" spans="6:10">
      <c r="F64" s="99" t="s">
        <v>752</v>
      </c>
      <c r="G64" s="99"/>
      <c r="H64" s="99"/>
      <c r="I64" s="99"/>
      <c r="J64" s="99"/>
    </row>
    <row r="65" spans="6:10">
      <c r="F65" s="99" t="s">
        <v>753</v>
      </c>
      <c r="G65" s="99"/>
      <c r="H65" s="99"/>
      <c r="I65" s="100">
        <v>46163</v>
      </c>
      <c r="J65" s="99"/>
    </row>
    <row r="66" spans="6:10">
      <c r="F66" s="99" t="s">
        <v>804</v>
      </c>
      <c r="G66" s="99"/>
      <c r="H66" s="99"/>
      <c r="I66" s="99"/>
      <c r="J66" s="99"/>
    </row>
    <row r="67" spans="6:10">
      <c r="F67" s="99" t="s">
        <v>805</v>
      </c>
      <c r="G67" s="99"/>
      <c r="H67" s="99"/>
      <c r="I67" s="99"/>
      <c r="J67" s="99"/>
    </row>
    <row r="68" spans="6:10">
      <c r="F68" s="99" t="s">
        <v>806</v>
      </c>
      <c r="G68" s="99"/>
      <c r="H68" s="99"/>
      <c r="I68" s="99"/>
      <c r="J68" s="99"/>
    </row>
    <row r="69" spans="6:10">
      <c r="F69" s="99" t="s">
        <v>807</v>
      </c>
      <c r="G69" s="99"/>
      <c r="H69" s="99"/>
      <c r="I69" s="99"/>
      <c r="J69" s="99"/>
    </row>
    <row r="70" spans="6:10">
      <c r="F70" s="99" t="s">
        <v>808</v>
      </c>
      <c r="G70" s="99"/>
      <c r="H70" s="99"/>
      <c r="I70" s="99"/>
      <c r="J70" s="99"/>
    </row>
    <row r="71" spans="6:10">
      <c r="F71" s="99" t="s">
        <v>809</v>
      </c>
      <c r="G71" s="99"/>
      <c r="H71" s="99"/>
      <c r="I71" s="99"/>
      <c r="J71" s="99"/>
    </row>
    <row r="72" spans="6:10">
      <c r="F72" s="99" t="s">
        <v>810</v>
      </c>
      <c r="G72" s="99"/>
      <c r="H72" s="99"/>
      <c r="I72" s="99"/>
      <c r="J72" s="99"/>
    </row>
    <row r="73" spans="6:10">
      <c r="F73" s="99" t="s">
        <v>811</v>
      </c>
      <c r="G73" s="99"/>
      <c r="H73" s="99"/>
      <c r="I73" s="99"/>
      <c r="J73" s="99"/>
    </row>
    <row r="74" spans="6:10">
      <c r="F74" s="99" t="s">
        <v>812</v>
      </c>
      <c r="G74" s="99"/>
      <c r="H74" s="99"/>
      <c r="I74" s="99"/>
      <c r="J74" s="99"/>
    </row>
    <row r="75" spans="6:10">
      <c r="F75" s="99" t="s">
        <v>813</v>
      </c>
      <c r="G75" s="99"/>
      <c r="H75" s="99"/>
      <c r="I75" s="100">
        <v>46171</v>
      </c>
      <c r="J75" s="99"/>
    </row>
    <row r="76" spans="6:10">
      <c r="F76" s="99" t="s">
        <v>918</v>
      </c>
      <c r="G76" s="99"/>
      <c r="H76" s="99"/>
      <c r="I76" s="99"/>
      <c r="J76" s="99"/>
    </row>
    <row r="77" spans="6:10">
      <c r="F77" s="99" t="s">
        <v>132</v>
      </c>
      <c r="G77" s="99"/>
      <c r="H77" s="99"/>
      <c r="I77" s="99"/>
      <c r="J77" s="99"/>
    </row>
    <row r="78" spans="6:10">
      <c r="F78" s="99" t="s">
        <v>919</v>
      </c>
      <c r="G78" s="99"/>
      <c r="H78" s="99"/>
      <c r="I78" s="99"/>
      <c r="J78" s="99"/>
    </row>
    <row r="79" spans="6:10">
      <c r="F79" s="99" t="s">
        <v>920</v>
      </c>
      <c r="G79" s="99"/>
      <c r="H79" s="99"/>
      <c r="I79" s="99"/>
      <c r="J79" s="99"/>
    </row>
    <row r="80" spans="6:10">
      <c r="F80" s="99" t="s">
        <v>921</v>
      </c>
      <c r="G80" s="99"/>
      <c r="H80" s="99"/>
      <c r="I80" s="99"/>
      <c r="J80" s="99"/>
    </row>
    <row r="81" spans="6:10">
      <c r="F81" s="99" t="s">
        <v>146</v>
      </c>
      <c r="G81" s="99"/>
      <c r="H81" s="99"/>
      <c r="I81" s="99"/>
      <c r="J81" s="99"/>
    </row>
    <row r="82" spans="6:10">
      <c r="F82" s="99" t="s">
        <v>922</v>
      </c>
      <c r="G82" s="99"/>
      <c r="H82" s="99"/>
      <c r="I82" s="99"/>
      <c r="J82" s="99"/>
    </row>
    <row r="83" spans="6:10">
      <c r="F83" s="99" t="s">
        <v>923</v>
      </c>
      <c r="G83" s="99"/>
      <c r="H83" s="99"/>
      <c r="I83" s="99"/>
      <c r="J83" s="99"/>
    </row>
    <row r="84" spans="6:10">
      <c r="F84" s="99" t="s">
        <v>924</v>
      </c>
      <c r="G84" s="99"/>
      <c r="H84" s="99"/>
      <c r="I84" s="99"/>
      <c r="J84" s="99"/>
    </row>
    <row r="85" spans="6:10">
      <c r="F85" s="99" t="s">
        <v>925</v>
      </c>
      <c r="G85" s="99"/>
      <c r="H85" s="99"/>
      <c r="I85" s="100">
        <v>46115</v>
      </c>
      <c r="J85" s="99"/>
    </row>
    <row r="86" spans="6:10">
      <c r="F86" s="99" t="s">
        <v>998</v>
      </c>
      <c r="G86" s="99"/>
      <c r="H86" s="99"/>
      <c r="I86" s="99"/>
      <c r="J86" s="99"/>
    </row>
    <row r="87" spans="6:10">
      <c r="F87" s="99" t="s">
        <v>999</v>
      </c>
      <c r="G87" s="99"/>
      <c r="H87" s="99"/>
      <c r="I87" s="99"/>
      <c r="J87" s="99"/>
    </row>
    <row r="88" spans="6:10">
      <c r="F88" s="99" t="s">
        <v>1000</v>
      </c>
      <c r="G88" s="99"/>
      <c r="H88" s="99"/>
      <c r="I88" s="99"/>
      <c r="J88" s="99"/>
    </row>
    <row r="89" spans="6:10">
      <c r="F89" s="99" t="s">
        <v>1001</v>
      </c>
      <c r="G89" s="99"/>
      <c r="H89" s="99"/>
      <c r="I89" s="99"/>
      <c r="J89" s="99"/>
    </row>
    <row r="90" spans="6:10">
      <c r="F90" s="99" t="s">
        <v>1002</v>
      </c>
      <c r="G90" s="99"/>
      <c r="H90" s="99"/>
      <c r="I90" s="99"/>
      <c r="J90" s="99"/>
    </row>
    <row r="91" spans="6:10">
      <c r="F91" s="99" t="s">
        <v>1003</v>
      </c>
      <c r="G91" s="99"/>
      <c r="H91" s="99"/>
      <c r="I91" s="99"/>
      <c r="J91" s="99"/>
    </row>
    <row r="92" spans="6:10">
      <c r="F92" s="99" t="s">
        <v>1004</v>
      </c>
      <c r="G92" s="99"/>
      <c r="H92" s="99"/>
      <c r="I92" s="99"/>
      <c r="J92" s="99"/>
    </row>
    <row r="93" spans="6:10">
      <c r="F93" s="99" t="s">
        <v>924</v>
      </c>
      <c r="G93" s="99"/>
      <c r="H93" s="99"/>
      <c r="I93" s="99"/>
      <c r="J93" s="99"/>
    </row>
    <row r="94" spans="6:10">
      <c r="F94" s="99" t="s">
        <v>1005</v>
      </c>
      <c r="G94" s="99"/>
      <c r="H94" s="99"/>
      <c r="I94" s="99"/>
      <c r="J94" s="99"/>
    </row>
    <row r="95" spans="6:10">
      <c r="F95" s="99" t="s">
        <v>1006</v>
      </c>
      <c r="G95" s="99"/>
      <c r="H95" s="99"/>
      <c r="I95" s="100">
        <v>46125</v>
      </c>
      <c r="J95" s="99"/>
    </row>
    <row r="96" spans="6:10">
      <c r="F96" s="99" t="s">
        <v>153</v>
      </c>
      <c r="G96" s="99"/>
      <c r="H96" s="99"/>
      <c r="I96" s="99"/>
      <c r="J96" s="99"/>
    </row>
    <row r="97" spans="6:10">
      <c r="F97" s="99" t="s">
        <v>1000</v>
      </c>
      <c r="G97" s="99"/>
      <c r="H97" s="99"/>
      <c r="I97" s="99"/>
      <c r="J97" s="99"/>
    </row>
    <row r="98" spans="6:10">
      <c r="F98" s="99" t="s">
        <v>1009</v>
      </c>
      <c r="G98" s="99"/>
      <c r="H98" s="99"/>
      <c r="I98" s="99"/>
      <c r="J98" s="99"/>
    </row>
    <row r="99" spans="6:10">
      <c r="F99" s="99" t="s">
        <v>1010</v>
      </c>
      <c r="G99" s="99"/>
      <c r="H99" s="99"/>
      <c r="I99" s="99"/>
      <c r="J99" s="99"/>
    </row>
    <row r="100" spans="6:10">
      <c r="F100" s="99" t="s">
        <v>1011</v>
      </c>
      <c r="G100" s="99"/>
      <c r="H100" s="99"/>
      <c r="I100" s="99"/>
      <c r="J100" s="99"/>
    </row>
    <row r="101" spans="6:10">
      <c r="F101" s="99" t="s">
        <v>1012</v>
      </c>
      <c r="G101" s="99"/>
      <c r="H101" s="99"/>
      <c r="I101" s="99"/>
      <c r="J101" s="99"/>
    </row>
    <row r="102" spans="6:10">
      <c r="F102" s="99" t="s">
        <v>1013</v>
      </c>
      <c r="G102" s="99"/>
      <c r="H102" s="99"/>
      <c r="I102" s="99"/>
      <c r="J102" s="99"/>
    </row>
    <row r="103" spans="6:10">
      <c r="F103" s="99" t="s">
        <v>1014</v>
      </c>
      <c r="G103" s="99"/>
      <c r="H103" s="99"/>
      <c r="I103" s="99"/>
      <c r="J103" s="99"/>
    </row>
    <row r="104" spans="6:10">
      <c r="F104" s="99" t="s">
        <v>1015</v>
      </c>
      <c r="G104" s="99"/>
      <c r="H104" s="99"/>
      <c r="I104" s="99"/>
      <c r="J104" s="99"/>
    </row>
    <row r="105" spans="6:10">
      <c r="F105" s="99" t="s">
        <v>1016</v>
      </c>
      <c r="G105" s="99"/>
      <c r="H105" s="99"/>
      <c r="I105" s="100">
        <v>46131</v>
      </c>
      <c r="J105" s="99"/>
    </row>
    <row r="106" spans="6:10">
      <c r="F106" s="99" t="s">
        <v>1119</v>
      </c>
      <c r="G106" s="99"/>
      <c r="H106" s="99"/>
      <c r="I106" s="99"/>
      <c r="J106" s="99"/>
    </row>
    <row r="107" spans="6:10">
      <c r="F107" s="99" t="s">
        <v>1120</v>
      </c>
      <c r="G107" s="99"/>
      <c r="H107" s="99"/>
      <c r="I107" s="99"/>
      <c r="J107" s="99"/>
    </row>
    <row r="108" spans="6:10">
      <c r="F108" s="99" t="s">
        <v>1121</v>
      </c>
      <c r="G108" s="99"/>
      <c r="H108" s="99"/>
      <c r="I108" s="99"/>
      <c r="J108" s="99"/>
    </row>
    <row r="109" spans="6:10">
      <c r="F109" s="99" t="s">
        <v>1122</v>
      </c>
      <c r="G109" s="99"/>
      <c r="H109" s="99"/>
      <c r="I109" s="99"/>
      <c r="J109" s="99"/>
    </row>
    <row r="110" spans="6:10">
      <c r="F110" s="99" t="s">
        <v>1123</v>
      </c>
      <c r="G110" s="99"/>
      <c r="H110" s="99"/>
      <c r="I110" s="99"/>
      <c r="J110" s="99"/>
    </row>
    <row r="111" spans="6:10">
      <c r="F111" s="99" t="s">
        <v>1124</v>
      </c>
      <c r="G111" s="99"/>
      <c r="H111" s="99"/>
      <c r="I111" s="99"/>
      <c r="J111" s="99"/>
    </row>
    <row r="112" spans="6:10">
      <c r="F112" s="99" t="s">
        <v>1125</v>
      </c>
      <c r="G112" s="99"/>
      <c r="H112" s="99"/>
      <c r="I112" s="99"/>
      <c r="J112" s="99"/>
    </row>
    <row r="113" spans="6:10">
      <c r="F113" s="99" t="s">
        <v>145</v>
      </c>
      <c r="G113" s="99"/>
      <c r="H113" s="99"/>
      <c r="I113" s="99"/>
      <c r="J113" s="99"/>
    </row>
    <row r="114" spans="6:10">
      <c r="F114" s="99" t="s">
        <v>1126</v>
      </c>
      <c r="G114" s="99"/>
      <c r="H114" s="99"/>
      <c r="I114" s="99"/>
      <c r="J114" s="99"/>
    </row>
    <row r="115" spans="6:10">
      <c r="F115" s="99" t="s">
        <v>126</v>
      </c>
      <c r="G115" s="99"/>
      <c r="H115" s="99"/>
      <c r="I115" s="99"/>
      <c r="J115" s="99"/>
    </row>
    <row r="116" spans="6:10">
      <c r="F116" s="99" t="s">
        <v>1194</v>
      </c>
      <c r="G116" s="99"/>
      <c r="H116" s="99"/>
      <c r="I116" s="99"/>
      <c r="J116" s="99"/>
    </row>
    <row r="117" spans="6:10">
      <c r="F117" s="99" t="s">
        <v>1195</v>
      </c>
      <c r="G117" s="99"/>
      <c r="H117" s="99"/>
      <c r="I117" s="99"/>
      <c r="J117" s="99"/>
    </row>
    <row r="118" spans="6:10">
      <c r="F118" s="99" t="s">
        <v>1196</v>
      </c>
      <c r="G118" s="99"/>
      <c r="H118" s="99"/>
      <c r="I118" s="99"/>
      <c r="J118" s="99"/>
    </row>
    <row r="119" spans="6:10">
      <c r="F119" s="99" t="s">
        <v>1197</v>
      </c>
      <c r="G119" s="99"/>
      <c r="H119" s="99"/>
      <c r="I119" s="99"/>
      <c r="J119" s="99"/>
    </row>
    <row r="120" spans="6:10">
      <c r="F120" s="99" t="s">
        <v>1198</v>
      </c>
      <c r="G120" s="99"/>
      <c r="H120" s="99"/>
      <c r="I120" s="99"/>
      <c r="J120" s="99"/>
    </row>
    <row r="121" spans="6:10">
      <c r="F121" s="99" t="s">
        <v>1199</v>
      </c>
      <c r="G121" s="99"/>
      <c r="H121" s="99"/>
      <c r="I121" s="99"/>
      <c r="J121" s="99"/>
    </row>
    <row r="122" spans="6:10">
      <c r="F122" s="99" t="s">
        <v>1200</v>
      </c>
      <c r="G122" s="99"/>
      <c r="H122" s="99"/>
      <c r="I122" s="99"/>
      <c r="J122" s="99"/>
    </row>
    <row r="123" spans="6:10">
      <c r="F123" s="99" t="s">
        <v>1201</v>
      </c>
      <c r="G123" s="99"/>
      <c r="H123" s="99"/>
      <c r="I123" s="99"/>
      <c r="J123" s="99"/>
    </row>
    <row r="124" spans="6:10">
      <c r="F124" s="99" t="s">
        <v>1202</v>
      </c>
      <c r="G124" s="99"/>
      <c r="H124" s="99"/>
      <c r="I124" s="99"/>
      <c r="J124" s="99"/>
    </row>
    <row r="125" spans="6:10">
      <c r="F125" s="99" t="s">
        <v>1203</v>
      </c>
      <c r="G125" s="99"/>
      <c r="H125" s="99"/>
      <c r="I125" s="99"/>
      <c r="J125" s="99"/>
    </row>
    <row r="126" spans="6:10">
      <c r="F126" s="99"/>
      <c r="G126" s="99"/>
      <c r="H126" s="99"/>
      <c r="I126" s="99"/>
      <c r="J126" s="99"/>
    </row>
    <row r="127" spans="6:10">
      <c r="F127" s="99"/>
      <c r="G127" s="99"/>
      <c r="H127" s="99"/>
      <c r="I127" s="99"/>
      <c r="J127" s="99"/>
    </row>
    <row r="128" spans="6:10">
      <c r="F128" s="99"/>
      <c r="G128" s="99"/>
      <c r="H128" s="99"/>
      <c r="I128" s="99"/>
      <c r="J128" s="99"/>
    </row>
    <row r="129" spans="6:10">
      <c r="F129" s="99"/>
      <c r="G129" s="99"/>
      <c r="H129" s="99"/>
      <c r="I129" s="99"/>
      <c r="J129" s="99"/>
    </row>
    <row r="130" spans="6:10">
      <c r="F130" s="99"/>
      <c r="G130" s="99"/>
      <c r="H130" s="99"/>
      <c r="I130" s="99"/>
      <c r="J130" s="99"/>
    </row>
    <row r="131" spans="6:10">
      <c r="F131" s="99"/>
      <c r="G131" s="99"/>
      <c r="H131" s="99"/>
      <c r="I131" s="99"/>
      <c r="J131" s="99"/>
    </row>
    <row r="132" spans="6:10">
      <c r="F132" s="99"/>
      <c r="G132" s="99"/>
      <c r="H132" s="99"/>
      <c r="I132" s="99"/>
      <c r="J132" s="99"/>
    </row>
    <row r="133" spans="6:10">
      <c r="F133" s="99"/>
      <c r="G133" s="99"/>
      <c r="H133" s="99"/>
      <c r="I133" s="99"/>
      <c r="J133" s="99"/>
    </row>
    <row r="134" spans="6:10">
      <c r="F134" s="99"/>
      <c r="G134" s="99"/>
      <c r="H134" s="99"/>
      <c r="I134" s="99"/>
      <c r="J134" s="99"/>
    </row>
    <row r="135" spans="6:10">
      <c r="F135" s="99"/>
      <c r="G135" s="99"/>
      <c r="H135" s="99"/>
      <c r="I135" s="99"/>
      <c r="J135" s="99"/>
    </row>
    <row r="136" spans="6:10">
      <c r="F136" s="99"/>
      <c r="G136" s="99"/>
      <c r="H136" s="99"/>
      <c r="I136" s="99"/>
      <c r="J136" s="99"/>
    </row>
    <row r="137" spans="6:10">
      <c r="F137" s="99"/>
      <c r="G137" s="99"/>
      <c r="H137" s="99"/>
      <c r="I137" s="99"/>
      <c r="J137" s="99"/>
    </row>
    <row r="138" spans="6:10">
      <c r="F138" s="99"/>
      <c r="G138" s="99"/>
      <c r="H138" s="99"/>
      <c r="I138" s="99"/>
      <c r="J138" s="99"/>
    </row>
    <row r="139" spans="6:10">
      <c r="F139" s="99"/>
      <c r="G139" s="99"/>
      <c r="H139" s="99"/>
      <c r="I139" s="99"/>
      <c r="J139" s="99"/>
    </row>
    <row r="140" spans="6:10">
      <c r="F140" s="99"/>
      <c r="G140" s="99"/>
      <c r="H140" s="99"/>
      <c r="I140" s="99"/>
      <c r="J140" s="99"/>
    </row>
    <row r="141" spans="6:10">
      <c r="F141" s="99"/>
      <c r="G141" s="99"/>
      <c r="H141" s="99"/>
      <c r="I141" s="99"/>
      <c r="J141" s="99"/>
    </row>
    <row r="142" spans="6:10">
      <c r="F142" s="99"/>
      <c r="G142" s="99"/>
      <c r="H142" s="99"/>
      <c r="I142" s="99"/>
      <c r="J142" s="99"/>
    </row>
    <row r="143" spans="6:10">
      <c r="F143" s="99"/>
      <c r="G143" s="99"/>
      <c r="H143" s="99"/>
      <c r="I143" s="99"/>
      <c r="J143" s="99"/>
    </row>
    <row r="144" spans="6:10">
      <c r="F144" s="99"/>
      <c r="G144" s="99"/>
      <c r="H144" s="99"/>
      <c r="I144" s="99"/>
      <c r="J144" s="99"/>
    </row>
    <row r="145" spans="6:10">
      <c r="F145" s="99"/>
      <c r="G145" s="99"/>
      <c r="H145" s="99"/>
      <c r="I145" s="99"/>
      <c r="J145" s="99"/>
    </row>
    <row r="146" spans="6:10">
      <c r="F146" s="99"/>
      <c r="G146" s="99"/>
      <c r="H146" s="99"/>
      <c r="I146" s="99"/>
      <c r="J146" s="99"/>
    </row>
    <row r="147" spans="6:10">
      <c r="F147" s="99"/>
      <c r="G147" s="99"/>
      <c r="H147" s="99"/>
      <c r="I147" s="99"/>
      <c r="J147" s="99"/>
    </row>
    <row r="148" spans="6:10">
      <c r="F148" s="99"/>
      <c r="G148" s="99"/>
      <c r="H148" s="99"/>
      <c r="I148" s="99"/>
      <c r="J148" s="99"/>
    </row>
    <row r="149" spans="6:10">
      <c r="F149" s="99"/>
      <c r="G149" s="99"/>
      <c r="H149" s="99"/>
      <c r="I149" s="99"/>
      <c r="J149" s="99"/>
    </row>
    <row r="150" spans="6:10">
      <c r="F150" s="99"/>
      <c r="G150" s="99"/>
      <c r="H150" s="99"/>
      <c r="I150" s="99"/>
      <c r="J150" s="99"/>
    </row>
    <row r="151" spans="6:10">
      <c r="F151" s="99"/>
      <c r="G151" s="99"/>
      <c r="H151" s="99"/>
      <c r="I151" s="99"/>
      <c r="J151" s="99"/>
    </row>
    <row r="152" spans="6:10">
      <c r="F152" s="99"/>
      <c r="G152" s="99"/>
      <c r="H152" s="99"/>
      <c r="I152" s="99"/>
      <c r="J152" s="99"/>
    </row>
    <row r="153" spans="6:10">
      <c r="F153" s="99"/>
      <c r="G153" s="99"/>
      <c r="H153" s="99"/>
      <c r="I153" s="99"/>
      <c r="J153" s="99"/>
    </row>
    <row r="154" spans="6:10">
      <c r="F154" s="99"/>
      <c r="G154" s="99"/>
      <c r="H154" s="99"/>
      <c r="I154" s="99"/>
      <c r="J154" s="99"/>
    </row>
    <row r="155" spans="6:10">
      <c r="F155" s="99"/>
      <c r="G155" s="99"/>
      <c r="H155" s="99"/>
      <c r="I155" s="99"/>
      <c r="J155" s="99"/>
    </row>
    <row r="156" spans="6:10">
      <c r="F156" s="99"/>
      <c r="G156" s="99"/>
      <c r="H156" s="99"/>
      <c r="I156" s="99"/>
      <c r="J156" s="99"/>
    </row>
    <row r="157" spans="6:10">
      <c r="F157" s="99"/>
      <c r="G157" s="99"/>
      <c r="H157" s="99"/>
      <c r="I157" s="99"/>
      <c r="J157" s="99"/>
    </row>
    <row r="158" spans="6:10">
      <c r="F158" s="99"/>
      <c r="G158" s="99"/>
      <c r="H158" s="99"/>
      <c r="I158" s="99"/>
      <c r="J158" s="99"/>
    </row>
    <row r="159" spans="6:10">
      <c r="F159" s="99"/>
      <c r="G159" s="99"/>
      <c r="H159" s="99"/>
      <c r="I159" s="99"/>
      <c r="J159" s="99"/>
    </row>
    <row r="160" spans="6:10">
      <c r="F160" s="99"/>
      <c r="G160" s="99"/>
      <c r="H160" s="99"/>
      <c r="I160" s="99"/>
      <c r="J160" s="99"/>
    </row>
    <row r="161" spans="6:10">
      <c r="F161" s="99"/>
      <c r="G161" s="99"/>
      <c r="H161" s="99"/>
      <c r="I161" s="99"/>
      <c r="J161" s="99"/>
    </row>
    <row r="162" spans="6:10">
      <c r="F162" s="99"/>
      <c r="G162" s="99"/>
      <c r="H162" s="99"/>
      <c r="I162" s="99"/>
      <c r="J162" s="99"/>
    </row>
    <row r="163" spans="6:10">
      <c r="F163" s="99"/>
      <c r="G163" s="99"/>
      <c r="H163" s="99"/>
      <c r="I163" s="99"/>
      <c r="J163" s="99"/>
    </row>
    <row r="164" spans="6:10">
      <c r="F164" s="99"/>
      <c r="G164" s="99"/>
      <c r="H164" s="99"/>
      <c r="I164" s="99"/>
      <c r="J164" s="99"/>
    </row>
    <row r="165" spans="6:10">
      <c r="F165" s="99"/>
      <c r="G165" s="99"/>
      <c r="H165" s="99"/>
      <c r="I165" s="99"/>
      <c r="J165" s="99"/>
    </row>
    <row r="166" spans="6:10">
      <c r="F166" s="99"/>
      <c r="G166" s="99"/>
      <c r="H166" s="99"/>
      <c r="I166" s="99"/>
      <c r="J166" s="99"/>
    </row>
    <row r="167" spans="6:10">
      <c r="F167" s="99"/>
      <c r="G167" s="99"/>
      <c r="H167" s="99"/>
      <c r="I167" s="99"/>
      <c r="J167" s="99"/>
    </row>
    <row r="168" spans="6:10">
      <c r="F168" s="99"/>
      <c r="G168" s="99"/>
      <c r="H168" s="99"/>
      <c r="I168" s="99"/>
      <c r="J168" s="99"/>
    </row>
    <row r="169" spans="6:10">
      <c r="F169" s="99"/>
      <c r="G169" s="99"/>
      <c r="H169" s="99"/>
      <c r="I169" s="99"/>
      <c r="J169" s="99"/>
    </row>
    <row r="170" spans="6:10">
      <c r="F170" s="99"/>
      <c r="G170" s="99"/>
      <c r="H170" s="99"/>
      <c r="I170" s="99"/>
      <c r="J170" s="99"/>
    </row>
    <row r="171" spans="6:10">
      <c r="F171" s="99"/>
      <c r="G171" s="99"/>
      <c r="H171" s="99"/>
      <c r="I171" s="99"/>
      <c r="J171" s="99"/>
    </row>
    <row r="172" spans="6:10">
      <c r="F172" s="99"/>
      <c r="G172" s="99"/>
      <c r="H172" s="99"/>
      <c r="I172" s="99"/>
      <c r="J172" s="99"/>
    </row>
    <row r="173" spans="6:10">
      <c r="F173" s="99"/>
      <c r="G173" s="99"/>
      <c r="H173" s="99"/>
      <c r="I173" s="99"/>
      <c r="J173" s="99"/>
    </row>
    <row r="174" spans="6:10">
      <c r="F174" s="99"/>
      <c r="G174" s="99"/>
      <c r="H174" s="99"/>
      <c r="I174" s="99"/>
      <c r="J174" s="99"/>
    </row>
    <row r="175" spans="6:10">
      <c r="F175" s="99"/>
      <c r="G175" s="99"/>
      <c r="H175" s="99"/>
      <c r="I175" s="99"/>
      <c r="J175" s="99"/>
    </row>
    <row r="176" spans="6:10">
      <c r="F176" s="99"/>
      <c r="G176" s="99"/>
      <c r="H176" s="99"/>
      <c r="I176" s="99"/>
      <c r="J176" s="99"/>
    </row>
    <row r="177" spans="6:10">
      <c r="F177" s="99"/>
      <c r="G177" s="99"/>
      <c r="H177" s="99"/>
      <c r="I177" s="99"/>
      <c r="J177" s="99"/>
    </row>
    <row r="178" spans="6:10">
      <c r="F178" s="99"/>
      <c r="G178" s="99"/>
      <c r="H178" s="99"/>
      <c r="I178" s="99"/>
      <c r="J178" s="99"/>
    </row>
    <row r="179" spans="6:10">
      <c r="F179" s="99"/>
      <c r="G179" s="99"/>
      <c r="H179" s="99"/>
      <c r="I179" s="99"/>
      <c r="J179" s="99"/>
    </row>
    <row r="180" spans="6:10">
      <c r="F180" s="99"/>
      <c r="G180" s="99"/>
      <c r="H180" s="99"/>
      <c r="I180" s="99"/>
      <c r="J180" s="99"/>
    </row>
    <row r="181" spans="6:10">
      <c r="F181" s="99"/>
      <c r="G181" s="99"/>
      <c r="H181" s="99"/>
      <c r="I181" s="99"/>
      <c r="J181" s="99"/>
    </row>
    <row r="182" spans="6:10">
      <c r="F182" s="99"/>
      <c r="G182" s="99"/>
      <c r="H182" s="99"/>
      <c r="I182" s="99"/>
      <c r="J182" s="99"/>
    </row>
    <row r="183" spans="6:10">
      <c r="F183" s="99"/>
      <c r="G183" s="99"/>
      <c r="H183" s="99"/>
      <c r="I183" s="99"/>
      <c r="J183" s="99"/>
    </row>
    <row r="184" spans="6:10">
      <c r="F184" s="99"/>
      <c r="G184" s="99"/>
      <c r="H184" s="99"/>
      <c r="I184" s="99"/>
      <c r="J184" s="99"/>
    </row>
    <row r="185" spans="6:10">
      <c r="F185" s="99"/>
      <c r="G185" s="99"/>
      <c r="H185" s="99"/>
      <c r="I185" s="99"/>
      <c r="J185" s="99"/>
    </row>
    <row r="186" spans="6:10">
      <c r="F186" s="99"/>
      <c r="G186" s="99"/>
      <c r="H186" s="99"/>
      <c r="I186" s="99"/>
      <c r="J186" s="99"/>
    </row>
    <row r="187" spans="6:10">
      <c r="F187" s="99"/>
      <c r="G187" s="99"/>
      <c r="H187" s="99"/>
      <c r="I187" s="99"/>
      <c r="J187" s="99"/>
    </row>
    <row r="188" spans="6:10">
      <c r="F188" s="99"/>
      <c r="G188" s="99"/>
      <c r="H188" s="99"/>
      <c r="I188" s="99"/>
      <c r="J188" s="99"/>
    </row>
    <row r="189" spans="6:10">
      <c r="F189" s="99"/>
      <c r="G189" s="99"/>
      <c r="H189" s="99"/>
      <c r="I189" s="99"/>
      <c r="J189" s="99"/>
    </row>
    <row r="190" spans="6:10">
      <c r="F190" s="99"/>
      <c r="G190" s="99"/>
      <c r="H190" s="99"/>
      <c r="I190" s="99"/>
      <c r="J190" s="99"/>
    </row>
    <row r="191" spans="6:10">
      <c r="F191" s="99"/>
      <c r="G191" s="99"/>
      <c r="H191" s="99"/>
      <c r="I191" s="99"/>
      <c r="J191" s="99"/>
    </row>
    <row r="192" spans="6:10">
      <c r="F192" s="99"/>
      <c r="G192" s="99"/>
      <c r="H192" s="99"/>
      <c r="I192" s="99"/>
      <c r="J192" s="99"/>
    </row>
    <row r="193" spans="6:10">
      <c r="F193" s="99"/>
      <c r="G193" s="99"/>
      <c r="H193" s="99"/>
      <c r="I193" s="99"/>
      <c r="J193" s="99"/>
    </row>
    <row r="194" spans="6:10">
      <c r="F194" s="99"/>
      <c r="G194" s="99"/>
      <c r="H194" s="99"/>
      <c r="I194" s="99"/>
      <c r="J194" s="99"/>
    </row>
    <row r="195" spans="6:10">
      <c r="F195" s="99"/>
      <c r="G195" s="99"/>
      <c r="H195" s="99"/>
      <c r="I195" s="99"/>
      <c r="J195" s="99"/>
    </row>
    <row r="196" spans="6:10">
      <c r="F196" s="99"/>
      <c r="G196" s="99"/>
      <c r="H196" s="99"/>
      <c r="I196" s="99"/>
      <c r="J196" s="99"/>
    </row>
    <row r="197" spans="6:10">
      <c r="F197" s="99"/>
      <c r="G197" s="99"/>
      <c r="H197" s="99"/>
      <c r="I197" s="99"/>
      <c r="J197" s="99"/>
    </row>
    <row r="198" spans="6:10">
      <c r="F198" s="99"/>
      <c r="G198" s="99"/>
      <c r="H198" s="99"/>
      <c r="I198" s="99"/>
      <c r="J198" s="99"/>
    </row>
    <row r="199" spans="6:10">
      <c r="F199" s="99"/>
      <c r="G199" s="99"/>
      <c r="H199" s="99"/>
      <c r="I199" s="99"/>
      <c r="J199" s="99"/>
    </row>
    <row r="200" spans="6:10">
      <c r="F200" s="99"/>
      <c r="G200" s="99"/>
      <c r="H200" s="99"/>
      <c r="I200" s="99"/>
      <c r="J200" s="99"/>
    </row>
    <row r="201" spans="6:10">
      <c r="F201" s="99"/>
      <c r="G201" s="99"/>
      <c r="H201" s="99"/>
      <c r="I201" s="99"/>
      <c r="J201" s="99"/>
    </row>
    <row r="202" spans="6:10">
      <c r="F202" s="99"/>
      <c r="G202" s="99"/>
      <c r="H202" s="99"/>
      <c r="I202" s="99"/>
      <c r="J202" s="99"/>
    </row>
    <row r="203" spans="6:10">
      <c r="F203" s="99"/>
      <c r="G203" s="99"/>
      <c r="H203" s="99"/>
      <c r="I203" s="99"/>
      <c r="J203" s="99"/>
    </row>
    <row r="204" spans="6:10">
      <c r="F204" s="99"/>
      <c r="G204" s="99"/>
      <c r="H204" s="99"/>
      <c r="I204" s="99"/>
      <c r="J204" s="99"/>
    </row>
    <row r="205" spans="6:10">
      <c r="F205" s="99"/>
      <c r="G205" s="99"/>
      <c r="H205" s="99"/>
      <c r="I205" s="99"/>
      <c r="J205" s="99"/>
    </row>
    <row r="206" spans="6:10">
      <c r="F206" s="99"/>
      <c r="G206" s="99"/>
      <c r="H206" s="99"/>
      <c r="I206" s="99"/>
      <c r="J206" s="99"/>
    </row>
    <row r="207" spans="6:10">
      <c r="F207" s="99"/>
      <c r="G207" s="99"/>
      <c r="H207" s="99"/>
      <c r="I207" s="99"/>
      <c r="J207" s="99"/>
    </row>
    <row r="208" spans="6:10">
      <c r="F208" s="99"/>
      <c r="G208" s="99"/>
      <c r="H208" s="99"/>
      <c r="I208" s="99"/>
      <c r="J208" s="99"/>
    </row>
    <row r="209" spans="6:10">
      <c r="F209" s="99"/>
      <c r="G209" s="99"/>
      <c r="H209" s="99"/>
      <c r="I209" s="99"/>
      <c r="J209" s="99"/>
    </row>
    <row r="210" spans="6:10">
      <c r="F210" s="99"/>
      <c r="G210" s="99"/>
      <c r="H210" s="99"/>
      <c r="I210" s="99"/>
      <c r="J210" s="99"/>
    </row>
    <row r="211" spans="6:10">
      <c r="F211" s="99"/>
      <c r="G211" s="99"/>
      <c r="H211" s="99"/>
      <c r="I211" s="99"/>
      <c r="J211" s="99"/>
    </row>
    <row r="212" spans="6:10">
      <c r="F212" s="99"/>
      <c r="G212" s="99"/>
      <c r="H212" s="99"/>
      <c r="I212" s="99"/>
      <c r="J212" s="99"/>
    </row>
    <row r="213" spans="6:10">
      <c r="F213" s="99"/>
      <c r="G213" s="99"/>
      <c r="H213" s="99"/>
      <c r="I213" s="99"/>
      <c r="J213" s="99"/>
    </row>
    <row r="214" spans="6:10">
      <c r="F214" s="99"/>
      <c r="G214" s="99"/>
      <c r="H214" s="99"/>
      <c r="I214" s="99"/>
      <c r="J214" s="99"/>
    </row>
    <row r="215" spans="6:10">
      <c r="F215" s="99"/>
      <c r="G215" s="99"/>
      <c r="H215" s="99"/>
      <c r="I215" s="99"/>
      <c r="J215" s="99"/>
    </row>
    <row r="216" spans="6:10">
      <c r="F216" s="99"/>
      <c r="G216" s="99"/>
      <c r="H216" s="99"/>
      <c r="I216" s="99"/>
      <c r="J216" s="99"/>
    </row>
    <row r="217" spans="6:10">
      <c r="F217" s="99"/>
      <c r="G217" s="99"/>
      <c r="H217" s="99"/>
      <c r="I217" s="99"/>
      <c r="J217" s="99"/>
    </row>
    <row r="218" spans="6:10">
      <c r="F218" s="99"/>
      <c r="G218" s="99"/>
      <c r="H218" s="99"/>
      <c r="I218" s="99"/>
      <c r="J218" s="99"/>
    </row>
    <row r="219" spans="6:10">
      <c r="F219" s="99"/>
      <c r="G219" s="99"/>
      <c r="H219" s="99"/>
      <c r="I219" s="99"/>
      <c r="J219" s="99"/>
    </row>
    <row r="220" spans="6:10">
      <c r="F220" s="99"/>
      <c r="G220" s="99"/>
      <c r="H220" s="99"/>
      <c r="I220" s="99"/>
      <c r="J220" s="99"/>
    </row>
    <row r="221" spans="6:10">
      <c r="F221" s="99"/>
      <c r="G221" s="99"/>
      <c r="H221" s="99"/>
      <c r="I221" s="99"/>
      <c r="J221" s="99"/>
    </row>
    <row r="222" spans="6:10">
      <c r="F222" s="99"/>
      <c r="G222" s="99"/>
      <c r="H222" s="99"/>
      <c r="I222" s="99"/>
      <c r="J222" s="99"/>
    </row>
    <row r="223" spans="6:10">
      <c r="F223" s="99"/>
      <c r="G223" s="99"/>
      <c r="H223" s="99"/>
      <c r="I223" s="99"/>
      <c r="J223" s="99"/>
    </row>
    <row r="224" spans="6:10">
      <c r="F224" s="99"/>
      <c r="G224" s="99"/>
      <c r="H224" s="99"/>
      <c r="I224" s="99"/>
      <c r="J224" s="99"/>
    </row>
    <row r="225" spans="6:10">
      <c r="F225" s="99"/>
      <c r="G225" s="99"/>
      <c r="H225" s="99"/>
      <c r="I225" s="99"/>
      <c r="J225" s="99"/>
    </row>
    <row r="226" spans="6:10">
      <c r="F226" s="99"/>
      <c r="G226" s="99"/>
      <c r="H226" s="99"/>
      <c r="I226" s="99"/>
      <c r="J226" s="99"/>
    </row>
    <row r="227" spans="6:10">
      <c r="F227" s="99"/>
      <c r="G227" s="99"/>
      <c r="H227" s="99"/>
      <c r="I227" s="99"/>
      <c r="J227" s="99"/>
    </row>
    <row r="228" spans="6:10">
      <c r="F228" s="99"/>
      <c r="G228" s="99"/>
      <c r="H228" s="99"/>
      <c r="I228" s="99"/>
      <c r="J228" s="99"/>
    </row>
    <row r="229" spans="6:10">
      <c r="F229" s="99"/>
      <c r="G229" s="99"/>
      <c r="H229" s="99"/>
      <c r="I229" s="99"/>
      <c r="J229" s="99"/>
    </row>
  </sheetData>
  <phoneticPr fontId="1"/>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0E97-F7D1-4C8D-A751-C1B3BE960CAB}">
  <dimension ref="A1:BD66"/>
  <sheetViews>
    <sheetView workbookViewId="0">
      <selection activeCell="V4" sqref="V4"/>
    </sheetView>
  </sheetViews>
  <sheetFormatPr defaultRowHeight="18.75"/>
  <cols>
    <col min="1" max="1" width="9" style="68" bestFit="1" customWidth="1"/>
    <col min="2" max="2" width="12" style="68" customWidth="1"/>
    <col min="3" max="3" width="7" style="68" customWidth="1"/>
    <col min="4" max="4" width="29.75" style="68" customWidth="1"/>
    <col min="5" max="24" width="4.75" style="68" customWidth="1"/>
    <col min="25" max="56" width="6" style="68" customWidth="1"/>
  </cols>
  <sheetData>
    <row r="1" spans="1:27">
      <c r="A1" s="142" t="s">
        <v>800</v>
      </c>
      <c r="B1" s="143" t="s">
        <v>802</v>
      </c>
      <c r="C1" s="143" t="s">
        <v>801</v>
      </c>
      <c r="D1" s="141" t="s">
        <v>803</v>
      </c>
      <c r="E1" s="102">
        <v>1</v>
      </c>
      <c r="F1" s="102">
        <v>2</v>
      </c>
      <c r="G1" s="102">
        <v>3</v>
      </c>
      <c r="H1" s="102">
        <v>4</v>
      </c>
      <c r="I1" s="102">
        <v>5</v>
      </c>
      <c r="J1" s="102">
        <v>6</v>
      </c>
      <c r="K1" s="102">
        <v>7</v>
      </c>
      <c r="L1" s="102">
        <v>8</v>
      </c>
      <c r="M1" s="102">
        <v>9</v>
      </c>
      <c r="N1" s="102">
        <v>10</v>
      </c>
      <c r="O1" s="102">
        <v>11</v>
      </c>
      <c r="P1" s="102">
        <v>12</v>
      </c>
      <c r="Q1" s="102">
        <v>13</v>
      </c>
      <c r="R1" s="102">
        <v>14</v>
      </c>
      <c r="S1" s="102">
        <v>15</v>
      </c>
      <c r="T1" s="102">
        <v>16</v>
      </c>
      <c r="U1" s="102">
        <v>17</v>
      </c>
      <c r="V1" s="102">
        <v>18</v>
      </c>
      <c r="W1" s="102">
        <v>19</v>
      </c>
      <c r="X1" s="102">
        <v>20</v>
      </c>
    </row>
    <row r="2" spans="1:27" ht="19.5" customHeight="1" thickBot="1">
      <c r="A2" s="98" t="s">
        <v>717</v>
      </c>
      <c r="B2" s="98" t="s">
        <v>115</v>
      </c>
      <c r="C2" s="97" t="s">
        <v>114</v>
      </c>
      <c r="D2" s="97" t="s">
        <v>113</v>
      </c>
      <c r="E2" s="96" t="s">
        <v>3373</v>
      </c>
      <c r="F2" s="96" t="s">
        <v>3374</v>
      </c>
      <c r="G2" s="96" t="s">
        <v>3375</v>
      </c>
      <c r="H2" s="96" t="s">
        <v>3376</v>
      </c>
      <c r="I2" s="96" t="s">
        <v>3377</v>
      </c>
      <c r="J2" s="96" t="s">
        <v>3378</v>
      </c>
      <c r="K2" s="96" t="s">
        <v>3379</v>
      </c>
      <c r="L2" s="96" t="s">
        <v>3380</v>
      </c>
      <c r="M2" s="96" t="s">
        <v>3381</v>
      </c>
      <c r="N2" s="96" t="s">
        <v>3382</v>
      </c>
      <c r="O2" s="96" t="s">
        <v>3383</v>
      </c>
      <c r="P2" s="96" t="s">
        <v>3384</v>
      </c>
      <c r="Q2" s="96" t="s">
        <v>3385</v>
      </c>
      <c r="R2" s="96" t="s">
        <v>3386</v>
      </c>
      <c r="S2" s="96" t="s">
        <v>3387</v>
      </c>
      <c r="T2" s="96" t="s">
        <v>3388</v>
      </c>
      <c r="U2" s="96" t="s">
        <v>3389</v>
      </c>
      <c r="V2" s="96" t="s">
        <v>3390</v>
      </c>
      <c r="W2" s="96" t="s">
        <v>3391</v>
      </c>
      <c r="X2" s="96" t="s">
        <v>3392</v>
      </c>
      <c r="Z2" s="96" t="s">
        <v>1560</v>
      </c>
    </row>
    <row r="3" spans="1:27" ht="19.5" customHeight="1">
      <c r="A3" s="77">
        <v>1</v>
      </c>
      <c r="B3" s="76" t="str">
        <f t="shared" ref="B3:B7" si="0">MID(IF(E3="","",CHAR(10)&amp;E3)&amp;IF(F3="","",CHAR(10)&amp;F3)&amp;IF(G3="","",CHAR(10)&amp;G3)&amp;IF(H3="","",CHAR(10)&amp;H3)&amp;IF(I3="","",CHAR(10)&amp;I3)&amp;IF(J3="","",CHAR(10)&amp;J3)&amp;IF(K3="","",CHAR(10)&amp;K3)&amp;IF(L3="","",CHAR(10)&amp;L3)&amp;IF(M3="","",CHAR(10)&amp;M3)&amp;IF(N3="","",CHAR(10)&amp;N3)&amp;IF(O3="","",CHAR(10)&amp;O3)&amp;IF(P3="","",CHAR(10)&amp;P3)&amp;IF(Q3="","",CHAR(10)&amp;Q3)&amp;IF(R3="","",CHAR(10)&amp;R3)&amp;IF(S3="","",CHAR(10)&amp;S3)&amp;IF(T3="","",CHAR(10)&amp;T3)&amp;IF(U3="","",CHAR(10)&amp;U3)&amp;IF(V3="","",CHAR(10)&amp;V3)&amp;IF(W3="","",CHAR(10)&amp;W3)&amp;IF(X3="","",CHAR(10)&amp;X3),2,30000)</f>
        <v/>
      </c>
      <c r="C3" s="75">
        <f t="shared" ref="C3:C22" si="1">COUNTIF(E3:X3,"http*")</f>
        <v>0</v>
      </c>
      <c r="D3" s="74" t="str">
        <f>IF(【１】キーワード!B2="","",【１】キーワード!B2)</f>
        <v>figma Lancer Altria Pendragon DX Edition Fate Grand Order Max Factory Japan Neu</v>
      </c>
      <c r="E3" s="95"/>
      <c r="F3" s="94"/>
      <c r="G3" s="94"/>
      <c r="H3" s="94"/>
      <c r="I3" s="93"/>
      <c r="J3" s="95"/>
      <c r="K3" s="94"/>
      <c r="L3" s="94"/>
      <c r="M3" s="94"/>
      <c r="N3" s="219"/>
      <c r="O3" s="95"/>
      <c r="P3" s="94"/>
      <c r="Q3" s="94"/>
      <c r="R3" s="94"/>
      <c r="S3" s="93"/>
      <c r="T3" s="220"/>
      <c r="U3" s="94"/>
      <c r="V3" s="94"/>
      <c r="W3" s="94"/>
      <c r="X3" s="93"/>
      <c r="Z3" s="68" t="s">
        <v>1572</v>
      </c>
      <c r="AA3" s="72"/>
    </row>
    <row r="4" spans="1:27">
      <c r="A4" s="77">
        <v>2</v>
      </c>
      <c r="B4" s="76" t="str">
        <f t="shared" si="0"/>
        <v/>
      </c>
      <c r="C4" s="75">
        <f t="shared" si="1"/>
        <v>0</v>
      </c>
      <c r="D4" s="74" t="str">
        <f>IF(【１】キーワード!B3="","",【１】キーワード!B3)</f>
        <v/>
      </c>
      <c r="E4" s="81"/>
      <c r="F4" s="79"/>
      <c r="G4" s="79"/>
      <c r="H4" s="79"/>
      <c r="I4" s="78"/>
      <c r="J4" s="81"/>
      <c r="K4" s="79"/>
      <c r="L4" s="79"/>
      <c r="M4" s="79"/>
      <c r="N4" s="82"/>
      <c r="O4" s="81"/>
      <c r="P4" s="79"/>
      <c r="Q4" s="79"/>
      <c r="R4" s="79"/>
      <c r="S4" s="78"/>
      <c r="T4" s="80"/>
      <c r="U4" s="79"/>
      <c r="V4" s="79"/>
      <c r="W4" s="79"/>
      <c r="X4" s="78"/>
      <c r="Z4" s="68" t="s">
        <v>1573</v>
      </c>
      <c r="AA4" s="72"/>
    </row>
    <row r="5" spans="1:27">
      <c r="A5" s="77">
        <v>3</v>
      </c>
      <c r="B5" s="76" t="str">
        <f t="shared" si="0"/>
        <v/>
      </c>
      <c r="C5" s="75">
        <f t="shared" si="1"/>
        <v>0</v>
      </c>
      <c r="D5" s="74" t="str">
        <f>IF(【１】キーワード!B4="","",【１】キーワード!B4)</f>
        <v/>
      </c>
      <c r="E5" s="81"/>
      <c r="F5" s="79"/>
      <c r="G5" s="79"/>
      <c r="H5" s="79"/>
      <c r="I5" s="78"/>
      <c r="J5" s="81"/>
      <c r="K5" s="79"/>
      <c r="L5" s="79"/>
      <c r="M5" s="79"/>
      <c r="N5" s="82"/>
      <c r="O5" s="81"/>
      <c r="P5" s="79"/>
      <c r="Q5" s="79"/>
      <c r="R5" s="79"/>
      <c r="S5" s="78"/>
      <c r="T5" s="80"/>
      <c r="U5" s="79"/>
      <c r="V5" s="79"/>
      <c r="W5" s="79"/>
      <c r="X5" s="78"/>
      <c r="Z5" s="68" t="s">
        <v>1574</v>
      </c>
      <c r="AA5" s="72"/>
    </row>
    <row r="6" spans="1:27">
      <c r="A6" s="77">
        <v>4</v>
      </c>
      <c r="B6" s="76" t="str">
        <f t="shared" si="0"/>
        <v/>
      </c>
      <c r="C6" s="75">
        <f t="shared" si="1"/>
        <v>0</v>
      </c>
      <c r="D6" s="74" t="str">
        <f>IF(【１】キーワード!B5="","",【１】キーワード!B5)</f>
        <v/>
      </c>
      <c r="E6" s="81"/>
      <c r="F6" s="79"/>
      <c r="G6" s="79"/>
      <c r="H6" s="79"/>
      <c r="I6" s="78"/>
      <c r="J6" s="81"/>
      <c r="K6" s="79"/>
      <c r="L6" s="79"/>
      <c r="M6" s="79"/>
      <c r="N6" s="82"/>
      <c r="O6" s="81"/>
      <c r="P6" s="79"/>
      <c r="Q6" s="79"/>
      <c r="R6" s="79"/>
      <c r="S6" s="78"/>
      <c r="T6" s="80"/>
      <c r="U6" s="79"/>
      <c r="V6" s="79"/>
      <c r="W6" s="79"/>
      <c r="X6" s="78"/>
      <c r="Z6" s="68" t="s">
        <v>1575</v>
      </c>
      <c r="AA6" s="72"/>
    </row>
    <row r="7" spans="1:27" ht="19.5" customHeight="1">
      <c r="A7" s="77">
        <v>5</v>
      </c>
      <c r="B7" s="76" t="str">
        <f t="shared" si="0"/>
        <v/>
      </c>
      <c r="C7" s="75">
        <f t="shared" si="1"/>
        <v>0</v>
      </c>
      <c r="D7" s="74" t="str">
        <f>IF(【１】キーワード!B6="","",【１】キーワード!B6)</f>
        <v/>
      </c>
      <c r="E7" s="91"/>
      <c r="F7" s="89"/>
      <c r="G7" s="89"/>
      <c r="H7" s="89"/>
      <c r="I7" s="88"/>
      <c r="J7" s="91"/>
      <c r="K7" s="89"/>
      <c r="L7" s="89"/>
      <c r="M7" s="89"/>
      <c r="N7" s="92"/>
      <c r="O7" s="91"/>
      <c r="P7" s="89"/>
      <c r="Q7" s="89"/>
      <c r="R7" s="89"/>
      <c r="S7" s="88"/>
      <c r="T7" s="90"/>
      <c r="U7" s="89"/>
      <c r="V7" s="89"/>
      <c r="W7" s="89"/>
      <c r="X7" s="88"/>
    </row>
    <row r="8" spans="1:27">
      <c r="A8" s="77">
        <v>6</v>
      </c>
      <c r="B8" s="76" t="str">
        <f t="shared" ref="B8:B22" si="2">MID(IF(E8="","",CHAR(10)&amp;E8)&amp;IF(F8="","",CHAR(10)&amp;F8)&amp;IF(G8="","",CHAR(10)&amp;G8)&amp;IF(H8="","",CHAR(10)&amp;H8)&amp;IF(I8="","",CHAR(10)&amp;I8)&amp;IF(J8="","",CHAR(10)&amp;J8)&amp;IF(K8="","",CHAR(10)&amp;K8)&amp;IF(L8="","",CHAR(10)&amp;L8)&amp;IF(M8="","",CHAR(10)&amp;M8)&amp;IF(N8="","",CHAR(10)&amp;N8)&amp;IF(O8="","",CHAR(10)&amp;O8)&amp;IF(P8="","",CHAR(10)&amp;P8)&amp;IF(Q8="","",CHAR(10)&amp;Q8)&amp;IF(R8="","",CHAR(10)&amp;R8)&amp;IF(S8="","",CHAR(10)&amp;S8)&amp;IF(T8="","",CHAR(10)&amp;T8)&amp;IF(U8="","",CHAR(10)&amp;U8)&amp;IF(V8="","",CHAR(10)&amp;V8)&amp;IF(W8="","",CHAR(10)&amp;W8)&amp;IF(X8="","",CHAR(10)&amp;X8),2,30000)</f>
        <v/>
      </c>
      <c r="C8" s="75">
        <f t="shared" si="1"/>
        <v>0</v>
      </c>
      <c r="D8" s="74" t="str">
        <f>IF(【１】キーワード!B7="","",【１】キーワード!B7)</f>
        <v/>
      </c>
      <c r="E8" s="81"/>
      <c r="F8" s="79"/>
      <c r="G8" s="79"/>
      <c r="H8" s="79"/>
      <c r="I8" s="78"/>
      <c r="J8" s="81"/>
      <c r="K8" s="79"/>
      <c r="L8" s="79"/>
      <c r="M8" s="79"/>
      <c r="N8" s="82"/>
      <c r="O8" s="81"/>
      <c r="P8" s="79"/>
      <c r="Q8" s="79"/>
      <c r="R8" s="79"/>
      <c r="S8" s="78"/>
      <c r="T8" s="80"/>
      <c r="U8" s="79"/>
      <c r="V8" s="79"/>
      <c r="W8" s="79"/>
      <c r="X8" s="78"/>
      <c r="Z8" s="96" t="s">
        <v>1561</v>
      </c>
    </row>
    <row r="9" spans="1:27">
      <c r="A9" s="77">
        <v>7</v>
      </c>
      <c r="B9" s="76" t="str">
        <f t="shared" si="2"/>
        <v/>
      </c>
      <c r="C9" s="75">
        <f t="shared" si="1"/>
        <v>0</v>
      </c>
      <c r="D9" s="74" t="str">
        <f>IF(【１】キーワード!B8="","",【１】キーワード!B8)</f>
        <v/>
      </c>
      <c r="E9" s="81"/>
      <c r="F9" s="79"/>
      <c r="G9" s="79"/>
      <c r="H9" s="79"/>
      <c r="I9" s="78"/>
      <c r="J9" s="81"/>
      <c r="K9" s="79"/>
      <c r="L9" s="79"/>
      <c r="M9" s="79"/>
      <c r="N9" s="82"/>
      <c r="O9" s="81"/>
      <c r="P9" s="79"/>
      <c r="Q9" s="79"/>
      <c r="R9" s="79"/>
      <c r="S9" s="78"/>
      <c r="T9" s="80"/>
      <c r="U9" s="79"/>
      <c r="V9" s="79"/>
      <c r="W9" s="79"/>
      <c r="X9" s="78"/>
      <c r="Z9" s="68" t="s">
        <v>1572</v>
      </c>
      <c r="AA9" s="72"/>
    </row>
    <row r="10" spans="1:27">
      <c r="A10" s="77">
        <v>8</v>
      </c>
      <c r="B10" s="76" t="str">
        <f t="shared" si="2"/>
        <v/>
      </c>
      <c r="C10" s="75">
        <f t="shared" si="1"/>
        <v>0</v>
      </c>
      <c r="D10" s="74" t="str">
        <f>IF(【１】キーワード!B9="","",【１】キーワード!B9)</f>
        <v/>
      </c>
      <c r="E10" s="81"/>
      <c r="F10" s="79"/>
      <c r="G10" s="79"/>
      <c r="H10" s="79"/>
      <c r="I10" s="78"/>
      <c r="J10" s="81"/>
      <c r="K10" s="79"/>
      <c r="L10" s="79"/>
      <c r="M10" s="79"/>
      <c r="N10" s="82"/>
      <c r="O10" s="81"/>
      <c r="P10" s="79"/>
      <c r="Q10" s="79"/>
      <c r="R10" s="79"/>
      <c r="S10" s="78"/>
      <c r="T10" s="80"/>
      <c r="U10" s="79"/>
      <c r="V10" s="79"/>
      <c r="W10" s="79"/>
      <c r="X10" s="78"/>
      <c r="Z10" s="68" t="s">
        <v>1573</v>
      </c>
      <c r="AA10" s="72"/>
    </row>
    <row r="11" spans="1:27">
      <c r="A11" s="77">
        <v>9</v>
      </c>
      <c r="B11" s="76" t="str">
        <f t="shared" si="2"/>
        <v/>
      </c>
      <c r="C11" s="75">
        <f t="shared" si="1"/>
        <v>0</v>
      </c>
      <c r="D11" s="74" t="str">
        <f>IF(【１】キーワード!B10="","",【１】キーワード!B10)</f>
        <v/>
      </c>
      <c r="E11" s="81"/>
      <c r="F11" s="79"/>
      <c r="G11" s="79"/>
      <c r="H11" s="79"/>
      <c r="I11" s="78"/>
      <c r="J11" s="81"/>
      <c r="K11" s="79"/>
      <c r="L11" s="79"/>
      <c r="M11" s="79"/>
      <c r="N11" s="82"/>
      <c r="O11" s="81"/>
      <c r="P11" s="79"/>
      <c r="Q11" s="79"/>
      <c r="R11" s="79"/>
      <c r="S11" s="78"/>
      <c r="T11" s="80"/>
      <c r="U11" s="79"/>
      <c r="V11" s="79"/>
      <c r="W11" s="79"/>
      <c r="X11" s="78"/>
      <c r="Z11" s="68" t="s">
        <v>1574</v>
      </c>
      <c r="AA11" s="72"/>
    </row>
    <row r="12" spans="1:27" ht="19.5" customHeight="1">
      <c r="A12" s="77">
        <v>10</v>
      </c>
      <c r="B12" s="76" t="str">
        <f t="shared" si="2"/>
        <v/>
      </c>
      <c r="C12" s="75">
        <f t="shared" si="1"/>
        <v>0</v>
      </c>
      <c r="D12" s="74" t="str">
        <f>IF(【１】キーワード!B11="","",【１】キーワード!B11)</f>
        <v/>
      </c>
      <c r="E12" s="91"/>
      <c r="F12" s="89"/>
      <c r="G12" s="89"/>
      <c r="H12" s="89"/>
      <c r="I12" s="88"/>
      <c r="J12" s="91"/>
      <c r="K12" s="89"/>
      <c r="L12" s="89"/>
      <c r="M12" s="89"/>
      <c r="N12" s="92"/>
      <c r="O12" s="91"/>
      <c r="P12" s="89"/>
      <c r="Q12" s="89"/>
      <c r="R12" s="89"/>
      <c r="S12" s="88"/>
      <c r="T12" s="90"/>
      <c r="U12" s="89"/>
      <c r="V12" s="89"/>
      <c r="W12" s="89"/>
      <c r="X12" s="88"/>
      <c r="Z12" s="68" t="s">
        <v>1575</v>
      </c>
      <c r="AA12" s="72"/>
    </row>
    <row r="13" spans="1:27">
      <c r="A13" s="77">
        <v>11</v>
      </c>
      <c r="B13" s="76" t="str">
        <f t="shared" si="2"/>
        <v/>
      </c>
      <c r="C13" s="75">
        <f t="shared" si="1"/>
        <v>0</v>
      </c>
      <c r="D13" s="74" t="str">
        <f>IF(【１】キーワード!B12="","",【１】キーワード!B12)</f>
        <v/>
      </c>
      <c r="E13" s="81"/>
      <c r="F13" s="79"/>
      <c r="G13" s="79"/>
      <c r="H13" s="79"/>
      <c r="I13" s="78"/>
      <c r="J13" s="81"/>
      <c r="K13" s="79"/>
      <c r="L13" s="79"/>
      <c r="M13" s="79"/>
      <c r="N13" s="82"/>
      <c r="O13" s="81"/>
      <c r="P13" s="79"/>
      <c r="Q13" s="79"/>
      <c r="R13" s="79"/>
      <c r="S13" s="78"/>
      <c r="T13" s="80"/>
      <c r="U13" s="79"/>
      <c r="V13" s="79"/>
      <c r="W13" s="79"/>
      <c r="X13" s="78"/>
    </row>
    <row r="14" spans="1:27">
      <c r="A14" s="77">
        <v>12</v>
      </c>
      <c r="B14" s="76" t="str">
        <f t="shared" si="2"/>
        <v/>
      </c>
      <c r="C14" s="75">
        <f t="shared" si="1"/>
        <v>0</v>
      </c>
      <c r="D14" s="74" t="str">
        <f>IF(【１】キーワード!B13="","",【１】キーワード!B13)</f>
        <v/>
      </c>
      <c r="E14" s="81"/>
      <c r="F14" s="79"/>
      <c r="G14" s="79"/>
      <c r="H14" s="79"/>
      <c r="I14" s="78"/>
      <c r="J14" s="81"/>
      <c r="K14" s="79"/>
      <c r="L14" s="79"/>
      <c r="M14" s="79"/>
      <c r="N14" s="82"/>
      <c r="O14" s="81"/>
      <c r="P14" s="79"/>
      <c r="Q14" s="79"/>
      <c r="R14" s="79"/>
      <c r="S14" s="78"/>
      <c r="T14" s="80"/>
      <c r="U14" s="79"/>
      <c r="V14" s="79"/>
      <c r="W14" s="79"/>
      <c r="X14" s="78"/>
      <c r="Z14" s="96" t="s">
        <v>1562</v>
      </c>
    </row>
    <row r="15" spans="1:27">
      <c r="A15" s="77">
        <v>13</v>
      </c>
      <c r="B15" s="76" t="str">
        <f t="shared" si="2"/>
        <v/>
      </c>
      <c r="C15" s="75">
        <f t="shared" si="1"/>
        <v>0</v>
      </c>
      <c r="D15" s="74" t="str">
        <f>IF(【１】キーワード!B14="","",【１】キーワード!B14)</f>
        <v/>
      </c>
      <c r="E15" s="81"/>
      <c r="F15" s="79"/>
      <c r="G15" s="79"/>
      <c r="H15" s="79"/>
      <c r="I15" s="78"/>
      <c r="J15" s="81"/>
      <c r="K15" s="79"/>
      <c r="L15" s="79"/>
      <c r="M15" s="79"/>
      <c r="N15" s="82"/>
      <c r="O15" s="81"/>
      <c r="P15" s="79"/>
      <c r="Q15" s="79"/>
      <c r="R15" s="79"/>
      <c r="S15" s="78"/>
      <c r="T15" s="80"/>
      <c r="U15" s="79"/>
      <c r="V15" s="79"/>
      <c r="W15" s="79"/>
      <c r="X15" s="78"/>
      <c r="Z15" s="68" t="s">
        <v>1572</v>
      </c>
      <c r="AA15" s="72"/>
    </row>
    <row r="16" spans="1:27">
      <c r="A16" s="77">
        <v>14</v>
      </c>
      <c r="B16" s="76" t="str">
        <f t="shared" si="2"/>
        <v/>
      </c>
      <c r="C16" s="75">
        <f t="shared" si="1"/>
        <v>0</v>
      </c>
      <c r="D16" s="74" t="str">
        <f>IF(【１】キーワード!B15="","",【１】キーワード!B15)</f>
        <v/>
      </c>
      <c r="E16" s="81"/>
      <c r="F16" s="79"/>
      <c r="G16" s="79"/>
      <c r="H16" s="79"/>
      <c r="I16" s="78"/>
      <c r="J16" s="81"/>
      <c r="K16" s="79"/>
      <c r="L16" s="79"/>
      <c r="M16" s="79"/>
      <c r="N16" s="82"/>
      <c r="O16" s="81"/>
      <c r="P16" s="79"/>
      <c r="Q16" s="79"/>
      <c r="R16" s="79"/>
      <c r="S16" s="78"/>
      <c r="T16" s="80"/>
      <c r="U16" s="79"/>
      <c r="V16" s="79"/>
      <c r="W16" s="79"/>
      <c r="X16" s="78"/>
      <c r="Z16" s="68" t="s">
        <v>1573</v>
      </c>
      <c r="AA16" s="72"/>
    </row>
    <row r="17" spans="1:27" ht="19.5" customHeight="1">
      <c r="A17" s="77">
        <v>15</v>
      </c>
      <c r="B17" s="76" t="str">
        <f t="shared" si="2"/>
        <v/>
      </c>
      <c r="C17" s="75">
        <f t="shared" si="1"/>
        <v>0</v>
      </c>
      <c r="D17" s="74" t="str">
        <f>IF(【１】キーワード!B16="","",【１】キーワード!B16)</f>
        <v/>
      </c>
      <c r="E17" s="81"/>
      <c r="F17" s="79"/>
      <c r="G17" s="79"/>
      <c r="H17" s="79"/>
      <c r="I17" s="78"/>
      <c r="J17" s="81"/>
      <c r="K17" s="79"/>
      <c r="L17" s="79"/>
      <c r="M17" s="79"/>
      <c r="N17" s="82"/>
      <c r="O17" s="81"/>
      <c r="P17" s="79"/>
      <c r="Q17" s="79"/>
      <c r="R17" s="79"/>
      <c r="S17" s="78"/>
      <c r="T17" s="80"/>
      <c r="U17" s="79"/>
      <c r="V17" s="79"/>
      <c r="W17" s="79"/>
      <c r="X17" s="78"/>
      <c r="Z17" s="68" t="s">
        <v>1574</v>
      </c>
      <c r="AA17" s="72"/>
    </row>
    <row r="18" spans="1:27">
      <c r="A18" s="77">
        <v>16</v>
      </c>
      <c r="B18" s="76" t="str">
        <f t="shared" si="2"/>
        <v/>
      </c>
      <c r="C18" s="75">
        <f t="shared" si="1"/>
        <v>0</v>
      </c>
      <c r="D18" s="74" t="str">
        <f>IF(【１】キーワード!B17="","",【１】キーワード!B17)</f>
        <v/>
      </c>
      <c r="E18" s="86"/>
      <c r="F18" s="84"/>
      <c r="G18" s="84"/>
      <c r="H18" s="84"/>
      <c r="I18" s="83"/>
      <c r="J18" s="86"/>
      <c r="K18" s="84"/>
      <c r="L18" s="84"/>
      <c r="M18" s="84"/>
      <c r="N18" s="87"/>
      <c r="O18" s="86"/>
      <c r="P18" s="84"/>
      <c r="Q18" s="84"/>
      <c r="R18" s="84"/>
      <c r="S18" s="83"/>
      <c r="T18" s="85"/>
      <c r="U18" s="84"/>
      <c r="V18" s="84"/>
      <c r="W18" s="84"/>
      <c r="X18" s="83"/>
      <c r="Z18" s="68" t="s">
        <v>1575</v>
      </c>
      <c r="AA18" s="72"/>
    </row>
    <row r="19" spans="1:27">
      <c r="A19" s="77">
        <v>17</v>
      </c>
      <c r="B19" s="76" t="str">
        <f t="shared" si="2"/>
        <v/>
      </c>
      <c r="C19" s="75">
        <f t="shared" si="1"/>
        <v>0</v>
      </c>
      <c r="D19" s="74" t="str">
        <f>IF(【１】キーワード!B18="","",【１】キーワード!B18)</f>
        <v/>
      </c>
      <c r="E19" s="81"/>
      <c r="F19" s="79"/>
      <c r="G19" s="79"/>
      <c r="H19" s="79"/>
      <c r="I19" s="78"/>
      <c r="J19" s="81"/>
      <c r="K19" s="79"/>
      <c r="L19" s="79"/>
      <c r="M19" s="79"/>
      <c r="N19" s="82"/>
      <c r="O19" s="81"/>
      <c r="P19" s="79"/>
      <c r="Q19" s="79"/>
      <c r="R19" s="79"/>
      <c r="S19" s="78"/>
      <c r="T19" s="80"/>
      <c r="U19" s="79"/>
      <c r="V19" s="79"/>
      <c r="W19" s="79"/>
      <c r="X19" s="78"/>
    </row>
    <row r="20" spans="1:27">
      <c r="A20" s="77">
        <v>18</v>
      </c>
      <c r="B20" s="76" t="str">
        <f t="shared" si="2"/>
        <v/>
      </c>
      <c r="C20" s="75">
        <f t="shared" si="1"/>
        <v>0</v>
      </c>
      <c r="D20" s="74" t="str">
        <f>IF(【１】キーワード!B19="","",【１】キーワード!B19)</f>
        <v/>
      </c>
      <c r="E20" s="81"/>
      <c r="F20" s="79"/>
      <c r="G20" s="79"/>
      <c r="H20" s="79"/>
      <c r="I20" s="78"/>
      <c r="J20" s="81"/>
      <c r="K20" s="79"/>
      <c r="L20" s="79"/>
      <c r="M20" s="79"/>
      <c r="N20" s="82"/>
      <c r="O20" s="81"/>
      <c r="P20" s="79"/>
      <c r="Q20" s="79"/>
      <c r="R20" s="79"/>
      <c r="S20" s="78"/>
      <c r="T20" s="80"/>
      <c r="U20" s="79"/>
      <c r="V20" s="79"/>
      <c r="W20" s="79"/>
      <c r="X20" s="78"/>
      <c r="Z20" s="96" t="s">
        <v>1563</v>
      </c>
    </row>
    <row r="21" spans="1:27">
      <c r="A21" s="77">
        <v>19</v>
      </c>
      <c r="B21" s="76" t="str">
        <f t="shared" si="2"/>
        <v/>
      </c>
      <c r="C21" s="75">
        <f t="shared" si="1"/>
        <v>0</v>
      </c>
      <c r="D21" s="74" t="str">
        <f>IF(【１】キーワード!B20="","",【１】キーワード!B20)</f>
        <v/>
      </c>
      <c r="E21" s="81"/>
      <c r="F21" s="79"/>
      <c r="G21" s="79"/>
      <c r="H21" s="79"/>
      <c r="I21" s="78"/>
      <c r="J21" s="81"/>
      <c r="K21" s="79"/>
      <c r="L21" s="79"/>
      <c r="M21" s="79"/>
      <c r="N21" s="82"/>
      <c r="O21" s="81"/>
      <c r="P21" s="79"/>
      <c r="Q21" s="79"/>
      <c r="R21" s="79"/>
      <c r="S21" s="78"/>
      <c r="T21" s="80"/>
      <c r="U21" s="79"/>
      <c r="V21" s="79"/>
      <c r="W21" s="79"/>
      <c r="X21" s="78"/>
      <c r="Z21" s="68" t="s">
        <v>1572</v>
      </c>
      <c r="AA21" s="72"/>
    </row>
    <row r="22" spans="1:27" ht="19.5" customHeight="1" thickBot="1">
      <c r="A22" s="77">
        <v>20</v>
      </c>
      <c r="B22" s="76" t="str">
        <f t="shared" si="2"/>
        <v/>
      </c>
      <c r="C22" s="75">
        <f t="shared" si="1"/>
        <v>0</v>
      </c>
      <c r="D22" s="74" t="str">
        <f>IF(【１】キーワード!B21="","",【１】キーワード!B21)</f>
        <v/>
      </c>
      <c r="E22" s="72"/>
      <c r="F22" s="70"/>
      <c r="G22" s="70"/>
      <c r="H22" s="70"/>
      <c r="I22" s="69"/>
      <c r="J22" s="72"/>
      <c r="K22" s="70"/>
      <c r="L22" s="70"/>
      <c r="M22" s="70"/>
      <c r="N22" s="73"/>
      <c r="O22" s="72"/>
      <c r="P22" s="70"/>
      <c r="Q22" s="70"/>
      <c r="R22" s="70"/>
      <c r="S22" s="69"/>
      <c r="T22" s="71"/>
      <c r="U22" s="70"/>
      <c r="V22" s="70"/>
      <c r="W22" s="70"/>
      <c r="X22" s="69"/>
      <c r="Z22" s="68" t="s">
        <v>1573</v>
      </c>
      <c r="AA22" s="72"/>
    </row>
    <row r="23" spans="1:27">
      <c r="Z23" s="68" t="s">
        <v>1574</v>
      </c>
      <c r="AA23" s="72"/>
    </row>
    <row r="24" spans="1:27">
      <c r="Z24" s="68" t="s">
        <v>1575</v>
      </c>
      <c r="AA24" s="72"/>
    </row>
    <row r="26" spans="1:27">
      <c r="Z26" s="96" t="s">
        <v>1564</v>
      </c>
    </row>
    <row r="27" spans="1:27">
      <c r="Z27" s="68" t="s">
        <v>1572</v>
      </c>
      <c r="AA27" s="72"/>
    </row>
    <row r="28" spans="1:27">
      <c r="Z28" s="68" t="s">
        <v>1573</v>
      </c>
      <c r="AA28" s="72"/>
    </row>
    <row r="29" spans="1:27">
      <c r="Z29" s="68" t="s">
        <v>1574</v>
      </c>
      <c r="AA29" s="72"/>
    </row>
    <row r="30" spans="1:27">
      <c r="Z30" s="68" t="s">
        <v>1575</v>
      </c>
      <c r="AA30" s="72"/>
    </row>
    <row r="32" spans="1:27">
      <c r="Z32" s="96" t="s">
        <v>1565</v>
      </c>
    </row>
    <row r="33" spans="26:27">
      <c r="Z33" s="68" t="s">
        <v>1572</v>
      </c>
      <c r="AA33" s="72"/>
    </row>
    <row r="34" spans="26:27">
      <c r="Z34" s="68" t="s">
        <v>1573</v>
      </c>
      <c r="AA34" s="72"/>
    </row>
    <row r="35" spans="26:27">
      <c r="Z35" s="68" t="s">
        <v>1574</v>
      </c>
      <c r="AA35" s="72"/>
    </row>
    <row r="36" spans="26:27">
      <c r="Z36" s="68" t="s">
        <v>1575</v>
      </c>
      <c r="AA36" s="72"/>
    </row>
    <row r="38" spans="26:27">
      <c r="Z38" s="96" t="s">
        <v>1566</v>
      </c>
    </row>
    <row r="39" spans="26:27">
      <c r="Z39" s="68" t="s">
        <v>1572</v>
      </c>
      <c r="AA39" s="72"/>
    </row>
    <row r="40" spans="26:27">
      <c r="Z40" s="68" t="s">
        <v>1573</v>
      </c>
      <c r="AA40" s="72"/>
    </row>
    <row r="41" spans="26:27">
      <c r="Z41" s="68" t="s">
        <v>1574</v>
      </c>
      <c r="AA41" s="72"/>
    </row>
    <row r="42" spans="26:27">
      <c r="Z42" s="68" t="s">
        <v>1575</v>
      </c>
      <c r="AA42" s="72"/>
    </row>
    <row r="44" spans="26:27">
      <c r="Z44" s="96" t="s">
        <v>1567</v>
      </c>
    </row>
    <row r="45" spans="26:27">
      <c r="Z45" s="68" t="s">
        <v>1572</v>
      </c>
      <c r="AA45" s="72"/>
    </row>
    <row r="46" spans="26:27">
      <c r="Z46" s="68" t="s">
        <v>1573</v>
      </c>
      <c r="AA46" s="72"/>
    </row>
    <row r="47" spans="26:27">
      <c r="Z47" s="68" t="s">
        <v>1574</v>
      </c>
      <c r="AA47" s="72"/>
    </row>
    <row r="48" spans="26:27">
      <c r="Z48" s="68" t="s">
        <v>1575</v>
      </c>
      <c r="AA48" s="72"/>
    </row>
    <row r="50" spans="26:27">
      <c r="Z50" s="96" t="s">
        <v>1568</v>
      </c>
    </row>
    <row r="51" spans="26:27">
      <c r="Z51" s="68" t="s">
        <v>1572</v>
      </c>
      <c r="AA51" s="72"/>
    </row>
    <row r="52" spans="26:27">
      <c r="Z52" s="68" t="s">
        <v>1573</v>
      </c>
      <c r="AA52" s="72"/>
    </row>
    <row r="53" spans="26:27">
      <c r="Z53" s="68" t="s">
        <v>1574</v>
      </c>
      <c r="AA53" s="72"/>
    </row>
    <row r="54" spans="26:27">
      <c r="Z54" s="68" t="s">
        <v>1575</v>
      </c>
      <c r="AA54" s="72"/>
    </row>
    <row r="56" spans="26:27" ht="19.5">
      <c r="Z56" s="96" t="s">
        <v>1569</v>
      </c>
    </row>
    <row r="57" spans="26:27">
      <c r="Z57" s="68" t="s">
        <v>1572</v>
      </c>
      <c r="AA57" s="72"/>
    </row>
    <row r="58" spans="26:27">
      <c r="Z58" s="68" t="s">
        <v>1573</v>
      </c>
      <c r="AA58" s="72"/>
    </row>
    <row r="59" spans="26:27">
      <c r="Z59" s="68" t="s">
        <v>1574</v>
      </c>
      <c r="AA59" s="72"/>
    </row>
    <row r="60" spans="26:27">
      <c r="Z60" s="68" t="s">
        <v>1575</v>
      </c>
      <c r="AA60" s="72"/>
    </row>
    <row r="62" spans="26:27" ht="19.5">
      <c r="Z62" s="96" t="s">
        <v>1632</v>
      </c>
    </row>
    <row r="63" spans="26:27">
      <c r="Z63" s="68" t="s">
        <v>1572</v>
      </c>
    </row>
    <row r="64" spans="26:27">
      <c r="Z64" s="68" t="s">
        <v>1573</v>
      </c>
    </row>
    <row r="65" spans="26:26">
      <c r="Z65" s="68" t="s">
        <v>1574</v>
      </c>
    </row>
    <row r="66" spans="26:26">
      <c r="Z66" s="68" t="s">
        <v>1575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F8EA-F657-44BD-9446-80DE53C2812A}">
  <dimension ref="A1:AG400"/>
  <sheetViews>
    <sheetView topLeftCell="F92" zoomScaleNormal="100" workbookViewId="0">
      <selection activeCell="N106" sqref="N2:S106"/>
    </sheetView>
  </sheetViews>
  <sheetFormatPr defaultRowHeight="18.75"/>
  <cols>
    <col min="1" max="1" width="9" style="106"/>
    <col min="2" max="2" width="13.75" style="32" customWidth="1"/>
    <col min="3" max="3" width="9" style="112" bestFit="1" customWidth="1"/>
    <col min="4" max="4" width="13.75" style="56" customWidth="1"/>
    <col min="5" max="5" width="137.625" style="38" bestFit="1" customWidth="1"/>
    <col min="6" max="6" width="48.125" style="11" bestFit="1" customWidth="1"/>
    <col min="7" max="7" width="17.875" style="11" customWidth="1"/>
    <col min="8" max="12" width="10.125" style="24" customWidth="1"/>
    <col min="13" max="13" width="12.875" style="26" bestFit="1" customWidth="1"/>
    <col min="14" max="14" width="5.875" style="109" customWidth="1"/>
    <col min="15" max="18" width="5.875" style="27" customWidth="1"/>
    <col min="19" max="19" width="16.625" style="27" customWidth="1"/>
    <col min="20" max="20" width="8" style="50" hidden="1" customWidth="1"/>
    <col min="21" max="21" width="8.75" style="50" hidden="1" customWidth="1"/>
    <col min="22" max="22" width="8.875" style="50" hidden="1" customWidth="1"/>
    <col min="23" max="23" width="7.625" style="50" hidden="1" customWidth="1"/>
    <col min="24" max="24" width="9.5" style="50" customWidth="1"/>
    <col min="25" max="25" width="8.625" style="50" customWidth="1"/>
    <col min="26" max="26" width="10" style="60" customWidth="1"/>
    <col min="27" max="27" width="10" style="61" bestFit="1" customWidth="1"/>
    <col min="28" max="28" width="9.625" style="61" customWidth="1"/>
    <col min="29" max="30" width="9.625" style="65" customWidth="1"/>
    <col min="31" max="31" width="9.625" style="66" customWidth="1"/>
  </cols>
  <sheetData>
    <row r="1" spans="1:33" ht="75">
      <c r="A1" s="103"/>
      <c r="B1" s="18" t="s">
        <v>62</v>
      </c>
      <c r="C1" s="111" t="s">
        <v>718</v>
      </c>
      <c r="D1" s="37" t="s">
        <v>109</v>
      </c>
      <c r="E1" s="37" t="s">
        <v>86</v>
      </c>
      <c r="F1" s="19" t="s">
        <v>63</v>
      </c>
      <c r="G1" s="19" t="s">
        <v>64</v>
      </c>
      <c r="H1" s="39" t="s">
        <v>87</v>
      </c>
      <c r="I1" s="39" t="s">
        <v>88</v>
      </c>
      <c r="J1" s="39" t="s">
        <v>89</v>
      </c>
      <c r="K1" s="39" t="s">
        <v>90</v>
      </c>
      <c r="L1" s="39" t="s">
        <v>94</v>
      </c>
      <c r="M1" s="25" t="s">
        <v>70</v>
      </c>
      <c r="N1" s="110" t="s">
        <v>76</v>
      </c>
      <c r="O1" s="34" t="s">
        <v>77</v>
      </c>
      <c r="P1" s="34" t="s">
        <v>78</v>
      </c>
      <c r="Q1" s="34" t="s">
        <v>79</v>
      </c>
      <c r="R1" s="34" t="s">
        <v>80</v>
      </c>
      <c r="S1" s="34" t="s">
        <v>81</v>
      </c>
      <c r="T1" s="48" t="s">
        <v>66</v>
      </c>
      <c r="U1" s="48" t="s">
        <v>67</v>
      </c>
      <c r="V1" s="48" t="s">
        <v>68</v>
      </c>
      <c r="W1" s="49" t="s">
        <v>69</v>
      </c>
      <c r="X1" s="48" t="s">
        <v>70</v>
      </c>
      <c r="Y1" s="48" t="s">
        <v>72</v>
      </c>
      <c r="Z1" s="58" t="s">
        <v>75</v>
      </c>
      <c r="AA1" s="63" t="s">
        <v>73</v>
      </c>
      <c r="AB1" s="63" t="s">
        <v>74</v>
      </c>
      <c r="AC1" s="64" t="s">
        <v>110</v>
      </c>
      <c r="AD1" s="64" t="s">
        <v>111</v>
      </c>
      <c r="AE1" s="67" t="s">
        <v>112</v>
      </c>
      <c r="AG1" t="s">
        <v>65</v>
      </c>
    </row>
    <row r="2" spans="1:33">
      <c r="A2" s="104" t="s">
        <v>185</v>
      </c>
      <c r="B2" s="230">
        <f>【２】結果!E3</f>
        <v>0</v>
      </c>
      <c r="C2" s="113"/>
      <c r="D2" s="57"/>
      <c r="E2" s="43"/>
      <c r="F2" s="20"/>
      <c r="G2" s="36"/>
      <c r="H2" s="40"/>
      <c r="I2" s="40"/>
      <c r="J2" s="40"/>
      <c r="K2" s="40"/>
      <c r="L2" s="40"/>
      <c r="M2" s="29"/>
      <c r="N2" s="107"/>
      <c r="O2" s="28"/>
      <c r="P2" s="28"/>
      <c r="Q2" s="28"/>
      <c r="R2" s="28"/>
      <c r="S2" s="28"/>
      <c r="T2" s="51">
        <f>O2</f>
        <v>0</v>
      </c>
      <c r="U2" s="51">
        <f>(P2*Q2*R2)/5000</f>
        <v>0</v>
      </c>
      <c r="V2" s="51">
        <f>MAX(T2,U2)</f>
        <v>0</v>
      </c>
      <c r="W2" s="52">
        <f>CEILING(ROUNDDOWN(V2,2),0.5)</f>
        <v>0</v>
      </c>
      <c r="X2" s="51" t="e">
        <f>VLOOKUP(W2,送料!$J$3:$K$42,2,FALSE)</f>
        <v>#N/A</v>
      </c>
      <c r="Y2" s="51" t="e">
        <f>VLOOKUP(X2,送料!$A$1:$B$40,2,FALSE)</f>
        <v>#N/A</v>
      </c>
      <c r="Z2" s="59">
        <f t="shared" ref="Z2" si="0">(N2*S2)*0.16</f>
        <v>0</v>
      </c>
      <c r="AA2" s="62">
        <f t="shared" ref="AA2" si="1">(N2*0.15)+4.5</f>
        <v>4.5</v>
      </c>
      <c r="AB2" s="62">
        <f>S2*AA2</f>
        <v>0</v>
      </c>
      <c r="AC2" s="65" t="e">
        <f t="shared" ref="AC2:AC65" si="2">Y2+Z2+AB2+D2</f>
        <v>#N/A</v>
      </c>
      <c r="AD2" s="65">
        <f>N2*S2</f>
        <v>0</v>
      </c>
      <c r="AE2" s="66" t="e">
        <f>AD2-AC2</f>
        <v>#N/A</v>
      </c>
    </row>
    <row r="3" spans="1:33">
      <c r="A3" s="105" t="s">
        <v>186</v>
      </c>
      <c r="B3" s="231">
        <f>【２】結果!F3</f>
        <v>0</v>
      </c>
      <c r="C3" s="114"/>
      <c r="D3" s="55"/>
      <c r="E3" s="44"/>
      <c r="F3" s="21"/>
      <c r="G3" s="22"/>
      <c r="H3" s="41"/>
      <c r="I3" s="41"/>
      <c r="J3" s="41"/>
      <c r="K3" s="41"/>
      <c r="L3" s="41"/>
      <c r="M3" s="31"/>
      <c r="N3" s="108"/>
      <c r="O3" s="30"/>
      <c r="P3" s="30"/>
      <c r="Q3" s="30"/>
      <c r="R3" s="30"/>
      <c r="S3" s="30"/>
      <c r="T3" s="53">
        <f t="shared" ref="T3:T66" si="3">O3</f>
        <v>0</v>
      </c>
      <c r="U3" s="53">
        <f t="shared" ref="U3:U66" si="4">(P3*Q3*R3)/5000</f>
        <v>0</v>
      </c>
      <c r="V3" s="53">
        <f t="shared" ref="V3:V66" si="5">MAX(T3,U3)</f>
        <v>0</v>
      </c>
      <c r="W3" s="54">
        <f>CEILING(ROUNDDOWN(V3,2),0.5)</f>
        <v>0</v>
      </c>
      <c r="X3" s="51" t="e">
        <f>VLOOKUP(W3,送料!$J$3:$K$42,2,FALSE)</f>
        <v>#N/A</v>
      </c>
      <c r="Y3" s="51" t="e">
        <f>VLOOKUP(X3,送料!$A$1:$B$40,2,FALSE)</f>
        <v>#N/A</v>
      </c>
      <c r="Z3" s="59">
        <f t="shared" ref="Z3:Z27" si="6">(N3*S3)*0.16</f>
        <v>0</v>
      </c>
      <c r="AA3" s="62">
        <f t="shared" ref="AA3:AA27" si="7">(N3*0.15)+4.5</f>
        <v>4.5</v>
      </c>
      <c r="AB3" s="62">
        <f t="shared" ref="AB3:AB27" si="8">S3*AA3</f>
        <v>0</v>
      </c>
      <c r="AC3" s="65" t="e">
        <f t="shared" si="2"/>
        <v>#N/A</v>
      </c>
      <c r="AD3" s="65">
        <f t="shared" ref="AD3:AD27" si="9">N3*S3</f>
        <v>0</v>
      </c>
      <c r="AE3" s="66" t="e">
        <f t="shared" ref="AE3:AE27" si="10">AD3-AC3</f>
        <v>#N/A</v>
      </c>
    </row>
    <row r="4" spans="1:33">
      <c r="A4" s="105" t="s">
        <v>189</v>
      </c>
      <c r="B4" s="231">
        <f>【２】結果!G3</f>
        <v>0</v>
      </c>
      <c r="C4" s="114"/>
      <c r="D4" s="55"/>
      <c r="E4" s="44"/>
      <c r="F4" s="21"/>
      <c r="G4" s="21"/>
      <c r="H4" s="42"/>
      <c r="I4" s="42"/>
      <c r="J4" s="42"/>
      <c r="K4" s="42"/>
      <c r="L4" s="42"/>
      <c r="M4" s="31"/>
      <c r="N4" s="108"/>
      <c r="O4" s="30"/>
      <c r="P4" s="30"/>
      <c r="Q4" s="30"/>
      <c r="R4" s="30"/>
      <c r="S4" s="30"/>
      <c r="T4" s="53">
        <f t="shared" si="3"/>
        <v>0</v>
      </c>
      <c r="U4" s="53">
        <f t="shared" si="4"/>
        <v>0</v>
      </c>
      <c r="V4" s="53">
        <f t="shared" si="5"/>
        <v>0</v>
      </c>
      <c r="W4" s="54">
        <f t="shared" ref="W4:W7" si="11">CEILING(ROUNDDOWN(V4,2),0.5)</f>
        <v>0</v>
      </c>
      <c r="X4" s="51" t="e">
        <f>VLOOKUP(W4,送料!$J$3:$K$42,2,FALSE)</f>
        <v>#N/A</v>
      </c>
      <c r="Y4" s="51" t="e">
        <f>VLOOKUP(X4,送料!$A$1:$B$40,2,FALSE)</f>
        <v>#N/A</v>
      </c>
      <c r="Z4" s="59">
        <f t="shared" si="6"/>
        <v>0</v>
      </c>
      <c r="AA4" s="62">
        <f t="shared" si="7"/>
        <v>4.5</v>
      </c>
      <c r="AB4" s="62">
        <f t="shared" si="8"/>
        <v>0</v>
      </c>
      <c r="AC4" s="65" t="e">
        <f t="shared" si="2"/>
        <v>#N/A</v>
      </c>
      <c r="AD4" s="65">
        <f t="shared" si="9"/>
        <v>0</v>
      </c>
      <c r="AE4" s="66" t="e">
        <f t="shared" si="10"/>
        <v>#N/A</v>
      </c>
    </row>
    <row r="5" spans="1:33">
      <c r="A5" s="105" t="s">
        <v>187</v>
      </c>
      <c r="B5" s="231">
        <f>【２】結果!H3</f>
        <v>0</v>
      </c>
      <c r="C5" s="114"/>
      <c r="D5" s="55"/>
      <c r="E5" s="44"/>
      <c r="F5" s="21"/>
      <c r="G5" s="21"/>
      <c r="H5" s="42"/>
      <c r="I5" s="42"/>
      <c r="J5" s="42"/>
      <c r="K5" s="42"/>
      <c r="L5" s="42"/>
      <c r="M5" s="31"/>
      <c r="N5" s="108"/>
      <c r="O5" s="30"/>
      <c r="P5" s="30"/>
      <c r="Q5" s="30"/>
      <c r="R5" s="30"/>
      <c r="S5" s="30"/>
      <c r="T5" s="53">
        <f t="shared" si="3"/>
        <v>0</v>
      </c>
      <c r="U5" s="53">
        <f t="shared" si="4"/>
        <v>0</v>
      </c>
      <c r="V5" s="53">
        <f t="shared" si="5"/>
        <v>0</v>
      </c>
      <c r="W5" s="54">
        <f t="shared" si="11"/>
        <v>0</v>
      </c>
      <c r="X5" s="51" t="e">
        <f>VLOOKUP(W5,送料!$J$3:$K$42,2,FALSE)</f>
        <v>#N/A</v>
      </c>
      <c r="Y5" s="51" t="e">
        <f>VLOOKUP(X5,送料!$A$1:$B$40,2,FALSE)</f>
        <v>#N/A</v>
      </c>
      <c r="Z5" s="59">
        <f t="shared" si="6"/>
        <v>0</v>
      </c>
      <c r="AA5" s="62">
        <f t="shared" si="7"/>
        <v>4.5</v>
      </c>
      <c r="AB5" s="62">
        <f t="shared" si="8"/>
        <v>0</v>
      </c>
      <c r="AC5" s="65" t="e">
        <f t="shared" si="2"/>
        <v>#N/A</v>
      </c>
      <c r="AD5" s="65">
        <f t="shared" si="9"/>
        <v>0</v>
      </c>
      <c r="AE5" s="66" t="e">
        <f t="shared" si="10"/>
        <v>#N/A</v>
      </c>
    </row>
    <row r="6" spans="1:33">
      <c r="A6" s="105" t="s">
        <v>188</v>
      </c>
      <c r="B6" s="231">
        <f>【２】結果!I3</f>
        <v>0</v>
      </c>
      <c r="C6" s="114"/>
      <c r="D6" s="55"/>
      <c r="E6" s="45"/>
      <c r="F6" s="21"/>
      <c r="G6" s="21"/>
      <c r="H6" s="42"/>
      <c r="I6" s="42"/>
      <c r="J6" s="42"/>
      <c r="K6" s="42"/>
      <c r="L6" s="42"/>
      <c r="M6" s="31"/>
      <c r="N6" s="108"/>
      <c r="O6" s="30"/>
      <c r="P6" s="30"/>
      <c r="Q6" s="30"/>
      <c r="R6" s="30"/>
      <c r="S6" s="30"/>
      <c r="T6" s="53">
        <f t="shared" si="3"/>
        <v>0</v>
      </c>
      <c r="U6" s="53">
        <f t="shared" si="4"/>
        <v>0</v>
      </c>
      <c r="V6" s="53">
        <f t="shared" si="5"/>
        <v>0</v>
      </c>
      <c r="W6" s="54">
        <f t="shared" si="11"/>
        <v>0</v>
      </c>
      <c r="X6" s="51" t="e">
        <f>VLOOKUP(W6,送料!$J$3:$K$42,2,FALSE)</f>
        <v>#N/A</v>
      </c>
      <c r="Y6" s="51" t="e">
        <f>VLOOKUP(X6,送料!$A$1:$B$40,2,FALSE)</f>
        <v>#N/A</v>
      </c>
      <c r="Z6" s="59">
        <f t="shared" si="6"/>
        <v>0</v>
      </c>
      <c r="AA6" s="62">
        <f t="shared" si="7"/>
        <v>4.5</v>
      </c>
      <c r="AB6" s="62">
        <f t="shared" si="8"/>
        <v>0</v>
      </c>
      <c r="AC6" s="65" t="e">
        <f t="shared" si="2"/>
        <v>#N/A</v>
      </c>
      <c r="AD6" s="65">
        <f t="shared" si="9"/>
        <v>0</v>
      </c>
      <c r="AE6" s="66" t="e">
        <f t="shared" si="10"/>
        <v>#N/A</v>
      </c>
    </row>
    <row r="7" spans="1:33">
      <c r="A7" s="105" t="s">
        <v>190</v>
      </c>
      <c r="B7" s="231">
        <f>【２】結果!J3</f>
        <v>0</v>
      </c>
      <c r="C7" s="114"/>
      <c r="D7" s="55"/>
      <c r="E7" s="45"/>
      <c r="F7" s="21"/>
      <c r="G7" s="21"/>
      <c r="H7" s="42"/>
      <c r="I7" s="42"/>
      <c r="J7" s="42"/>
      <c r="K7" s="42"/>
      <c r="L7" s="42"/>
      <c r="M7" s="31"/>
      <c r="N7" s="108"/>
      <c r="O7" s="30"/>
      <c r="P7" s="30"/>
      <c r="Q7" s="30"/>
      <c r="R7" s="30"/>
      <c r="S7" s="30"/>
      <c r="T7" s="53">
        <f t="shared" si="3"/>
        <v>0</v>
      </c>
      <c r="U7" s="53">
        <f t="shared" si="4"/>
        <v>0</v>
      </c>
      <c r="V7" s="53">
        <f t="shared" si="5"/>
        <v>0</v>
      </c>
      <c r="W7" s="54">
        <f t="shared" si="11"/>
        <v>0</v>
      </c>
      <c r="X7" s="51" t="e">
        <f>VLOOKUP(W7,送料!$J$3:$K$42,2,FALSE)</f>
        <v>#N/A</v>
      </c>
      <c r="Y7" s="51" t="e">
        <f>VLOOKUP(X7,送料!$A$1:$B$40,2,FALSE)</f>
        <v>#N/A</v>
      </c>
      <c r="Z7" s="59">
        <f t="shared" si="6"/>
        <v>0</v>
      </c>
      <c r="AA7" s="62">
        <f t="shared" si="7"/>
        <v>4.5</v>
      </c>
      <c r="AB7" s="62">
        <f t="shared" si="8"/>
        <v>0</v>
      </c>
      <c r="AC7" s="65" t="e">
        <f t="shared" si="2"/>
        <v>#N/A</v>
      </c>
      <c r="AD7" s="65">
        <f t="shared" si="9"/>
        <v>0</v>
      </c>
      <c r="AE7" s="66" t="e">
        <f t="shared" si="10"/>
        <v>#N/A</v>
      </c>
    </row>
    <row r="8" spans="1:33">
      <c r="A8" s="105" t="s">
        <v>191</v>
      </c>
      <c r="B8" s="231">
        <f>【２】結果!K3</f>
        <v>0</v>
      </c>
      <c r="C8" s="114"/>
      <c r="D8" s="55"/>
      <c r="E8" s="45"/>
      <c r="F8" s="21"/>
      <c r="G8" s="21"/>
      <c r="H8" s="42"/>
      <c r="I8" s="42"/>
      <c r="J8" s="42"/>
      <c r="K8" s="42"/>
      <c r="L8" s="42"/>
      <c r="M8" s="31"/>
      <c r="N8" s="108"/>
      <c r="O8" s="30"/>
      <c r="P8" s="30"/>
      <c r="Q8" s="30"/>
      <c r="R8" s="30"/>
      <c r="S8" s="30"/>
      <c r="T8" s="53">
        <f t="shared" si="3"/>
        <v>0</v>
      </c>
      <c r="U8" s="53">
        <f t="shared" si="4"/>
        <v>0</v>
      </c>
      <c r="V8" s="53">
        <f t="shared" si="5"/>
        <v>0</v>
      </c>
      <c r="W8" s="54">
        <f t="shared" ref="W8:W67" si="12">CEILING(ROUNDDOWN(V8,2),0.5)</f>
        <v>0</v>
      </c>
      <c r="X8" s="51" t="e">
        <f>VLOOKUP(W8,送料!$J$3:$K$42,2,FALSE)</f>
        <v>#N/A</v>
      </c>
      <c r="Y8" s="51" t="e">
        <f>VLOOKUP(X8,送料!$A$1:$B$40,2,FALSE)</f>
        <v>#N/A</v>
      </c>
      <c r="Z8" s="59">
        <f t="shared" si="6"/>
        <v>0</v>
      </c>
      <c r="AA8" s="62">
        <f t="shared" si="7"/>
        <v>4.5</v>
      </c>
      <c r="AB8" s="62">
        <f t="shared" si="8"/>
        <v>0</v>
      </c>
      <c r="AC8" s="65" t="e">
        <f t="shared" si="2"/>
        <v>#N/A</v>
      </c>
      <c r="AD8" s="65">
        <f t="shared" si="9"/>
        <v>0</v>
      </c>
      <c r="AE8" s="66" t="e">
        <f t="shared" si="10"/>
        <v>#N/A</v>
      </c>
    </row>
    <row r="9" spans="1:33">
      <c r="A9" s="105" t="s">
        <v>192</v>
      </c>
      <c r="B9" s="231">
        <f>【２】結果!L3</f>
        <v>0</v>
      </c>
      <c r="C9" s="114"/>
      <c r="D9" s="55"/>
      <c r="E9" s="45"/>
      <c r="F9" s="21"/>
      <c r="G9" s="21"/>
      <c r="H9" s="42"/>
      <c r="I9" s="42"/>
      <c r="J9" s="42"/>
      <c r="K9" s="42"/>
      <c r="L9" s="42"/>
      <c r="M9" s="31"/>
      <c r="N9" s="108"/>
      <c r="O9" s="30"/>
      <c r="P9" s="30"/>
      <c r="Q9" s="30"/>
      <c r="R9" s="30"/>
      <c r="S9" s="30"/>
      <c r="T9" s="53">
        <f t="shared" si="3"/>
        <v>0</v>
      </c>
      <c r="U9" s="53">
        <f t="shared" si="4"/>
        <v>0</v>
      </c>
      <c r="V9" s="53">
        <f t="shared" si="5"/>
        <v>0</v>
      </c>
      <c r="W9" s="54">
        <f t="shared" si="12"/>
        <v>0</v>
      </c>
      <c r="X9" s="51" t="e">
        <f>VLOOKUP(W9,送料!$J$3:$K$42,2,FALSE)</f>
        <v>#N/A</v>
      </c>
      <c r="Y9" s="51" t="e">
        <f>VLOOKUP(X9,送料!$A$1:$B$40,2,FALSE)</f>
        <v>#N/A</v>
      </c>
      <c r="Z9" s="59">
        <f t="shared" si="6"/>
        <v>0</v>
      </c>
      <c r="AA9" s="62">
        <f t="shared" si="7"/>
        <v>4.5</v>
      </c>
      <c r="AB9" s="62">
        <f t="shared" si="8"/>
        <v>0</v>
      </c>
      <c r="AC9" s="65" t="e">
        <f t="shared" si="2"/>
        <v>#N/A</v>
      </c>
      <c r="AD9" s="65">
        <f t="shared" si="9"/>
        <v>0</v>
      </c>
      <c r="AE9" s="66" t="e">
        <f t="shared" si="10"/>
        <v>#N/A</v>
      </c>
    </row>
    <row r="10" spans="1:33">
      <c r="A10" s="105" t="s">
        <v>193</v>
      </c>
      <c r="B10" s="231">
        <f>【２】結果!M3</f>
        <v>0</v>
      </c>
      <c r="C10" s="114"/>
      <c r="D10" s="55"/>
      <c r="E10" s="45"/>
      <c r="F10" s="21"/>
      <c r="G10" s="21"/>
      <c r="H10" s="42"/>
      <c r="I10" s="42"/>
      <c r="J10" s="42"/>
      <c r="K10" s="42"/>
      <c r="L10" s="42"/>
      <c r="M10" s="31"/>
      <c r="N10" s="108"/>
      <c r="O10" s="30"/>
      <c r="P10" s="30"/>
      <c r="Q10" s="30"/>
      <c r="R10" s="30"/>
      <c r="S10" s="30"/>
      <c r="T10" s="53">
        <f t="shared" si="3"/>
        <v>0</v>
      </c>
      <c r="U10" s="53">
        <f t="shared" si="4"/>
        <v>0</v>
      </c>
      <c r="V10" s="53">
        <f t="shared" si="5"/>
        <v>0</v>
      </c>
      <c r="W10" s="54">
        <f t="shared" si="12"/>
        <v>0</v>
      </c>
      <c r="X10" s="51" t="e">
        <f>VLOOKUP(W10,送料!$J$3:$K$42,2,FALSE)</f>
        <v>#N/A</v>
      </c>
      <c r="Y10" s="51" t="e">
        <f>VLOOKUP(X10,送料!$A$1:$B$40,2,FALSE)</f>
        <v>#N/A</v>
      </c>
      <c r="Z10" s="59">
        <f t="shared" si="6"/>
        <v>0</v>
      </c>
      <c r="AA10" s="62">
        <f t="shared" si="7"/>
        <v>4.5</v>
      </c>
      <c r="AB10" s="62">
        <f t="shared" si="8"/>
        <v>0</v>
      </c>
      <c r="AC10" s="65" t="e">
        <f t="shared" si="2"/>
        <v>#N/A</v>
      </c>
      <c r="AD10" s="65">
        <f t="shared" si="9"/>
        <v>0</v>
      </c>
      <c r="AE10" s="66" t="e">
        <f t="shared" si="10"/>
        <v>#N/A</v>
      </c>
    </row>
    <row r="11" spans="1:33">
      <c r="A11" s="105" t="s">
        <v>194</v>
      </c>
      <c r="B11" s="231">
        <f>【２】結果!N3</f>
        <v>0</v>
      </c>
      <c r="C11" s="114"/>
      <c r="D11" s="55"/>
      <c r="E11" s="45"/>
      <c r="F11" s="21"/>
      <c r="G11" s="21"/>
      <c r="H11" s="42"/>
      <c r="I11" s="42"/>
      <c r="J11" s="42"/>
      <c r="K11" s="42"/>
      <c r="L11" s="42"/>
      <c r="M11" s="31"/>
      <c r="N11" s="108"/>
      <c r="O11" s="30"/>
      <c r="P11" s="30"/>
      <c r="Q11" s="30"/>
      <c r="R11" s="30"/>
      <c r="S11" s="30"/>
      <c r="T11" s="53">
        <f t="shared" si="3"/>
        <v>0</v>
      </c>
      <c r="U11" s="53">
        <f t="shared" si="4"/>
        <v>0</v>
      </c>
      <c r="V11" s="53">
        <f t="shared" si="5"/>
        <v>0</v>
      </c>
      <c r="W11" s="54">
        <f t="shared" si="12"/>
        <v>0</v>
      </c>
      <c r="X11" s="51" t="e">
        <f>VLOOKUP(W11,送料!$J$3:$K$42,2,FALSE)</f>
        <v>#N/A</v>
      </c>
      <c r="Y11" s="51" t="e">
        <f>VLOOKUP(X11,送料!$A$1:$B$40,2,FALSE)</f>
        <v>#N/A</v>
      </c>
      <c r="Z11" s="59">
        <f t="shared" si="6"/>
        <v>0</v>
      </c>
      <c r="AA11" s="62">
        <f t="shared" si="7"/>
        <v>4.5</v>
      </c>
      <c r="AB11" s="62">
        <f t="shared" si="8"/>
        <v>0</v>
      </c>
      <c r="AC11" s="65" t="e">
        <f t="shared" si="2"/>
        <v>#N/A</v>
      </c>
      <c r="AD11" s="65">
        <f t="shared" si="9"/>
        <v>0</v>
      </c>
      <c r="AE11" s="66" t="e">
        <f t="shared" si="10"/>
        <v>#N/A</v>
      </c>
    </row>
    <row r="12" spans="1:33">
      <c r="A12" s="105" t="s">
        <v>195</v>
      </c>
      <c r="B12" s="231">
        <f>【２】結果!O3</f>
        <v>0</v>
      </c>
      <c r="C12" s="114"/>
      <c r="D12" s="55"/>
      <c r="E12" s="45"/>
      <c r="F12" s="21"/>
      <c r="G12" s="21"/>
      <c r="H12" s="42"/>
      <c r="I12" s="42"/>
      <c r="J12" s="42"/>
      <c r="K12" s="42"/>
      <c r="L12" s="42"/>
      <c r="M12" s="31"/>
      <c r="N12" s="108"/>
      <c r="O12" s="30"/>
      <c r="P12" s="30"/>
      <c r="Q12" s="30"/>
      <c r="R12" s="30"/>
      <c r="S12" s="30"/>
      <c r="T12" s="53">
        <f t="shared" si="3"/>
        <v>0</v>
      </c>
      <c r="U12" s="53">
        <f t="shared" si="4"/>
        <v>0</v>
      </c>
      <c r="V12" s="53">
        <f t="shared" si="5"/>
        <v>0</v>
      </c>
      <c r="W12" s="54">
        <f t="shared" si="12"/>
        <v>0</v>
      </c>
      <c r="X12" s="51" t="e">
        <f>VLOOKUP(W12,送料!$J$3:$K$42,2,FALSE)</f>
        <v>#N/A</v>
      </c>
      <c r="Y12" s="51" t="e">
        <f>VLOOKUP(X12,送料!$A$1:$B$40,2,FALSE)</f>
        <v>#N/A</v>
      </c>
      <c r="Z12" s="59">
        <f t="shared" si="6"/>
        <v>0</v>
      </c>
      <c r="AA12" s="62">
        <f t="shared" si="7"/>
        <v>4.5</v>
      </c>
      <c r="AB12" s="62">
        <f t="shared" si="8"/>
        <v>0</v>
      </c>
      <c r="AC12" s="65" t="e">
        <f t="shared" si="2"/>
        <v>#N/A</v>
      </c>
      <c r="AD12" s="65">
        <f t="shared" si="9"/>
        <v>0</v>
      </c>
      <c r="AE12" s="66" t="e">
        <f t="shared" si="10"/>
        <v>#N/A</v>
      </c>
    </row>
    <row r="13" spans="1:33">
      <c r="A13" s="105" t="s">
        <v>196</v>
      </c>
      <c r="B13" s="231">
        <f>【２】結果!P3</f>
        <v>0</v>
      </c>
      <c r="C13" s="114"/>
      <c r="D13" s="55"/>
      <c r="E13" s="45"/>
      <c r="F13" s="21"/>
      <c r="G13" s="21"/>
      <c r="H13" s="42"/>
      <c r="I13" s="42"/>
      <c r="J13" s="42"/>
      <c r="K13" s="42"/>
      <c r="L13" s="42"/>
      <c r="M13" s="31"/>
      <c r="N13" s="108"/>
      <c r="O13" s="30"/>
      <c r="P13" s="30"/>
      <c r="Q13" s="30"/>
      <c r="R13" s="30"/>
      <c r="S13" s="30"/>
      <c r="T13" s="53">
        <f t="shared" si="3"/>
        <v>0</v>
      </c>
      <c r="U13" s="53">
        <f t="shared" si="4"/>
        <v>0</v>
      </c>
      <c r="V13" s="53">
        <f t="shared" si="5"/>
        <v>0</v>
      </c>
      <c r="W13" s="54">
        <f t="shared" si="12"/>
        <v>0</v>
      </c>
      <c r="X13" s="51" t="e">
        <f>VLOOKUP(W13,送料!$J$3:$K$42,2,FALSE)</f>
        <v>#N/A</v>
      </c>
      <c r="Y13" s="51" t="e">
        <f>VLOOKUP(X13,送料!$A$1:$B$40,2,FALSE)</f>
        <v>#N/A</v>
      </c>
      <c r="Z13" s="59">
        <f t="shared" si="6"/>
        <v>0</v>
      </c>
      <c r="AA13" s="62">
        <f t="shared" si="7"/>
        <v>4.5</v>
      </c>
      <c r="AB13" s="62">
        <f t="shared" si="8"/>
        <v>0</v>
      </c>
      <c r="AC13" s="65" t="e">
        <f t="shared" si="2"/>
        <v>#N/A</v>
      </c>
      <c r="AD13" s="65">
        <f t="shared" si="9"/>
        <v>0</v>
      </c>
      <c r="AE13" s="66" t="e">
        <f t="shared" si="10"/>
        <v>#N/A</v>
      </c>
    </row>
    <row r="14" spans="1:33">
      <c r="A14" s="105" t="s">
        <v>197</v>
      </c>
      <c r="B14" s="231">
        <f>【２】結果!Q3</f>
        <v>0</v>
      </c>
      <c r="C14" s="114"/>
      <c r="D14" s="55"/>
      <c r="E14" s="45"/>
      <c r="F14" s="21"/>
      <c r="G14" s="21"/>
      <c r="H14" s="42"/>
      <c r="I14" s="42"/>
      <c r="J14" s="42"/>
      <c r="K14" s="42"/>
      <c r="L14" s="42"/>
      <c r="M14" s="31"/>
      <c r="N14" s="108"/>
      <c r="O14" s="30"/>
      <c r="P14" s="30"/>
      <c r="Q14" s="30"/>
      <c r="R14" s="30"/>
      <c r="S14" s="30"/>
      <c r="T14" s="53">
        <f t="shared" si="3"/>
        <v>0</v>
      </c>
      <c r="U14" s="53">
        <f t="shared" si="4"/>
        <v>0</v>
      </c>
      <c r="V14" s="53">
        <f t="shared" si="5"/>
        <v>0</v>
      </c>
      <c r="W14" s="54">
        <f t="shared" si="12"/>
        <v>0</v>
      </c>
      <c r="X14" s="51" t="e">
        <f>VLOOKUP(W14,送料!$J$3:$K$42,2,FALSE)</f>
        <v>#N/A</v>
      </c>
      <c r="Y14" s="51" t="e">
        <f>VLOOKUP(X14,送料!$A$1:$B$40,2,FALSE)</f>
        <v>#N/A</v>
      </c>
      <c r="Z14" s="59">
        <f t="shared" si="6"/>
        <v>0</v>
      </c>
      <c r="AA14" s="62">
        <f t="shared" si="7"/>
        <v>4.5</v>
      </c>
      <c r="AB14" s="62">
        <f t="shared" si="8"/>
        <v>0</v>
      </c>
      <c r="AC14" s="65" t="e">
        <f t="shared" si="2"/>
        <v>#N/A</v>
      </c>
      <c r="AD14" s="65">
        <f t="shared" si="9"/>
        <v>0</v>
      </c>
      <c r="AE14" s="66" t="e">
        <f t="shared" si="10"/>
        <v>#N/A</v>
      </c>
    </row>
    <row r="15" spans="1:33">
      <c r="A15" s="105" t="s">
        <v>198</v>
      </c>
      <c r="B15" s="231">
        <f>【２】結果!R3</f>
        <v>0</v>
      </c>
      <c r="C15" s="114"/>
      <c r="D15" s="55"/>
      <c r="E15" s="45"/>
      <c r="F15" s="21"/>
      <c r="G15" s="21"/>
      <c r="H15" s="42"/>
      <c r="I15" s="42"/>
      <c r="J15" s="42"/>
      <c r="K15" s="42"/>
      <c r="L15" s="42"/>
      <c r="M15" s="31"/>
      <c r="N15" s="108"/>
      <c r="O15" s="30"/>
      <c r="P15" s="30"/>
      <c r="Q15" s="30"/>
      <c r="R15" s="30"/>
      <c r="S15" s="30"/>
      <c r="T15" s="53">
        <f t="shared" si="3"/>
        <v>0</v>
      </c>
      <c r="U15" s="53">
        <f t="shared" si="4"/>
        <v>0</v>
      </c>
      <c r="V15" s="53">
        <f t="shared" si="5"/>
        <v>0</v>
      </c>
      <c r="W15" s="54">
        <f t="shared" si="12"/>
        <v>0</v>
      </c>
      <c r="X15" s="51" t="e">
        <f>VLOOKUP(W15,送料!$J$3:$K$42,2,FALSE)</f>
        <v>#N/A</v>
      </c>
      <c r="Y15" s="51" t="e">
        <f>VLOOKUP(X15,送料!$A$1:$B$40,2,FALSE)</f>
        <v>#N/A</v>
      </c>
      <c r="Z15" s="59">
        <f t="shared" si="6"/>
        <v>0</v>
      </c>
      <c r="AA15" s="62">
        <f t="shared" si="7"/>
        <v>4.5</v>
      </c>
      <c r="AB15" s="62">
        <f t="shared" si="8"/>
        <v>0</v>
      </c>
      <c r="AC15" s="65" t="e">
        <f t="shared" si="2"/>
        <v>#N/A</v>
      </c>
      <c r="AD15" s="65">
        <f t="shared" si="9"/>
        <v>0</v>
      </c>
      <c r="AE15" s="66" t="e">
        <f t="shared" si="10"/>
        <v>#N/A</v>
      </c>
    </row>
    <row r="16" spans="1:33">
      <c r="A16" s="105" t="s">
        <v>199</v>
      </c>
      <c r="B16" s="231">
        <f>【２】結果!S3</f>
        <v>0</v>
      </c>
      <c r="C16" s="114"/>
      <c r="D16" s="55"/>
      <c r="E16" s="45"/>
      <c r="F16" s="21"/>
      <c r="G16" s="21"/>
      <c r="H16" s="42"/>
      <c r="I16" s="42"/>
      <c r="J16" s="42"/>
      <c r="K16" s="42"/>
      <c r="L16" s="42"/>
      <c r="M16" s="31"/>
      <c r="N16" s="108"/>
      <c r="O16" s="30"/>
      <c r="P16" s="30"/>
      <c r="Q16" s="30"/>
      <c r="R16" s="30"/>
      <c r="S16" s="30"/>
      <c r="T16" s="53">
        <f t="shared" si="3"/>
        <v>0</v>
      </c>
      <c r="U16" s="53">
        <f t="shared" si="4"/>
        <v>0</v>
      </c>
      <c r="V16" s="53">
        <f t="shared" si="5"/>
        <v>0</v>
      </c>
      <c r="W16" s="54">
        <f t="shared" si="12"/>
        <v>0</v>
      </c>
      <c r="X16" s="51" t="e">
        <f>VLOOKUP(W16,送料!$J$3:$K$42,2,FALSE)</f>
        <v>#N/A</v>
      </c>
      <c r="Y16" s="51" t="e">
        <f>VLOOKUP(X16,送料!$A$1:$B$40,2,FALSE)</f>
        <v>#N/A</v>
      </c>
      <c r="Z16" s="59">
        <f t="shared" si="6"/>
        <v>0</v>
      </c>
      <c r="AA16" s="62">
        <f t="shared" si="7"/>
        <v>4.5</v>
      </c>
      <c r="AB16" s="62">
        <f t="shared" si="8"/>
        <v>0</v>
      </c>
      <c r="AC16" s="65" t="e">
        <f t="shared" si="2"/>
        <v>#N/A</v>
      </c>
      <c r="AD16" s="65">
        <f t="shared" si="9"/>
        <v>0</v>
      </c>
      <c r="AE16" s="66" t="e">
        <f t="shared" si="10"/>
        <v>#N/A</v>
      </c>
    </row>
    <row r="17" spans="1:31">
      <c r="A17" s="105" t="s">
        <v>200</v>
      </c>
      <c r="B17" s="231">
        <f>【２】結果!T3</f>
        <v>0</v>
      </c>
      <c r="C17" s="114"/>
      <c r="D17" s="55"/>
      <c r="E17" s="45"/>
      <c r="F17" s="21"/>
      <c r="G17" s="21"/>
      <c r="H17" s="42"/>
      <c r="I17" s="42"/>
      <c r="J17" s="42"/>
      <c r="K17" s="42"/>
      <c r="L17" s="42"/>
      <c r="M17" s="31"/>
      <c r="N17" s="108"/>
      <c r="O17" s="30"/>
      <c r="P17" s="30"/>
      <c r="Q17" s="30"/>
      <c r="R17" s="30"/>
      <c r="S17" s="30"/>
      <c r="T17" s="53">
        <f t="shared" si="3"/>
        <v>0</v>
      </c>
      <c r="U17" s="53">
        <f t="shared" si="4"/>
        <v>0</v>
      </c>
      <c r="V17" s="53">
        <f t="shared" si="5"/>
        <v>0</v>
      </c>
      <c r="W17" s="54">
        <f t="shared" si="12"/>
        <v>0</v>
      </c>
      <c r="X17" s="51" t="e">
        <f>VLOOKUP(W17,送料!$J$3:$K$42,2,FALSE)</f>
        <v>#N/A</v>
      </c>
      <c r="Y17" s="51" t="e">
        <f>VLOOKUP(X17,送料!$A$1:$B$40,2,FALSE)</f>
        <v>#N/A</v>
      </c>
      <c r="Z17" s="59">
        <f t="shared" si="6"/>
        <v>0</v>
      </c>
      <c r="AA17" s="62">
        <f t="shared" si="7"/>
        <v>4.5</v>
      </c>
      <c r="AB17" s="62">
        <f t="shared" si="8"/>
        <v>0</v>
      </c>
      <c r="AC17" s="65" t="e">
        <f t="shared" si="2"/>
        <v>#N/A</v>
      </c>
      <c r="AD17" s="65">
        <f t="shared" si="9"/>
        <v>0</v>
      </c>
      <c r="AE17" s="66" t="e">
        <f t="shared" si="10"/>
        <v>#N/A</v>
      </c>
    </row>
    <row r="18" spans="1:31">
      <c r="A18" s="105" t="s">
        <v>201</v>
      </c>
      <c r="B18" s="231">
        <f>【２】結果!U3</f>
        <v>0</v>
      </c>
      <c r="C18" s="114"/>
      <c r="D18" s="55"/>
      <c r="E18" s="45"/>
      <c r="F18" s="21"/>
      <c r="G18" s="21"/>
      <c r="H18" s="42"/>
      <c r="I18" s="42"/>
      <c r="J18" s="42"/>
      <c r="K18" s="42"/>
      <c r="L18" s="42"/>
      <c r="M18" s="31"/>
      <c r="N18" s="108"/>
      <c r="O18" s="30"/>
      <c r="P18" s="30"/>
      <c r="Q18" s="30"/>
      <c r="R18" s="30"/>
      <c r="S18" s="30"/>
      <c r="T18" s="53">
        <f t="shared" si="3"/>
        <v>0</v>
      </c>
      <c r="U18" s="53">
        <f t="shared" si="4"/>
        <v>0</v>
      </c>
      <c r="V18" s="53">
        <f t="shared" si="5"/>
        <v>0</v>
      </c>
      <c r="W18" s="54">
        <f t="shared" si="12"/>
        <v>0</v>
      </c>
      <c r="X18" s="51" t="e">
        <f>VLOOKUP(W18,送料!$J$3:$K$42,2,FALSE)</f>
        <v>#N/A</v>
      </c>
      <c r="Y18" s="51" t="e">
        <f>VLOOKUP(X18,送料!$A$1:$B$40,2,FALSE)</f>
        <v>#N/A</v>
      </c>
      <c r="Z18" s="59">
        <f t="shared" si="6"/>
        <v>0</v>
      </c>
      <c r="AA18" s="62">
        <f t="shared" si="7"/>
        <v>4.5</v>
      </c>
      <c r="AB18" s="62">
        <f t="shared" si="8"/>
        <v>0</v>
      </c>
      <c r="AC18" s="65" t="e">
        <f t="shared" si="2"/>
        <v>#N/A</v>
      </c>
      <c r="AD18" s="65">
        <f t="shared" si="9"/>
        <v>0</v>
      </c>
      <c r="AE18" s="66" t="e">
        <f t="shared" si="10"/>
        <v>#N/A</v>
      </c>
    </row>
    <row r="19" spans="1:31">
      <c r="A19" s="105" t="s">
        <v>202</v>
      </c>
      <c r="B19" s="231">
        <f>【２】結果!V3</f>
        <v>0</v>
      </c>
      <c r="C19" s="114"/>
      <c r="D19" s="55"/>
      <c r="E19" s="45"/>
      <c r="F19" s="21"/>
      <c r="G19" s="21"/>
      <c r="H19" s="42"/>
      <c r="I19" s="42"/>
      <c r="J19" s="42"/>
      <c r="K19" s="42"/>
      <c r="L19" s="42"/>
      <c r="M19" s="31"/>
      <c r="N19" s="108"/>
      <c r="O19" s="30"/>
      <c r="P19" s="30"/>
      <c r="Q19" s="30"/>
      <c r="R19" s="30"/>
      <c r="S19" s="30"/>
      <c r="T19" s="53">
        <f t="shared" si="3"/>
        <v>0</v>
      </c>
      <c r="U19" s="53">
        <f t="shared" si="4"/>
        <v>0</v>
      </c>
      <c r="V19" s="53">
        <f t="shared" si="5"/>
        <v>0</v>
      </c>
      <c r="W19" s="54">
        <f t="shared" si="12"/>
        <v>0</v>
      </c>
      <c r="X19" s="51" t="e">
        <f>VLOOKUP(W19,送料!$J$3:$K$42,2,FALSE)</f>
        <v>#N/A</v>
      </c>
      <c r="Y19" s="51" t="e">
        <f>VLOOKUP(X19,送料!$A$1:$B$40,2,FALSE)</f>
        <v>#N/A</v>
      </c>
      <c r="Z19" s="59">
        <f t="shared" si="6"/>
        <v>0</v>
      </c>
      <c r="AA19" s="62">
        <f t="shared" si="7"/>
        <v>4.5</v>
      </c>
      <c r="AB19" s="62">
        <f t="shared" si="8"/>
        <v>0</v>
      </c>
      <c r="AC19" s="65" t="e">
        <f t="shared" si="2"/>
        <v>#N/A</v>
      </c>
      <c r="AD19" s="65">
        <f t="shared" si="9"/>
        <v>0</v>
      </c>
      <c r="AE19" s="66" t="e">
        <f t="shared" si="10"/>
        <v>#N/A</v>
      </c>
    </row>
    <row r="20" spans="1:31">
      <c r="A20" s="105" t="s">
        <v>203</v>
      </c>
      <c r="B20" s="231">
        <f>【２】結果!W3</f>
        <v>0</v>
      </c>
      <c r="C20" s="114"/>
      <c r="D20" s="55"/>
      <c r="E20" s="45"/>
      <c r="F20" s="21"/>
      <c r="G20" s="21"/>
      <c r="H20" s="42"/>
      <c r="I20" s="42"/>
      <c r="J20" s="42"/>
      <c r="K20" s="42"/>
      <c r="L20" s="42"/>
      <c r="M20" s="31"/>
      <c r="N20" s="108"/>
      <c r="O20" s="30"/>
      <c r="P20" s="30"/>
      <c r="Q20" s="30"/>
      <c r="R20" s="30"/>
      <c r="S20" s="30"/>
      <c r="T20" s="53">
        <f t="shared" si="3"/>
        <v>0</v>
      </c>
      <c r="U20" s="53">
        <f t="shared" si="4"/>
        <v>0</v>
      </c>
      <c r="V20" s="53">
        <f t="shared" si="5"/>
        <v>0</v>
      </c>
      <c r="W20" s="54">
        <f t="shared" si="12"/>
        <v>0</v>
      </c>
      <c r="X20" s="51" t="e">
        <f>VLOOKUP(W20,送料!$J$3:$K$42,2,FALSE)</f>
        <v>#N/A</v>
      </c>
      <c r="Y20" s="51" t="e">
        <f>VLOOKUP(X20,送料!$A$1:$B$40,2,FALSE)</f>
        <v>#N/A</v>
      </c>
      <c r="Z20" s="59">
        <f t="shared" si="6"/>
        <v>0</v>
      </c>
      <c r="AA20" s="62">
        <f t="shared" si="7"/>
        <v>4.5</v>
      </c>
      <c r="AB20" s="62">
        <f t="shared" si="8"/>
        <v>0</v>
      </c>
      <c r="AC20" s="65" t="e">
        <f t="shared" si="2"/>
        <v>#N/A</v>
      </c>
      <c r="AD20" s="65">
        <f t="shared" si="9"/>
        <v>0</v>
      </c>
      <c r="AE20" s="66" t="e">
        <f t="shared" si="10"/>
        <v>#N/A</v>
      </c>
    </row>
    <row r="21" spans="1:31">
      <c r="A21" s="105" t="s">
        <v>204</v>
      </c>
      <c r="B21" s="231">
        <f>【２】結果!X3</f>
        <v>0</v>
      </c>
      <c r="C21" s="114"/>
      <c r="D21" s="55"/>
      <c r="E21" s="45"/>
      <c r="F21" s="21"/>
      <c r="G21" s="21"/>
      <c r="H21" s="42"/>
      <c r="I21" s="42"/>
      <c r="J21" s="42"/>
      <c r="K21" s="42"/>
      <c r="L21" s="42"/>
      <c r="M21" s="31"/>
      <c r="N21" s="108"/>
      <c r="O21" s="30"/>
      <c r="P21" s="30"/>
      <c r="Q21" s="30"/>
      <c r="R21" s="30"/>
      <c r="S21" s="30"/>
      <c r="T21" s="53">
        <f t="shared" si="3"/>
        <v>0</v>
      </c>
      <c r="U21" s="53">
        <f t="shared" si="4"/>
        <v>0</v>
      </c>
      <c r="V21" s="53">
        <f t="shared" si="5"/>
        <v>0</v>
      </c>
      <c r="W21" s="54">
        <f t="shared" si="12"/>
        <v>0</v>
      </c>
      <c r="X21" s="51" t="e">
        <f>VLOOKUP(W21,送料!$J$3:$K$42,2,FALSE)</f>
        <v>#N/A</v>
      </c>
      <c r="Y21" s="51" t="e">
        <f>VLOOKUP(X21,送料!$A$1:$B$40,2,FALSE)</f>
        <v>#N/A</v>
      </c>
      <c r="Z21" s="59">
        <f t="shared" si="6"/>
        <v>0</v>
      </c>
      <c r="AA21" s="62">
        <f t="shared" si="7"/>
        <v>4.5</v>
      </c>
      <c r="AB21" s="62">
        <f t="shared" si="8"/>
        <v>0</v>
      </c>
      <c r="AC21" s="65" t="e">
        <f t="shared" si="2"/>
        <v>#N/A</v>
      </c>
      <c r="AD21" s="65">
        <f t="shared" si="9"/>
        <v>0</v>
      </c>
      <c r="AE21" s="66" t="e">
        <f t="shared" si="10"/>
        <v>#N/A</v>
      </c>
    </row>
    <row r="22" spans="1:31">
      <c r="A22" s="105" t="s">
        <v>205</v>
      </c>
      <c r="B22" s="232">
        <f>【２】結果!E4</f>
        <v>0</v>
      </c>
      <c r="C22" s="115"/>
      <c r="D22" s="55"/>
      <c r="E22" s="45"/>
      <c r="F22" s="21"/>
      <c r="G22" s="21"/>
      <c r="H22" s="42"/>
      <c r="I22" s="42"/>
      <c r="J22" s="42"/>
      <c r="K22" s="42"/>
      <c r="L22" s="42"/>
      <c r="M22" s="31"/>
      <c r="N22" s="108"/>
      <c r="O22" s="30"/>
      <c r="P22" s="30"/>
      <c r="Q22" s="30"/>
      <c r="R22" s="30"/>
      <c r="S22" s="30"/>
      <c r="T22" s="53">
        <f t="shared" si="3"/>
        <v>0</v>
      </c>
      <c r="U22" s="53">
        <f t="shared" si="4"/>
        <v>0</v>
      </c>
      <c r="V22" s="53">
        <f t="shared" si="5"/>
        <v>0</v>
      </c>
      <c r="W22" s="54">
        <f t="shared" si="12"/>
        <v>0</v>
      </c>
      <c r="X22" s="51" t="e">
        <f>VLOOKUP(W22,送料!$J$3:$K$42,2,FALSE)</f>
        <v>#N/A</v>
      </c>
      <c r="Y22" s="51" t="e">
        <f>VLOOKUP(X22,送料!$A$1:$B$40,2,FALSE)</f>
        <v>#N/A</v>
      </c>
      <c r="Z22" s="59">
        <f t="shared" si="6"/>
        <v>0</v>
      </c>
      <c r="AA22" s="62">
        <f t="shared" si="7"/>
        <v>4.5</v>
      </c>
      <c r="AB22" s="62">
        <f t="shared" si="8"/>
        <v>0</v>
      </c>
      <c r="AC22" s="65" t="e">
        <f t="shared" si="2"/>
        <v>#N/A</v>
      </c>
      <c r="AD22" s="65">
        <f t="shared" si="9"/>
        <v>0</v>
      </c>
      <c r="AE22" s="66" t="e">
        <f t="shared" si="10"/>
        <v>#N/A</v>
      </c>
    </row>
    <row r="23" spans="1:31">
      <c r="A23" s="105" t="s">
        <v>206</v>
      </c>
      <c r="B23" s="232">
        <f>【２】結果!F4</f>
        <v>0</v>
      </c>
      <c r="C23" s="115"/>
      <c r="D23" s="55"/>
      <c r="E23" s="45"/>
      <c r="F23" s="21"/>
      <c r="G23" s="21"/>
      <c r="H23" s="42"/>
      <c r="I23" s="42"/>
      <c r="J23" s="42"/>
      <c r="K23" s="42"/>
      <c r="L23" s="42"/>
      <c r="M23" s="31"/>
      <c r="N23" s="108"/>
      <c r="O23" s="30"/>
      <c r="P23" s="30"/>
      <c r="Q23" s="30"/>
      <c r="R23" s="30"/>
      <c r="S23" s="30"/>
      <c r="T23" s="53">
        <f t="shared" si="3"/>
        <v>0</v>
      </c>
      <c r="U23" s="53">
        <f t="shared" si="4"/>
        <v>0</v>
      </c>
      <c r="V23" s="53">
        <f t="shared" si="5"/>
        <v>0</v>
      </c>
      <c r="W23" s="54">
        <f t="shared" si="12"/>
        <v>0</v>
      </c>
      <c r="X23" s="51" t="e">
        <f>VLOOKUP(W23,送料!$J$3:$K$42,2,FALSE)</f>
        <v>#N/A</v>
      </c>
      <c r="Y23" s="51" t="e">
        <f>VLOOKUP(X23,送料!$A$1:$B$40,2,FALSE)</f>
        <v>#N/A</v>
      </c>
      <c r="Z23" s="59">
        <f t="shared" si="6"/>
        <v>0</v>
      </c>
      <c r="AA23" s="62">
        <f t="shared" si="7"/>
        <v>4.5</v>
      </c>
      <c r="AB23" s="62">
        <f t="shared" si="8"/>
        <v>0</v>
      </c>
      <c r="AC23" s="65" t="e">
        <f t="shared" si="2"/>
        <v>#N/A</v>
      </c>
      <c r="AD23" s="65">
        <f t="shared" si="9"/>
        <v>0</v>
      </c>
      <c r="AE23" s="66" t="e">
        <f t="shared" si="10"/>
        <v>#N/A</v>
      </c>
    </row>
    <row r="24" spans="1:31">
      <c r="A24" s="105" t="s">
        <v>207</v>
      </c>
      <c r="B24" s="232">
        <f>【２】結果!G4</f>
        <v>0</v>
      </c>
      <c r="C24" s="115"/>
      <c r="D24" s="55"/>
      <c r="E24" s="45"/>
      <c r="F24" s="21"/>
      <c r="G24" s="21"/>
      <c r="H24" s="42"/>
      <c r="I24" s="42"/>
      <c r="J24" s="42"/>
      <c r="K24" s="42"/>
      <c r="L24" s="42"/>
      <c r="M24" s="31"/>
      <c r="N24" s="108"/>
      <c r="O24" s="30"/>
      <c r="P24" s="30"/>
      <c r="Q24" s="30"/>
      <c r="R24" s="30"/>
      <c r="S24" s="30"/>
      <c r="T24" s="53">
        <f t="shared" si="3"/>
        <v>0</v>
      </c>
      <c r="U24" s="53">
        <f t="shared" si="4"/>
        <v>0</v>
      </c>
      <c r="V24" s="53">
        <f t="shared" si="5"/>
        <v>0</v>
      </c>
      <c r="W24" s="54">
        <f t="shared" si="12"/>
        <v>0</v>
      </c>
      <c r="X24" s="51" t="e">
        <f>VLOOKUP(W24,送料!$J$3:$K$42,2,FALSE)</f>
        <v>#N/A</v>
      </c>
      <c r="Y24" s="51" t="e">
        <f>VLOOKUP(X24,送料!$A$1:$B$40,2,FALSE)</f>
        <v>#N/A</v>
      </c>
      <c r="Z24" s="59">
        <f t="shared" si="6"/>
        <v>0</v>
      </c>
      <c r="AA24" s="62">
        <f t="shared" si="7"/>
        <v>4.5</v>
      </c>
      <c r="AB24" s="62">
        <f t="shared" si="8"/>
        <v>0</v>
      </c>
      <c r="AC24" s="65" t="e">
        <f t="shared" si="2"/>
        <v>#N/A</v>
      </c>
      <c r="AD24" s="65">
        <f t="shared" si="9"/>
        <v>0</v>
      </c>
      <c r="AE24" s="66" t="e">
        <f t="shared" si="10"/>
        <v>#N/A</v>
      </c>
    </row>
    <row r="25" spans="1:31">
      <c r="A25" s="105" t="s">
        <v>208</v>
      </c>
      <c r="B25" s="232">
        <f>【２】結果!H4</f>
        <v>0</v>
      </c>
      <c r="C25" s="115"/>
      <c r="D25" s="55"/>
      <c r="E25" s="45"/>
      <c r="F25" s="21"/>
      <c r="G25" s="21"/>
      <c r="H25" s="42"/>
      <c r="I25" s="42"/>
      <c r="J25" s="42"/>
      <c r="K25" s="42"/>
      <c r="L25" s="42"/>
      <c r="M25" s="31"/>
      <c r="N25" s="108"/>
      <c r="O25" s="30"/>
      <c r="P25" s="30"/>
      <c r="Q25" s="30"/>
      <c r="R25" s="30"/>
      <c r="S25" s="30"/>
      <c r="T25" s="53">
        <f t="shared" si="3"/>
        <v>0</v>
      </c>
      <c r="U25" s="53">
        <f t="shared" si="4"/>
        <v>0</v>
      </c>
      <c r="V25" s="53">
        <f t="shared" si="5"/>
        <v>0</v>
      </c>
      <c r="W25" s="54">
        <f t="shared" si="12"/>
        <v>0</v>
      </c>
      <c r="X25" s="51" t="e">
        <f>VLOOKUP(W25,送料!$J$3:$K$42,2,FALSE)</f>
        <v>#N/A</v>
      </c>
      <c r="Y25" s="51" t="e">
        <f>VLOOKUP(X25,送料!$A$1:$B$40,2,FALSE)</f>
        <v>#N/A</v>
      </c>
      <c r="Z25" s="59">
        <f t="shared" si="6"/>
        <v>0</v>
      </c>
      <c r="AA25" s="62">
        <f t="shared" si="7"/>
        <v>4.5</v>
      </c>
      <c r="AB25" s="62">
        <f t="shared" si="8"/>
        <v>0</v>
      </c>
      <c r="AC25" s="65" t="e">
        <f t="shared" si="2"/>
        <v>#N/A</v>
      </c>
      <c r="AD25" s="65">
        <f t="shared" si="9"/>
        <v>0</v>
      </c>
      <c r="AE25" s="66" t="e">
        <f t="shared" si="10"/>
        <v>#N/A</v>
      </c>
    </row>
    <row r="26" spans="1:31">
      <c r="A26" s="105" t="s">
        <v>209</v>
      </c>
      <c r="B26" s="232">
        <f>【２】結果!I4</f>
        <v>0</v>
      </c>
      <c r="C26" s="115"/>
      <c r="D26" s="55"/>
      <c r="E26" s="45"/>
      <c r="F26" s="21"/>
      <c r="G26" s="21"/>
      <c r="H26" s="42"/>
      <c r="I26" s="42"/>
      <c r="J26" s="42"/>
      <c r="K26" s="42"/>
      <c r="L26" s="42"/>
      <c r="M26" s="31"/>
      <c r="N26" s="108"/>
      <c r="O26" s="30"/>
      <c r="P26" s="30"/>
      <c r="Q26" s="30"/>
      <c r="R26" s="30"/>
      <c r="S26" s="30"/>
      <c r="T26" s="53">
        <f t="shared" si="3"/>
        <v>0</v>
      </c>
      <c r="U26" s="53">
        <f t="shared" si="4"/>
        <v>0</v>
      </c>
      <c r="V26" s="53">
        <f t="shared" si="5"/>
        <v>0</v>
      </c>
      <c r="W26" s="54">
        <f t="shared" si="12"/>
        <v>0</v>
      </c>
      <c r="X26" s="51" t="e">
        <f>VLOOKUP(W26,送料!$J$3:$K$42,2,FALSE)</f>
        <v>#N/A</v>
      </c>
      <c r="Y26" s="51" t="e">
        <f>VLOOKUP(X26,送料!$A$1:$B$40,2,FALSE)</f>
        <v>#N/A</v>
      </c>
      <c r="Z26" s="59">
        <f t="shared" si="6"/>
        <v>0</v>
      </c>
      <c r="AA26" s="62">
        <f t="shared" si="7"/>
        <v>4.5</v>
      </c>
      <c r="AB26" s="62">
        <f t="shared" si="8"/>
        <v>0</v>
      </c>
      <c r="AC26" s="65" t="e">
        <f t="shared" si="2"/>
        <v>#N/A</v>
      </c>
      <c r="AD26" s="65">
        <f t="shared" si="9"/>
        <v>0</v>
      </c>
      <c r="AE26" s="66" t="e">
        <f t="shared" si="10"/>
        <v>#N/A</v>
      </c>
    </row>
    <row r="27" spans="1:31">
      <c r="A27" s="105" t="s">
        <v>210</v>
      </c>
      <c r="B27" s="232">
        <f>【２】結果!J4</f>
        <v>0</v>
      </c>
      <c r="C27" s="115"/>
      <c r="D27" s="55"/>
      <c r="E27" s="45"/>
      <c r="F27" s="21"/>
      <c r="G27" s="21"/>
      <c r="H27" s="42"/>
      <c r="I27" s="42"/>
      <c r="J27" s="42"/>
      <c r="K27" s="42"/>
      <c r="L27" s="42"/>
      <c r="M27" s="31"/>
      <c r="N27" s="108"/>
      <c r="O27" s="30"/>
      <c r="P27" s="30"/>
      <c r="Q27" s="30"/>
      <c r="R27" s="30"/>
      <c r="S27" s="30"/>
      <c r="T27" s="53">
        <f t="shared" si="3"/>
        <v>0</v>
      </c>
      <c r="U27" s="53">
        <f t="shared" si="4"/>
        <v>0</v>
      </c>
      <c r="V27" s="53">
        <f t="shared" si="5"/>
        <v>0</v>
      </c>
      <c r="W27" s="54">
        <f t="shared" si="12"/>
        <v>0</v>
      </c>
      <c r="X27" s="51" t="e">
        <f>VLOOKUP(W27,送料!$J$3:$K$42,2,FALSE)</f>
        <v>#N/A</v>
      </c>
      <c r="Y27" s="51" t="e">
        <f>VLOOKUP(X27,送料!$A$1:$B$40,2,FALSE)</f>
        <v>#N/A</v>
      </c>
      <c r="Z27" s="59">
        <f t="shared" si="6"/>
        <v>0</v>
      </c>
      <c r="AA27" s="62">
        <f t="shared" si="7"/>
        <v>4.5</v>
      </c>
      <c r="AB27" s="62">
        <f t="shared" si="8"/>
        <v>0</v>
      </c>
      <c r="AC27" s="65" t="e">
        <f t="shared" si="2"/>
        <v>#N/A</v>
      </c>
      <c r="AD27" s="65">
        <f t="shared" si="9"/>
        <v>0</v>
      </c>
      <c r="AE27" s="66" t="e">
        <f t="shared" si="10"/>
        <v>#N/A</v>
      </c>
    </row>
    <row r="28" spans="1:31">
      <c r="A28" s="105" t="s">
        <v>211</v>
      </c>
      <c r="B28" s="232">
        <f>【２】結果!K4</f>
        <v>0</v>
      </c>
      <c r="C28" s="115"/>
      <c r="D28" s="55"/>
      <c r="E28" s="45"/>
      <c r="F28" s="21"/>
      <c r="G28" s="21"/>
      <c r="H28" s="42"/>
      <c r="I28" s="42"/>
      <c r="J28" s="42"/>
      <c r="K28" s="42"/>
      <c r="L28" s="42"/>
      <c r="M28" s="31"/>
      <c r="N28" s="108"/>
      <c r="O28" s="30"/>
      <c r="P28" s="30"/>
      <c r="Q28" s="30"/>
      <c r="R28" s="30"/>
      <c r="S28" s="30"/>
      <c r="T28" s="53">
        <f t="shared" si="3"/>
        <v>0</v>
      </c>
      <c r="U28" s="53">
        <f t="shared" si="4"/>
        <v>0</v>
      </c>
      <c r="V28" s="53">
        <f t="shared" si="5"/>
        <v>0</v>
      </c>
      <c r="W28" s="54">
        <f t="shared" si="12"/>
        <v>0</v>
      </c>
      <c r="X28" s="51" t="e">
        <f>VLOOKUP(W28,送料!$J$3:$K$42,2,FALSE)</f>
        <v>#N/A</v>
      </c>
      <c r="Y28" s="51" t="e">
        <f>VLOOKUP(X28,送料!$A$1:$B$40,2,FALSE)</f>
        <v>#N/A</v>
      </c>
      <c r="Z28" s="59">
        <f t="shared" ref="Z28:Z91" si="13">(N28*S28)*0.16</f>
        <v>0</v>
      </c>
      <c r="AA28" s="62">
        <f t="shared" ref="AA28:AA91" si="14">(N28*0.15)+4.5</f>
        <v>4.5</v>
      </c>
      <c r="AB28" s="62">
        <f t="shared" ref="AB28:AB91" si="15">S28*AA28</f>
        <v>0</v>
      </c>
      <c r="AC28" s="65" t="e">
        <f t="shared" si="2"/>
        <v>#N/A</v>
      </c>
      <c r="AD28" s="65">
        <f t="shared" ref="AD28:AD91" si="16">N28*S28</f>
        <v>0</v>
      </c>
      <c r="AE28" s="66" t="e">
        <f t="shared" ref="AE28:AE91" si="17">AD28-AC28</f>
        <v>#N/A</v>
      </c>
    </row>
    <row r="29" spans="1:31">
      <c r="A29" s="105" t="s">
        <v>212</v>
      </c>
      <c r="B29" s="232">
        <f>【２】結果!L4</f>
        <v>0</v>
      </c>
      <c r="C29" s="115"/>
      <c r="D29" s="55"/>
      <c r="E29" s="45"/>
      <c r="F29" s="21"/>
      <c r="G29" s="21"/>
      <c r="H29" s="42"/>
      <c r="I29" s="42"/>
      <c r="J29" s="42"/>
      <c r="K29" s="42"/>
      <c r="L29" s="42"/>
      <c r="M29" s="31"/>
      <c r="N29" s="108"/>
      <c r="O29" s="30"/>
      <c r="P29" s="30"/>
      <c r="Q29" s="30"/>
      <c r="R29" s="30"/>
      <c r="S29" s="30"/>
      <c r="T29" s="53">
        <f t="shared" si="3"/>
        <v>0</v>
      </c>
      <c r="U29" s="53">
        <f t="shared" si="4"/>
        <v>0</v>
      </c>
      <c r="V29" s="53">
        <f t="shared" si="5"/>
        <v>0</v>
      </c>
      <c r="W29" s="54">
        <f t="shared" si="12"/>
        <v>0</v>
      </c>
      <c r="X29" s="51" t="e">
        <f>VLOOKUP(W29,送料!$J$3:$K$42,2,FALSE)</f>
        <v>#N/A</v>
      </c>
      <c r="Y29" s="51" t="e">
        <f>VLOOKUP(X29,送料!$A$1:$B$40,2,FALSE)</f>
        <v>#N/A</v>
      </c>
      <c r="Z29" s="59">
        <f t="shared" si="13"/>
        <v>0</v>
      </c>
      <c r="AA29" s="62">
        <f t="shared" si="14"/>
        <v>4.5</v>
      </c>
      <c r="AB29" s="62">
        <f t="shared" si="15"/>
        <v>0</v>
      </c>
      <c r="AC29" s="65" t="e">
        <f t="shared" si="2"/>
        <v>#N/A</v>
      </c>
      <c r="AD29" s="65">
        <f t="shared" si="16"/>
        <v>0</v>
      </c>
      <c r="AE29" s="66" t="e">
        <f t="shared" si="17"/>
        <v>#N/A</v>
      </c>
    </row>
    <row r="30" spans="1:31">
      <c r="A30" s="105" t="s">
        <v>213</v>
      </c>
      <c r="B30" s="232">
        <f>【２】結果!M4</f>
        <v>0</v>
      </c>
      <c r="C30" s="115"/>
      <c r="D30" s="55"/>
      <c r="E30" s="45"/>
      <c r="F30" s="21"/>
      <c r="G30" s="21"/>
      <c r="H30" s="42"/>
      <c r="I30" s="42"/>
      <c r="J30" s="42"/>
      <c r="K30" s="42"/>
      <c r="L30" s="42"/>
      <c r="M30" s="31"/>
      <c r="N30" s="108"/>
      <c r="O30" s="30"/>
      <c r="P30" s="30"/>
      <c r="Q30" s="30"/>
      <c r="R30" s="30"/>
      <c r="S30" s="30"/>
      <c r="T30" s="53">
        <f t="shared" si="3"/>
        <v>0</v>
      </c>
      <c r="U30" s="53">
        <f t="shared" si="4"/>
        <v>0</v>
      </c>
      <c r="V30" s="53">
        <f t="shared" si="5"/>
        <v>0</v>
      </c>
      <c r="W30" s="54">
        <f t="shared" si="12"/>
        <v>0</v>
      </c>
      <c r="X30" s="51" t="e">
        <f>VLOOKUP(W30,送料!$J$3:$K$42,2,FALSE)</f>
        <v>#N/A</v>
      </c>
      <c r="Y30" s="51" t="e">
        <f>VLOOKUP(X30,送料!$A$1:$B$40,2,FALSE)</f>
        <v>#N/A</v>
      </c>
      <c r="Z30" s="59">
        <f t="shared" si="13"/>
        <v>0</v>
      </c>
      <c r="AA30" s="62">
        <f t="shared" si="14"/>
        <v>4.5</v>
      </c>
      <c r="AB30" s="62">
        <f t="shared" si="15"/>
        <v>0</v>
      </c>
      <c r="AC30" s="65" t="e">
        <f t="shared" si="2"/>
        <v>#N/A</v>
      </c>
      <c r="AD30" s="65">
        <f t="shared" si="16"/>
        <v>0</v>
      </c>
      <c r="AE30" s="66" t="e">
        <f t="shared" si="17"/>
        <v>#N/A</v>
      </c>
    </row>
    <row r="31" spans="1:31">
      <c r="A31" s="105" t="s">
        <v>214</v>
      </c>
      <c r="B31" s="232">
        <f>【２】結果!N4</f>
        <v>0</v>
      </c>
      <c r="C31" s="115"/>
      <c r="D31" s="55"/>
      <c r="E31" s="45"/>
      <c r="F31" s="21"/>
      <c r="G31" s="21"/>
      <c r="H31" s="42"/>
      <c r="I31" s="42"/>
      <c r="J31" s="42"/>
      <c r="K31" s="42"/>
      <c r="L31" s="42"/>
      <c r="M31" s="31"/>
      <c r="N31" s="108"/>
      <c r="O31" s="30"/>
      <c r="P31" s="30"/>
      <c r="Q31" s="30"/>
      <c r="R31" s="30"/>
      <c r="S31" s="30"/>
      <c r="T31" s="53">
        <f t="shared" si="3"/>
        <v>0</v>
      </c>
      <c r="U31" s="53">
        <f t="shared" si="4"/>
        <v>0</v>
      </c>
      <c r="V31" s="53">
        <f t="shared" si="5"/>
        <v>0</v>
      </c>
      <c r="W31" s="54">
        <f t="shared" si="12"/>
        <v>0</v>
      </c>
      <c r="X31" s="51" t="e">
        <f>VLOOKUP(W31,送料!$J$3:$K$42,2,FALSE)</f>
        <v>#N/A</v>
      </c>
      <c r="Y31" s="51" t="e">
        <f>VLOOKUP(X31,送料!$A$1:$B$40,2,FALSE)</f>
        <v>#N/A</v>
      </c>
      <c r="Z31" s="59">
        <f t="shared" si="13"/>
        <v>0</v>
      </c>
      <c r="AA31" s="62">
        <f t="shared" si="14"/>
        <v>4.5</v>
      </c>
      <c r="AB31" s="62">
        <f t="shared" si="15"/>
        <v>0</v>
      </c>
      <c r="AC31" s="65" t="e">
        <f t="shared" si="2"/>
        <v>#N/A</v>
      </c>
      <c r="AD31" s="65">
        <f t="shared" si="16"/>
        <v>0</v>
      </c>
      <c r="AE31" s="66" t="e">
        <f t="shared" si="17"/>
        <v>#N/A</v>
      </c>
    </row>
    <row r="32" spans="1:31">
      <c r="A32" s="105" t="s">
        <v>215</v>
      </c>
      <c r="B32" s="232">
        <f>【２】結果!O4</f>
        <v>0</v>
      </c>
      <c r="C32" s="115"/>
      <c r="D32" s="55"/>
      <c r="E32" s="45"/>
      <c r="F32" s="21"/>
      <c r="G32" s="21"/>
      <c r="H32" s="42"/>
      <c r="I32" s="42"/>
      <c r="J32" s="42"/>
      <c r="K32" s="42"/>
      <c r="L32" s="42"/>
      <c r="M32" s="31"/>
      <c r="N32" s="108"/>
      <c r="O32" s="30"/>
      <c r="P32" s="30"/>
      <c r="Q32" s="30"/>
      <c r="R32" s="30"/>
      <c r="S32" s="30"/>
      <c r="T32" s="53">
        <f t="shared" si="3"/>
        <v>0</v>
      </c>
      <c r="U32" s="53">
        <f t="shared" si="4"/>
        <v>0</v>
      </c>
      <c r="V32" s="53">
        <f t="shared" si="5"/>
        <v>0</v>
      </c>
      <c r="W32" s="54">
        <f t="shared" si="12"/>
        <v>0</v>
      </c>
      <c r="X32" s="51" t="e">
        <f>VLOOKUP(W32,送料!$J$3:$K$42,2,FALSE)</f>
        <v>#N/A</v>
      </c>
      <c r="Y32" s="51" t="e">
        <f>VLOOKUP(X32,送料!$A$1:$B$40,2,FALSE)</f>
        <v>#N/A</v>
      </c>
      <c r="Z32" s="59">
        <f t="shared" si="13"/>
        <v>0</v>
      </c>
      <c r="AA32" s="62">
        <f t="shared" si="14"/>
        <v>4.5</v>
      </c>
      <c r="AB32" s="62">
        <f t="shared" si="15"/>
        <v>0</v>
      </c>
      <c r="AC32" s="65" t="e">
        <f t="shared" si="2"/>
        <v>#N/A</v>
      </c>
      <c r="AD32" s="65">
        <f t="shared" si="16"/>
        <v>0</v>
      </c>
      <c r="AE32" s="66" t="e">
        <f t="shared" si="17"/>
        <v>#N/A</v>
      </c>
    </row>
    <row r="33" spans="1:31">
      <c r="A33" s="105" t="s">
        <v>216</v>
      </c>
      <c r="B33" s="232">
        <f>【２】結果!P4</f>
        <v>0</v>
      </c>
      <c r="C33" s="115"/>
      <c r="D33" s="55"/>
      <c r="E33" s="45"/>
      <c r="F33" s="21"/>
      <c r="G33" s="21"/>
      <c r="H33" s="42"/>
      <c r="I33" s="42"/>
      <c r="J33" s="42"/>
      <c r="K33" s="42"/>
      <c r="L33" s="42"/>
      <c r="M33" s="31"/>
      <c r="N33" s="108"/>
      <c r="O33" s="30"/>
      <c r="P33" s="30"/>
      <c r="Q33" s="30"/>
      <c r="R33" s="30"/>
      <c r="S33" s="30"/>
      <c r="T33" s="53">
        <f t="shared" si="3"/>
        <v>0</v>
      </c>
      <c r="U33" s="53">
        <f t="shared" si="4"/>
        <v>0</v>
      </c>
      <c r="V33" s="53">
        <f t="shared" si="5"/>
        <v>0</v>
      </c>
      <c r="W33" s="54">
        <f t="shared" si="12"/>
        <v>0</v>
      </c>
      <c r="X33" s="51" t="e">
        <f>VLOOKUP(W33,送料!$J$3:$K$42,2,FALSE)</f>
        <v>#N/A</v>
      </c>
      <c r="Y33" s="51" t="e">
        <f>VLOOKUP(X33,送料!$A$1:$B$40,2,FALSE)</f>
        <v>#N/A</v>
      </c>
      <c r="Z33" s="59">
        <f t="shared" si="13"/>
        <v>0</v>
      </c>
      <c r="AA33" s="62">
        <f t="shared" si="14"/>
        <v>4.5</v>
      </c>
      <c r="AB33" s="62">
        <f t="shared" si="15"/>
        <v>0</v>
      </c>
      <c r="AC33" s="65" t="e">
        <f t="shared" si="2"/>
        <v>#N/A</v>
      </c>
      <c r="AD33" s="65">
        <f t="shared" si="16"/>
        <v>0</v>
      </c>
      <c r="AE33" s="66" t="e">
        <f t="shared" si="17"/>
        <v>#N/A</v>
      </c>
    </row>
    <row r="34" spans="1:31">
      <c r="A34" s="105" t="s">
        <v>217</v>
      </c>
      <c r="B34" s="232">
        <f>【２】結果!Q4</f>
        <v>0</v>
      </c>
      <c r="C34" s="115"/>
      <c r="D34" s="55"/>
      <c r="E34" s="45"/>
      <c r="F34" s="21"/>
      <c r="G34" s="21"/>
      <c r="H34" s="42"/>
      <c r="I34" s="42"/>
      <c r="J34" s="42"/>
      <c r="K34" s="42"/>
      <c r="L34" s="42"/>
      <c r="M34" s="31"/>
      <c r="N34" s="108"/>
      <c r="O34" s="30"/>
      <c r="P34" s="30"/>
      <c r="Q34" s="30"/>
      <c r="R34" s="30"/>
      <c r="S34" s="30"/>
      <c r="T34" s="53">
        <f t="shared" si="3"/>
        <v>0</v>
      </c>
      <c r="U34" s="53">
        <f t="shared" si="4"/>
        <v>0</v>
      </c>
      <c r="V34" s="53">
        <f t="shared" si="5"/>
        <v>0</v>
      </c>
      <c r="W34" s="54">
        <f t="shared" si="12"/>
        <v>0</v>
      </c>
      <c r="X34" s="51" t="e">
        <f>VLOOKUP(W34,送料!$J$3:$K$42,2,FALSE)</f>
        <v>#N/A</v>
      </c>
      <c r="Y34" s="51" t="e">
        <f>VLOOKUP(X34,送料!$A$1:$B$40,2,FALSE)</f>
        <v>#N/A</v>
      </c>
      <c r="Z34" s="59">
        <f t="shared" si="13"/>
        <v>0</v>
      </c>
      <c r="AA34" s="62">
        <f t="shared" si="14"/>
        <v>4.5</v>
      </c>
      <c r="AB34" s="62">
        <f t="shared" si="15"/>
        <v>0</v>
      </c>
      <c r="AC34" s="65" t="e">
        <f t="shared" si="2"/>
        <v>#N/A</v>
      </c>
      <c r="AD34" s="65">
        <f t="shared" si="16"/>
        <v>0</v>
      </c>
      <c r="AE34" s="66" t="e">
        <f t="shared" si="17"/>
        <v>#N/A</v>
      </c>
    </row>
    <row r="35" spans="1:31">
      <c r="A35" s="105" t="s">
        <v>218</v>
      </c>
      <c r="B35" s="232">
        <f>【２】結果!R4</f>
        <v>0</v>
      </c>
      <c r="C35" s="115"/>
      <c r="D35" s="55"/>
      <c r="E35" s="45"/>
      <c r="F35" s="21"/>
      <c r="G35" s="21"/>
      <c r="H35" s="42"/>
      <c r="I35" s="42"/>
      <c r="J35" s="42"/>
      <c r="K35" s="42"/>
      <c r="L35" s="42"/>
      <c r="M35" s="31"/>
      <c r="N35" s="108"/>
      <c r="O35" s="30"/>
      <c r="P35" s="30"/>
      <c r="Q35" s="30"/>
      <c r="R35" s="30"/>
      <c r="S35" s="30"/>
      <c r="T35" s="53">
        <f t="shared" si="3"/>
        <v>0</v>
      </c>
      <c r="U35" s="53">
        <f t="shared" si="4"/>
        <v>0</v>
      </c>
      <c r="V35" s="53">
        <f t="shared" si="5"/>
        <v>0</v>
      </c>
      <c r="W35" s="54">
        <f t="shared" si="12"/>
        <v>0</v>
      </c>
      <c r="X35" s="51" t="e">
        <f>VLOOKUP(W35,送料!$J$3:$K$42,2,FALSE)</f>
        <v>#N/A</v>
      </c>
      <c r="Y35" s="51" t="e">
        <f>VLOOKUP(X35,送料!$A$1:$B$40,2,FALSE)</f>
        <v>#N/A</v>
      </c>
      <c r="Z35" s="59">
        <f t="shared" si="13"/>
        <v>0</v>
      </c>
      <c r="AA35" s="62">
        <f t="shared" si="14"/>
        <v>4.5</v>
      </c>
      <c r="AB35" s="62">
        <f t="shared" si="15"/>
        <v>0</v>
      </c>
      <c r="AC35" s="65" t="e">
        <f t="shared" si="2"/>
        <v>#N/A</v>
      </c>
      <c r="AD35" s="65">
        <f t="shared" si="16"/>
        <v>0</v>
      </c>
      <c r="AE35" s="66" t="e">
        <f t="shared" si="17"/>
        <v>#N/A</v>
      </c>
    </row>
    <row r="36" spans="1:31">
      <c r="A36" s="105" t="s">
        <v>219</v>
      </c>
      <c r="B36" s="232">
        <f>【２】結果!S4</f>
        <v>0</v>
      </c>
      <c r="C36" s="115"/>
      <c r="D36" s="55"/>
      <c r="E36" s="45"/>
      <c r="F36" s="21"/>
      <c r="G36" s="21"/>
      <c r="H36" s="42"/>
      <c r="I36" s="42"/>
      <c r="J36" s="42"/>
      <c r="K36" s="42"/>
      <c r="L36" s="42"/>
      <c r="M36" s="31"/>
      <c r="N36" s="108"/>
      <c r="O36" s="30"/>
      <c r="P36" s="30"/>
      <c r="Q36" s="30"/>
      <c r="R36" s="30"/>
      <c r="S36" s="30"/>
      <c r="T36" s="53">
        <f t="shared" si="3"/>
        <v>0</v>
      </c>
      <c r="U36" s="53">
        <f t="shared" si="4"/>
        <v>0</v>
      </c>
      <c r="V36" s="53">
        <f t="shared" si="5"/>
        <v>0</v>
      </c>
      <c r="W36" s="54">
        <f t="shared" si="12"/>
        <v>0</v>
      </c>
      <c r="X36" s="51" t="e">
        <f>VLOOKUP(W36,送料!$J$3:$K$42,2,FALSE)</f>
        <v>#N/A</v>
      </c>
      <c r="Y36" s="51" t="e">
        <f>VLOOKUP(X36,送料!$A$1:$B$40,2,FALSE)</f>
        <v>#N/A</v>
      </c>
      <c r="Z36" s="59">
        <f t="shared" si="13"/>
        <v>0</v>
      </c>
      <c r="AA36" s="62">
        <f t="shared" si="14"/>
        <v>4.5</v>
      </c>
      <c r="AB36" s="62">
        <f t="shared" si="15"/>
        <v>0</v>
      </c>
      <c r="AC36" s="65" t="e">
        <f t="shared" si="2"/>
        <v>#N/A</v>
      </c>
      <c r="AD36" s="65">
        <f t="shared" si="16"/>
        <v>0</v>
      </c>
      <c r="AE36" s="66" t="e">
        <f t="shared" si="17"/>
        <v>#N/A</v>
      </c>
    </row>
    <row r="37" spans="1:31">
      <c r="A37" s="105" t="s">
        <v>220</v>
      </c>
      <c r="B37" s="232">
        <f>【２】結果!T4</f>
        <v>0</v>
      </c>
      <c r="C37" s="115"/>
      <c r="D37" s="55"/>
      <c r="E37" s="45"/>
      <c r="F37" s="21"/>
      <c r="G37" s="21"/>
      <c r="H37" s="42"/>
      <c r="I37" s="42"/>
      <c r="J37" s="42"/>
      <c r="K37" s="42"/>
      <c r="L37" s="42"/>
      <c r="M37" s="31"/>
      <c r="N37" s="108"/>
      <c r="O37" s="30"/>
      <c r="P37" s="30"/>
      <c r="Q37" s="30"/>
      <c r="R37" s="30"/>
      <c r="S37" s="30"/>
      <c r="T37" s="53">
        <f t="shared" si="3"/>
        <v>0</v>
      </c>
      <c r="U37" s="53">
        <f t="shared" si="4"/>
        <v>0</v>
      </c>
      <c r="V37" s="53">
        <f t="shared" si="5"/>
        <v>0</v>
      </c>
      <c r="W37" s="54">
        <f t="shared" si="12"/>
        <v>0</v>
      </c>
      <c r="X37" s="51" t="e">
        <f>VLOOKUP(W37,送料!$J$3:$K$42,2,FALSE)</f>
        <v>#N/A</v>
      </c>
      <c r="Y37" s="51" t="e">
        <f>VLOOKUP(X37,送料!$A$1:$B$40,2,FALSE)</f>
        <v>#N/A</v>
      </c>
      <c r="Z37" s="59">
        <f t="shared" si="13"/>
        <v>0</v>
      </c>
      <c r="AA37" s="62">
        <f t="shared" si="14"/>
        <v>4.5</v>
      </c>
      <c r="AB37" s="62">
        <f t="shared" si="15"/>
        <v>0</v>
      </c>
      <c r="AC37" s="65" t="e">
        <f t="shared" si="2"/>
        <v>#N/A</v>
      </c>
      <c r="AD37" s="65">
        <f t="shared" si="16"/>
        <v>0</v>
      </c>
      <c r="AE37" s="66" t="e">
        <f t="shared" si="17"/>
        <v>#N/A</v>
      </c>
    </row>
    <row r="38" spans="1:31">
      <c r="A38" s="105" t="s">
        <v>221</v>
      </c>
      <c r="B38" s="232">
        <f>【２】結果!U4</f>
        <v>0</v>
      </c>
      <c r="C38" s="115"/>
      <c r="D38" s="55"/>
      <c r="E38" s="45"/>
      <c r="F38" s="21"/>
      <c r="G38" s="21"/>
      <c r="H38" s="42"/>
      <c r="I38" s="42"/>
      <c r="J38" s="42"/>
      <c r="K38" s="42"/>
      <c r="L38" s="42"/>
      <c r="M38" s="31"/>
      <c r="N38" s="108"/>
      <c r="O38" s="30"/>
      <c r="P38" s="30"/>
      <c r="Q38" s="30"/>
      <c r="R38" s="30"/>
      <c r="S38" s="30"/>
      <c r="T38" s="53">
        <f t="shared" si="3"/>
        <v>0</v>
      </c>
      <c r="U38" s="53">
        <f t="shared" si="4"/>
        <v>0</v>
      </c>
      <c r="V38" s="53">
        <f t="shared" si="5"/>
        <v>0</v>
      </c>
      <c r="W38" s="54">
        <f t="shared" si="12"/>
        <v>0</v>
      </c>
      <c r="X38" s="51" t="e">
        <f>VLOOKUP(W38,送料!$J$3:$K$42,2,FALSE)</f>
        <v>#N/A</v>
      </c>
      <c r="Y38" s="51" t="e">
        <f>VLOOKUP(X38,送料!$A$1:$B$40,2,FALSE)</f>
        <v>#N/A</v>
      </c>
      <c r="Z38" s="59">
        <f t="shared" si="13"/>
        <v>0</v>
      </c>
      <c r="AA38" s="62">
        <f t="shared" si="14"/>
        <v>4.5</v>
      </c>
      <c r="AB38" s="62">
        <f t="shared" si="15"/>
        <v>0</v>
      </c>
      <c r="AC38" s="65" t="e">
        <f t="shared" si="2"/>
        <v>#N/A</v>
      </c>
      <c r="AD38" s="65">
        <f t="shared" si="16"/>
        <v>0</v>
      </c>
      <c r="AE38" s="66" t="e">
        <f t="shared" si="17"/>
        <v>#N/A</v>
      </c>
    </row>
    <row r="39" spans="1:31">
      <c r="A39" s="105" t="s">
        <v>222</v>
      </c>
      <c r="B39" s="232">
        <f>【２】結果!V4</f>
        <v>0</v>
      </c>
      <c r="C39" s="115"/>
      <c r="D39" s="55"/>
      <c r="E39" s="45"/>
      <c r="F39" s="21"/>
      <c r="G39" s="21"/>
      <c r="H39" s="42"/>
      <c r="I39" s="42"/>
      <c r="J39" s="42"/>
      <c r="K39" s="42"/>
      <c r="L39" s="42"/>
      <c r="M39" s="31"/>
      <c r="N39" s="108"/>
      <c r="O39" s="30"/>
      <c r="P39" s="30"/>
      <c r="Q39" s="30"/>
      <c r="R39" s="30"/>
      <c r="S39" s="30"/>
      <c r="T39" s="53">
        <f t="shared" si="3"/>
        <v>0</v>
      </c>
      <c r="U39" s="53">
        <f t="shared" si="4"/>
        <v>0</v>
      </c>
      <c r="V39" s="53">
        <f t="shared" si="5"/>
        <v>0</v>
      </c>
      <c r="W39" s="54">
        <f t="shared" si="12"/>
        <v>0</v>
      </c>
      <c r="X39" s="51" t="e">
        <f>VLOOKUP(W39,送料!$J$3:$K$42,2,FALSE)</f>
        <v>#N/A</v>
      </c>
      <c r="Y39" s="51" t="e">
        <f>VLOOKUP(X39,送料!$A$1:$B$40,2,FALSE)</f>
        <v>#N/A</v>
      </c>
      <c r="Z39" s="59">
        <f t="shared" si="13"/>
        <v>0</v>
      </c>
      <c r="AA39" s="62">
        <f t="shared" si="14"/>
        <v>4.5</v>
      </c>
      <c r="AB39" s="62">
        <f t="shared" si="15"/>
        <v>0</v>
      </c>
      <c r="AC39" s="65" t="e">
        <f t="shared" si="2"/>
        <v>#N/A</v>
      </c>
      <c r="AD39" s="65">
        <f t="shared" si="16"/>
        <v>0</v>
      </c>
      <c r="AE39" s="66" t="e">
        <f t="shared" si="17"/>
        <v>#N/A</v>
      </c>
    </row>
    <row r="40" spans="1:31">
      <c r="A40" s="105" t="s">
        <v>223</v>
      </c>
      <c r="B40" s="232">
        <f>【２】結果!W4</f>
        <v>0</v>
      </c>
      <c r="C40" s="115"/>
      <c r="D40" s="55"/>
      <c r="E40" s="45"/>
      <c r="F40" s="21"/>
      <c r="G40" s="21"/>
      <c r="H40" s="42"/>
      <c r="I40" s="42"/>
      <c r="J40" s="42"/>
      <c r="K40" s="42"/>
      <c r="L40" s="42"/>
      <c r="M40" s="31"/>
      <c r="N40" s="108"/>
      <c r="O40" s="30"/>
      <c r="P40" s="30"/>
      <c r="Q40" s="30"/>
      <c r="R40" s="30"/>
      <c r="S40" s="30"/>
      <c r="T40" s="53">
        <f t="shared" si="3"/>
        <v>0</v>
      </c>
      <c r="U40" s="53">
        <f t="shared" si="4"/>
        <v>0</v>
      </c>
      <c r="V40" s="53">
        <f t="shared" si="5"/>
        <v>0</v>
      </c>
      <c r="W40" s="54">
        <f t="shared" si="12"/>
        <v>0</v>
      </c>
      <c r="X40" s="51" t="e">
        <f>VLOOKUP(W40,送料!$J$3:$K$42,2,FALSE)</f>
        <v>#N/A</v>
      </c>
      <c r="Y40" s="51" t="e">
        <f>VLOOKUP(X40,送料!$A$1:$B$40,2,FALSE)</f>
        <v>#N/A</v>
      </c>
      <c r="Z40" s="59">
        <f t="shared" si="13"/>
        <v>0</v>
      </c>
      <c r="AA40" s="62">
        <f t="shared" si="14"/>
        <v>4.5</v>
      </c>
      <c r="AB40" s="62">
        <f t="shared" si="15"/>
        <v>0</v>
      </c>
      <c r="AC40" s="65" t="e">
        <f t="shared" si="2"/>
        <v>#N/A</v>
      </c>
      <c r="AD40" s="65">
        <f t="shared" si="16"/>
        <v>0</v>
      </c>
      <c r="AE40" s="66" t="e">
        <f t="shared" si="17"/>
        <v>#N/A</v>
      </c>
    </row>
    <row r="41" spans="1:31">
      <c r="A41" s="105" t="s">
        <v>224</v>
      </c>
      <c r="B41" s="232">
        <f>【２】結果!X4</f>
        <v>0</v>
      </c>
      <c r="C41" s="115"/>
      <c r="D41" s="55"/>
      <c r="E41" s="45"/>
      <c r="F41" s="21"/>
      <c r="G41" s="21"/>
      <c r="H41" s="42"/>
      <c r="I41" s="42"/>
      <c r="J41" s="42"/>
      <c r="K41" s="42"/>
      <c r="L41" s="42"/>
      <c r="M41" s="31"/>
      <c r="N41" s="108"/>
      <c r="O41" s="30"/>
      <c r="P41" s="30"/>
      <c r="Q41" s="30"/>
      <c r="R41" s="30"/>
      <c r="S41" s="30"/>
      <c r="T41" s="53">
        <f t="shared" si="3"/>
        <v>0</v>
      </c>
      <c r="U41" s="53">
        <f t="shared" si="4"/>
        <v>0</v>
      </c>
      <c r="V41" s="53">
        <f t="shared" si="5"/>
        <v>0</v>
      </c>
      <c r="W41" s="54">
        <f t="shared" si="12"/>
        <v>0</v>
      </c>
      <c r="X41" s="51" t="e">
        <f>VLOOKUP(W41,送料!$J$3:$K$42,2,FALSE)</f>
        <v>#N/A</v>
      </c>
      <c r="Y41" s="51" t="e">
        <f>VLOOKUP(X41,送料!$A$1:$B$40,2,FALSE)</f>
        <v>#N/A</v>
      </c>
      <c r="Z41" s="59">
        <f t="shared" si="13"/>
        <v>0</v>
      </c>
      <c r="AA41" s="62">
        <f t="shared" si="14"/>
        <v>4.5</v>
      </c>
      <c r="AB41" s="62">
        <f t="shared" si="15"/>
        <v>0</v>
      </c>
      <c r="AC41" s="65" t="e">
        <f t="shared" si="2"/>
        <v>#N/A</v>
      </c>
      <c r="AD41" s="65">
        <f t="shared" si="16"/>
        <v>0</v>
      </c>
      <c r="AE41" s="66" t="e">
        <f t="shared" si="17"/>
        <v>#N/A</v>
      </c>
    </row>
    <row r="42" spans="1:31">
      <c r="A42" s="105" t="s">
        <v>225</v>
      </c>
      <c r="B42" s="232">
        <f>【２】結果!E5</f>
        <v>0</v>
      </c>
      <c r="C42" s="115"/>
      <c r="D42" s="55"/>
      <c r="E42" s="45"/>
      <c r="F42" s="21"/>
      <c r="G42" s="21"/>
      <c r="H42" s="42"/>
      <c r="I42" s="42"/>
      <c r="J42" s="42"/>
      <c r="K42" s="42"/>
      <c r="L42" s="42"/>
      <c r="M42" s="31"/>
      <c r="N42" s="108"/>
      <c r="O42" s="30"/>
      <c r="P42" s="30"/>
      <c r="Q42" s="30"/>
      <c r="R42" s="30"/>
      <c r="S42" s="30"/>
      <c r="T42" s="53">
        <f t="shared" si="3"/>
        <v>0</v>
      </c>
      <c r="U42" s="53">
        <f t="shared" si="4"/>
        <v>0</v>
      </c>
      <c r="V42" s="53">
        <f t="shared" si="5"/>
        <v>0</v>
      </c>
      <c r="W42" s="54">
        <f t="shared" si="12"/>
        <v>0</v>
      </c>
      <c r="X42" s="51" t="e">
        <f>VLOOKUP(W42,送料!$J$3:$K$42,2,FALSE)</f>
        <v>#N/A</v>
      </c>
      <c r="Y42" s="51" t="e">
        <f>VLOOKUP(X42,送料!$A$1:$B$40,2,FALSE)</f>
        <v>#N/A</v>
      </c>
      <c r="Z42" s="59">
        <f t="shared" si="13"/>
        <v>0</v>
      </c>
      <c r="AA42" s="62">
        <f t="shared" si="14"/>
        <v>4.5</v>
      </c>
      <c r="AB42" s="62">
        <f t="shared" si="15"/>
        <v>0</v>
      </c>
      <c r="AC42" s="65" t="e">
        <f t="shared" si="2"/>
        <v>#N/A</v>
      </c>
      <c r="AD42" s="65">
        <f t="shared" si="16"/>
        <v>0</v>
      </c>
      <c r="AE42" s="66" t="e">
        <f t="shared" si="17"/>
        <v>#N/A</v>
      </c>
    </row>
    <row r="43" spans="1:31">
      <c r="A43" s="105" t="s">
        <v>226</v>
      </c>
      <c r="B43" s="232">
        <f>【２】結果!F5</f>
        <v>0</v>
      </c>
      <c r="C43" s="115"/>
      <c r="D43" s="55"/>
      <c r="E43" s="45"/>
      <c r="F43" s="21"/>
      <c r="G43" s="21"/>
      <c r="H43" s="42"/>
      <c r="I43" s="42"/>
      <c r="J43" s="42"/>
      <c r="K43" s="42"/>
      <c r="L43" s="42"/>
      <c r="M43" s="31"/>
      <c r="N43" s="108"/>
      <c r="O43" s="30"/>
      <c r="P43" s="30"/>
      <c r="Q43" s="30"/>
      <c r="R43" s="30"/>
      <c r="S43" s="30"/>
      <c r="T43" s="53">
        <f t="shared" si="3"/>
        <v>0</v>
      </c>
      <c r="U43" s="53">
        <f t="shared" si="4"/>
        <v>0</v>
      </c>
      <c r="V43" s="53">
        <f t="shared" si="5"/>
        <v>0</v>
      </c>
      <c r="W43" s="54">
        <f t="shared" si="12"/>
        <v>0</v>
      </c>
      <c r="X43" s="51" t="e">
        <f>VLOOKUP(W43,送料!$J$3:$K$42,2,FALSE)</f>
        <v>#N/A</v>
      </c>
      <c r="Y43" s="51" t="e">
        <f>VLOOKUP(X43,送料!$A$1:$B$40,2,FALSE)</f>
        <v>#N/A</v>
      </c>
      <c r="Z43" s="59">
        <f t="shared" si="13"/>
        <v>0</v>
      </c>
      <c r="AA43" s="62">
        <f t="shared" si="14"/>
        <v>4.5</v>
      </c>
      <c r="AB43" s="62">
        <f t="shared" si="15"/>
        <v>0</v>
      </c>
      <c r="AC43" s="65" t="e">
        <f t="shared" si="2"/>
        <v>#N/A</v>
      </c>
      <c r="AD43" s="65">
        <f t="shared" si="16"/>
        <v>0</v>
      </c>
      <c r="AE43" s="66" t="e">
        <f t="shared" si="17"/>
        <v>#N/A</v>
      </c>
    </row>
    <row r="44" spans="1:31">
      <c r="A44" s="105" t="s">
        <v>227</v>
      </c>
      <c r="B44" s="232">
        <f>【２】結果!G5</f>
        <v>0</v>
      </c>
      <c r="C44" s="115"/>
      <c r="D44" s="55"/>
      <c r="E44" s="45"/>
      <c r="F44" s="21"/>
      <c r="G44" s="21"/>
      <c r="H44" s="42"/>
      <c r="I44" s="42"/>
      <c r="J44" s="42"/>
      <c r="K44" s="42"/>
      <c r="L44" s="42"/>
      <c r="M44" s="31"/>
      <c r="N44" s="108"/>
      <c r="O44" s="30"/>
      <c r="P44" s="30"/>
      <c r="Q44" s="30"/>
      <c r="R44" s="30"/>
      <c r="S44" s="30"/>
      <c r="T44" s="53">
        <f t="shared" si="3"/>
        <v>0</v>
      </c>
      <c r="U44" s="53">
        <f t="shared" si="4"/>
        <v>0</v>
      </c>
      <c r="V44" s="53">
        <f t="shared" si="5"/>
        <v>0</v>
      </c>
      <c r="W44" s="54">
        <f t="shared" si="12"/>
        <v>0</v>
      </c>
      <c r="X44" s="51" t="e">
        <f>VLOOKUP(W44,送料!$J$3:$K$42,2,FALSE)</f>
        <v>#N/A</v>
      </c>
      <c r="Y44" s="51" t="e">
        <f>VLOOKUP(X44,送料!$A$1:$B$40,2,FALSE)</f>
        <v>#N/A</v>
      </c>
      <c r="Z44" s="59">
        <f t="shared" si="13"/>
        <v>0</v>
      </c>
      <c r="AA44" s="62">
        <f t="shared" si="14"/>
        <v>4.5</v>
      </c>
      <c r="AB44" s="62">
        <f t="shared" si="15"/>
        <v>0</v>
      </c>
      <c r="AC44" s="65" t="e">
        <f t="shared" si="2"/>
        <v>#N/A</v>
      </c>
      <c r="AD44" s="65">
        <f t="shared" si="16"/>
        <v>0</v>
      </c>
      <c r="AE44" s="66" t="e">
        <f t="shared" si="17"/>
        <v>#N/A</v>
      </c>
    </row>
    <row r="45" spans="1:31">
      <c r="A45" s="105" t="s">
        <v>228</v>
      </c>
      <c r="B45" s="232">
        <f>【２】結果!H5</f>
        <v>0</v>
      </c>
      <c r="C45" s="115"/>
      <c r="D45" s="55"/>
      <c r="E45" s="45"/>
      <c r="F45" s="21"/>
      <c r="G45" s="21"/>
      <c r="H45" s="42"/>
      <c r="I45" s="42"/>
      <c r="J45" s="42"/>
      <c r="K45" s="42"/>
      <c r="L45" s="42"/>
      <c r="M45" s="31"/>
      <c r="N45" s="108"/>
      <c r="O45" s="30"/>
      <c r="P45" s="30"/>
      <c r="Q45" s="30"/>
      <c r="R45" s="30"/>
      <c r="S45" s="30"/>
      <c r="T45" s="53">
        <f t="shared" si="3"/>
        <v>0</v>
      </c>
      <c r="U45" s="53">
        <f t="shared" si="4"/>
        <v>0</v>
      </c>
      <c r="V45" s="53">
        <f t="shared" si="5"/>
        <v>0</v>
      </c>
      <c r="W45" s="54">
        <f t="shared" si="12"/>
        <v>0</v>
      </c>
      <c r="X45" s="51" t="e">
        <f>VLOOKUP(W45,送料!$J$3:$K$42,2,FALSE)</f>
        <v>#N/A</v>
      </c>
      <c r="Y45" s="51" t="e">
        <f>VLOOKUP(X45,送料!$A$1:$B$40,2,FALSE)</f>
        <v>#N/A</v>
      </c>
      <c r="Z45" s="59">
        <f t="shared" si="13"/>
        <v>0</v>
      </c>
      <c r="AA45" s="62">
        <f t="shared" si="14"/>
        <v>4.5</v>
      </c>
      <c r="AB45" s="62">
        <f t="shared" si="15"/>
        <v>0</v>
      </c>
      <c r="AC45" s="65" t="e">
        <f t="shared" si="2"/>
        <v>#N/A</v>
      </c>
      <c r="AD45" s="65">
        <f t="shared" si="16"/>
        <v>0</v>
      </c>
      <c r="AE45" s="66" t="e">
        <f t="shared" si="17"/>
        <v>#N/A</v>
      </c>
    </row>
    <row r="46" spans="1:31">
      <c r="A46" s="105" t="s">
        <v>229</v>
      </c>
      <c r="B46" s="232">
        <f>【２】結果!I5</f>
        <v>0</v>
      </c>
      <c r="C46" s="115"/>
      <c r="D46" s="55"/>
      <c r="E46" s="45"/>
      <c r="F46" s="21"/>
      <c r="G46" s="21"/>
      <c r="H46" s="42"/>
      <c r="I46" s="42"/>
      <c r="J46" s="42"/>
      <c r="K46" s="42"/>
      <c r="L46" s="42"/>
      <c r="M46" s="31"/>
      <c r="N46" s="108"/>
      <c r="O46" s="30"/>
      <c r="P46" s="30"/>
      <c r="Q46" s="30"/>
      <c r="R46" s="30"/>
      <c r="S46" s="30"/>
      <c r="T46" s="53">
        <f t="shared" si="3"/>
        <v>0</v>
      </c>
      <c r="U46" s="53">
        <f t="shared" si="4"/>
        <v>0</v>
      </c>
      <c r="V46" s="53">
        <f t="shared" si="5"/>
        <v>0</v>
      </c>
      <c r="W46" s="54">
        <f t="shared" si="12"/>
        <v>0</v>
      </c>
      <c r="X46" s="51" t="e">
        <f>VLOOKUP(W46,送料!$J$3:$K$42,2,FALSE)</f>
        <v>#N/A</v>
      </c>
      <c r="Y46" s="51" t="e">
        <f>VLOOKUP(X46,送料!$A$1:$B$40,2,FALSE)</f>
        <v>#N/A</v>
      </c>
      <c r="Z46" s="59">
        <f t="shared" si="13"/>
        <v>0</v>
      </c>
      <c r="AA46" s="62">
        <f t="shared" si="14"/>
        <v>4.5</v>
      </c>
      <c r="AB46" s="62">
        <f t="shared" si="15"/>
        <v>0</v>
      </c>
      <c r="AC46" s="65" t="e">
        <f t="shared" si="2"/>
        <v>#N/A</v>
      </c>
      <c r="AD46" s="65">
        <f t="shared" si="16"/>
        <v>0</v>
      </c>
      <c r="AE46" s="66" t="e">
        <f t="shared" si="17"/>
        <v>#N/A</v>
      </c>
    </row>
    <row r="47" spans="1:31">
      <c r="A47" s="105" t="s">
        <v>230</v>
      </c>
      <c r="B47" s="232">
        <f>【２】結果!J5</f>
        <v>0</v>
      </c>
      <c r="C47" s="115"/>
      <c r="D47" s="55"/>
      <c r="E47" s="45"/>
      <c r="F47" s="21"/>
      <c r="G47" s="21"/>
      <c r="H47" s="42"/>
      <c r="I47" s="42"/>
      <c r="J47" s="42"/>
      <c r="K47" s="42"/>
      <c r="L47" s="42"/>
      <c r="M47" s="31"/>
      <c r="N47" s="108"/>
      <c r="O47" s="30"/>
      <c r="P47" s="30"/>
      <c r="Q47" s="30"/>
      <c r="R47" s="30"/>
      <c r="S47" s="30"/>
      <c r="T47" s="53">
        <f t="shared" si="3"/>
        <v>0</v>
      </c>
      <c r="U47" s="53">
        <f t="shared" si="4"/>
        <v>0</v>
      </c>
      <c r="V47" s="53">
        <f t="shared" si="5"/>
        <v>0</v>
      </c>
      <c r="W47" s="54">
        <f t="shared" si="12"/>
        <v>0</v>
      </c>
      <c r="X47" s="51" t="e">
        <f>VLOOKUP(W47,送料!$J$3:$K$42,2,FALSE)</f>
        <v>#N/A</v>
      </c>
      <c r="Y47" s="51" t="e">
        <f>VLOOKUP(X47,送料!$A$1:$B$40,2,FALSE)</f>
        <v>#N/A</v>
      </c>
      <c r="Z47" s="59">
        <f t="shared" si="13"/>
        <v>0</v>
      </c>
      <c r="AA47" s="62">
        <f t="shared" si="14"/>
        <v>4.5</v>
      </c>
      <c r="AB47" s="62">
        <f t="shared" si="15"/>
        <v>0</v>
      </c>
      <c r="AC47" s="65" t="e">
        <f t="shared" si="2"/>
        <v>#N/A</v>
      </c>
      <c r="AD47" s="65">
        <f t="shared" si="16"/>
        <v>0</v>
      </c>
      <c r="AE47" s="66" t="e">
        <f t="shared" si="17"/>
        <v>#N/A</v>
      </c>
    </row>
    <row r="48" spans="1:31">
      <c r="A48" s="105" t="s">
        <v>231</v>
      </c>
      <c r="B48" s="232">
        <f>【２】結果!K5</f>
        <v>0</v>
      </c>
      <c r="C48" s="115"/>
      <c r="D48" s="55"/>
      <c r="E48" s="45"/>
      <c r="F48" s="21"/>
      <c r="G48" s="21"/>
      <c r="H48" s="42"/>
      <c r="I48" s="42"/>
      <c r="J48" s="42"/>
      <c r="K48" s="42"/>
      <c r="L48" s="42"/>
      <c r="M48" s="31"/>
      <c r="N48" s="108"/>
      <c r="O48" s="30"/>
      <c r="P48" s="30"/>
      <c r="Q48" s="30"/>
      <c r="R48" s="30"/>
      <c r="S48" s="30"/>
      <c r="T48" s="53">
        <f t="shared" si="3"/>
        <v>0</v>
      </c>
      <c r="U48" s="53">
        <f t="shared" si="4"/>
        <v>0</v>
      </c>
      <c r="V48" s="53">
        <f t="shared" si="5"/>
        <v>0</v>
      </c>
      <c r="W48" s="54">
        <f t="shared" si="12"/>
        <v>0</v>
      </c>
      <c r="X48" s="51" t="e">
        <f>VLOOKUP(W48,送料!$J$3:$K$42,2,FALSE)</f>
        <v>#N/A</v>
      </c>
      <c r="Y48" s="51" t="e">
        <f>VLOOKUP(X48,送料!$A$1:$B$40,2,FALSE)</f>
        <v>#N/A</v>
      </c>
      <c r="Z48" s="59">
        <f t="shared" si="13"/>
        <v>0</v>
      </c>
      <c r="AA48" s="62">
        <f t="shared" si="14"/>
        <v>4.5</v>
      </c>
      <c r="AB48" s="62">
        <f t="shared" si="15"/>
        <v>0</v>
      </c>
      <c r="AC48" s="65" t="e">
        <f t="shared" si="2"/>
        <v>#N/A</v>
      </c>
      <c r="AD48" s="65">
        <f t="shared" si="16"/>
        <v>0</v>
      </c>
      <c r="AE48" s="66" t="e">
        <f t="shared" si="17"/>
        <v>#N/A</v>
      </c>
    </row>
    <row r="49" spans="1:31">
      <c r="A49" s="105" t="s">
        <v>232</v>
      </c>
      <c r="B49" s="232">
        <f>【２】結果!L5</f>
        <v>0</v>
      </c>
      <c r="C49" s="115"/>
      <c r="D49" s="55"/>
      <c r="E49" s="45"/>
      <c r="F49" s="21"/>
      <c r="G49" s="21"/>
      <c r="H49" s="42"/>
      <c r="I49" s="42"/>
      <c r="J49" s="42"/>
      <c r="K49" s="42"/>
      <c r="L49" s="42"/>
      <c r="M49" s="31"/>
      <c r="N49" s="108"/>
      <c r="O49" s="30"/>
      <c r="P49" s="30"/>
      <c r="Q49" s="30"/>
      <c r="R49" s="30"/>
      <c r="S49" s="30"/>
      <c r="T49" s="53">
        <f t="shared" si="3"/>
        <v>0</v>
      </c>
      <c r="U49" s="53">
        <f t="shared" si="4"/>
        <v>0</v>
      </c>
      <c r="V49" s="53">
        <f t="shared" si="5"/>
        <v>0</v>
      </c>
      <c r="W49" s="54">
        <f t="shared" si="12"/>
        <v>0</v>
      </c>
      <c r="X49" s="51" t="e">
        <f>VLOOKUP(W49,送料!$J$3:$K$42,2,FALSE)</f>
        <v>#N/A</v>
      </c>
      <c r="Y49" s="51" t="e">
        <f>VLOOKUP(X49,送料!$A$1:$B$40,2,FALSE)</f>
        <v>#N/A</v>
      </c>
      <c r="Z49" s="59">
        <f t="shared" si="13"/>
        <v>0</v>
      </c>
      <c r="AA49" s="62">
        <f t="shared" si="14"/>
        <v>4.5</v>
      </c>
      <c r="AB49" s="62">
        <f t="shared" si="15"/>
        <v>0</v>
      </c>
      <c r="AC49" s="65" t="e">
        <f t="shared" si="2"/>
        <v>#N/A</v>
      </c>
      <c r="AD49" s="65">
        <f t="shared" si="16"/>
        <v>0</v>
      </c>
      <c r="AE49" s="66" t="e">
        <f t="shared" si="17"/>
        <v>#N/A</v>
      </c>
    </row>
    <row r="50" spans="1:31">
      <c r="A50" s="105" t="s">
        <v>233</v>
      </c>
      <c r="B50" s="232">
        <f>【２】結果!M5</f>
        <v>0</v>
      </c>
      <c r="C50" s="115"/>
      <c r="D50" s="55"/>
      <c r="E50" s="45"/>
      <c r="F50" s="21"/>
      <c r="G50" s="21"/>
      <c r="H50" s="42"/>
      <c r="I50" s="42"/>
      <c r="J50" s="42"/>
      <c r="K50" s="42"/>
      <c r="L50" s="42"/>
      <c r="M50" s="31"/>
      <c r="N50" s="108"/>
      <c r="O50" s="30"/>
      <c r="P50" s="30"/>
      <c r="Q50" s="30"/>
      <c r="R50" s="30"/>
      <c r="S50" s="30"/>
      <c r="T50" s="53">
        <f t="shared" si="3"/>
        <v>0</v>
      </c>
      <c r="U50" s="53">
        <f t="shared" si="4"/>
        <v>0</v>
      </c>
      <c r="V50" s="53">
        <f t="shared" si="5"/>
        <v>0</v>
      </c>
      <c r="W50" s="54">
        <f t="shared" si="12"/>
        <v>0</v>
      </c>
      <c r="X50" s="51" t="e">
        <f>VLOOKUP(W50,送料!$J$3:$K$42,2,FALSE)</f>
        <v>#N/A</v>
      </c>
      <c r="Y50" s="51" t="e">
        <f>VLOOKUP(X50,送料!$A$1:$B$40,2,FALSE)</f>
        <v>#N/A</v>
      </c>
      <c r="Z50" s="59">
        <f t="shared" si="13"/>
        <v>0</v>
      </c>
      <c r="AA50" s="62">
        <f t="shared" si="14"/>
        <v>4.5</v>
      </c>
      <c r="AB50" s="62">
        <f t="shared" si="15"/>
        <v>0</v>
      </c>
      <c r="AC50" s="65" t="e">
        <f t="shared" si="2"/>
        <v>#N/A</v>
      </c>
      <c r="AD50" s="65">
        <f t="shared" si="16"/>
        <v>0</v>
      </c>
      <c r="AE50" s="66" t="e">
        <f t="shared" si="17"/>
        <v>#N/A</v>
      </c>
    </row>
    <row r="51" spans="1:31">
      <c r="A51" s="105" t="s">
        <v>234</v>
      </c>
      <c r="B51" s="232">
        <f>【２】結果!N5</f>
        <v>0</v>
      </c>
      <c r="C51" s="115"/>
      <c r="D51" s="55"/>
      <c r="E51" s="45"/>
      <c r="F51" s="21"/>
      <c r="G51" s="21"/>
      <c r="H51" s="42"/>
      <c r="I51" s="42"/>
      <c r="J51" s="42"/>
      <c r="K51" s="42"/>
      <c r="L51" s="42"/>
      <c r="M51" s="31"/>
      <c r="N51" s="108"/>
      <c r="O51" s="30"/>
      <c r="P51" s="30"/>
      <c r="Q51" s="30"/>
      <c r="R51" s="30"/>
      <c r="S51" s="30"/>
      <c r="T51" s="53">
        <f t="shared" si="3"/>
        <v>0</v>
      </c>
      <c r="U51" s="53">
        <f t="shared" si="4"/>
        <v>0</v>
      </c>
      <c r="V51" s="53">
        <f t="shared" si="5"/>
        <v>0</v>
      </c>
      <c r="W51" s="54">
        <f t="shared" si="12"/>
        <v>0</v>
      </c>
      <c r="X51" s="51" t="e">
        <f>VLOOKUP(W51,送料!$J$3:$K$42,2,FALSE)</f>
        <v>#N/A</v>
      </c>
      <c r="Y51" s="51" t="e">
        <f>VLOOKUP(X51,送料!$A$1:$B$40,2,FALSE)</f>
        <v>#N/A</v>
      </c>
      <c r="Z51" s="59">
        <f t="shared" si="13"/>
        <v>0</v>
      </c>
      <c r="AA51" s="62">
        <f t="shared" si="14"/>
        <v>4.5</v>
      </c>
      <c r="AB51" s="62">
        <f t="shared" si="15"/>
        <v>0</v>
      </c>
      <c r="AC51" s="65" t="e">
        <f t="shared" si="2"/>
        <v>#N/A</v>
      </c>
      <c r="AD51" s="65">
        <f t="shared" si="16"/>
        <v>0</v>
      </c>
      <c r="AE51" s="66" t="e">
        <f t="shared" si="17"/>
        <v>#N/A</v>
      </c>
    </row>
    <row r="52" spans="1:31">
      <c r="A52" s="105" t="s">
        <v>235</v>
      </c>
      <c r="B52" s="232">
        <f>【２】結果!O5</f>
        <v>0</v>
      </c>
      <c r="C52" s="115"/>
      <c r="D52" s="55"/>
      <c r="E52" s="45"/>
      <c r="F52" s="21"/>
      <c r="G52" s="21"/>
      <c r="H52" s="42"/>
      <c r="I52" s="42"/>
      <c r="J52" s="42"/>
      <c r="K52" s="42"/>
      <c r="L52" s="42"/>
      <c r="M52" s="31"/>
      <c r="N52" s="108"/>
      <c r="O52" s="30"/>
      <c r="P52" s="30"/>
      <c r="Q52" s="30"/>
      <c r="R52" s="30"/>
      <c r="S52" s="30"/>
      <c r="T52" s="53">
        <f t="shared" si="3"/>
        <v>0</v>
      </c>
      <c r="U52" s="53">
        <f t="shared" si="4"/>
        <v>0</v>
      </c>
      <c r="V52" s="53">
        <f t="shared" si="5"/>
        <v>0</v>
      </c>
      <c r="W52" s="54">
        <f t="shared" si="12"/>
        <v>0</v>
      </c>
      <c r="X52" s="51" t="e">
        <f>VLOOKUP(W52,送料!$J$3:$K$42,2,FALSE)</f>
        <v>#N/A</v>
      </c>
      <c r="Y52" s="51" t="e">
        <f>VLOOKUP(X52,送料!$A$1:$B$40,2,FALSE)</f>
        <v>#N/A</v>
      </c>
      <c r="Z52" s="59">
        <f t="shared" si="13"/>
        <v>0</v>
      </c>
      <c r="AA52" s="62">
        <f t="shared" si="14"/>
        <v>4.5</v>
      </c>
      <c r="AB52" s="62">
        <f t="shared" si="15"/>
        <v>0</v>
      </c>
      <c r="AC52" s="65" t="e">
        <f t="shared" si="2"/>
        <v>#N/A</v>
      </c>
      <c r="AD52" s="65">
        <f t="shared" si="16"/>
        <v>0</v>
      </c>
      <c r="AE52" s="66" t="e">
        <f t="shared" si="17"/>
        <v>#N/A</v>
      </c>
    </row>
    <row r="53" spans="1:31">
      <c r="A53" s="105" t="s">
        <v>236</v>
      </c>
      <c r="B53" s="232">
        <f>【２】結果!P5</f>
        <v>0</v>
      </c>
      <c r="C53" s="115"/>
      <c r="D53" s="55"/>
      <c r="E53" s="45"/>
      <c r="F53" s="21"/>
      <c r="G53" s="21"/>
      <c r="H53" s="42"/>
      <c r="I53" s="42"/>
      <c r="J53" s="42"/>
      <c r="K53" s="42"/>
      <c r="L53" s="42"/>
      <c r="M53" s="31"/>
      <c r="N53" s="108"/>
      <c r="O53" s="30"/>
      <c r="P53" s="30"/>
      <c r="Q53" s="30"/>
      <c r="R53" s="30"/>
      <c r="S53" s="30"/>
      <c r="T53" s="53">
        <f t="shared" si="3"/>
        <v>0</v>
      </c>
      <c r="U53" s="53">
        <f t="shared" si="4"/>
        <v>0</v>
      </c>
      <c r="V53" s="53">
        <f t="shared" si="5"/>
        <v>0</v>
      </c>
      <c r="W53" s="54">
        <f t="shared" si="12"/>
        <v>0</v>
      </c>
      <c r="X53" s="51" t="e">
        <f>VLOOKUP(W53,送料!$J$3:$K$42,2,FALSE)</f>
        <v>#N/A</v>
      </c>
      <c r="Y53" s="51" t="e">
        <f>VLOOKUP(X53,送料!$A$1:$B$40,2,FALSE)</f>
        <v>#N/A</v>
      </c>
      <c r="Z53" s="59">
        <f t="shared" si="13"/>
        <v>0</v>
      </c>
      <c r="AA53" s="62">
        <f t="shared" si="14"/>
        <v>4.5</v>
      </c>
      <c r="AB53" s="62">
        <f t="shared" si="15"/>
        <v>0</v>
      </c>
      <c r="AC53" s="65" t="e">
        <f t="shared" si="2"/>
        <v>#N/A</v>
      </c>
      <c r="AD53" s="65">
        <f t="shared" si="16"/>
        <v>0</v>
      </c>
      <c r="AE53" s="66" t="e">
        <f t="shared" si="17"/>
        <v>#N/A</v>
      </c>
    </row>
    <row r="54" spans="1:31">
      <c r="A54" s="105" t="s">
        <v>237</v>
      </c>
      <c r="B54" s="232">
        <f>【２】結果!Q5</f>
        <v>0</v>
      </c>
      <c r="C54" s="115"/>
      <c r="D54" s="55"/>
      <c r="E54" s="45"/>
      <c r="F54" s="21"/>
      <c r="G54" s="21"/>
      <c r="H54" s="42"/>
      <c r="I54" s="42"/>
      <c r="J54" s="42"/>
      <c r="K54" s="42"/>
      <c r="L54" s="42"/>
      <c r="M54" s="31"/>
      <c r="N54" s="108"/>
      <c r="O54" s="30"/>
      <c r="P54" s="30"/>
      <c r="Q54" s="30"/>
      <c r="R54" s="30"/>
      <c r="S54" s="30"/>
      <c r="T54" s="53">
        <f t="shared" si="3"/>
        <v>0</v>
      </c>
      <c r="U54" s="53">
        <f t="shared" si="4"/>
        <v>0</v>
      </c>
      <c r="V54" s="53">
        <f t="shared" si="5"/>
        <v>0</v>
      </c>
      <c r="W54" s="54">
        <f t="shared" si="12"/>
        <v>0</v>
      </c>
      <c r="X54" s="51" t="e">
        <f>VLOOKUP(W54,送料!$J$3:$K$42,2,FALSE)</f>
        <v>#N/A</v>
      </c>
      <c r="Y54" s="51" t="e">
        <f>VLOOKUP(X54,送料!$A$1:$B$40,2,FALSE)</f>
        <v>#N/A</v>
      </c>
      <c r="Z54" s="59">
        <f t="shared" si="13"/>
        <v>0</v>
      </c>
      <c r="AA54" s="62">
        <f t="shared" si="14"/>
        <v>4.5</v>
      </c>
      <c r="AB54" s="62">
        <f t="shared" si="15"/>
        <v>0</v>
      </c>
      <c r="AC54" s="65" t="e">
        <f t="shared" si="2"/>
        <v>#N/A</v>
      </c>
      <c r="AD54" s="65">
        <f t="shared" si="16"/>
        <v>0</v>
      </c>
      <c r="AE54" s="66" t="e">
        <f t="shared" si="17"/>
        <v>#N/A</v>
      </c>
    </row>
    <row r="55" spans="1:31">
      <c r="A55" s="105" t="s">
        <v>238</v>
      </c>
      <c r="B55" s="232">
        <f>【２】結果!R5</f>
        <v>0</v>
      </c>
      <c r="C55" s="115"/>
      <c r="D55" s="55"/>
      <c r="E55" s="45"/>
      <c r="F55" s="21"/>
      <c r="G55" s="21"/>
      <c r="H55" s="42"/>
      <c r="I55" s="42"/>
      <c r="J55" s="42"/>
      <c r="K55" s="42"/>
      <c r="L55" s="42"/>
      <c r="M55" s="31"/>
      <c r="N55" s="108"/>
      <c r="O55" s="30"/>
      <c r="P55" s="30"/>
      <c r="Q55" s="30"/>
      <c r="R55" s="30"/>
      <c r="S55" s="30"/>
      <c r="T55" s="53">
        <f t="shared" si="3"/>
        <v>0</v>
      </c>
      <c r="U55" s="53">
        <f t="shared" si="4"/>
        <v>0</v>
      </c>
      <c r="V55" s="53">
        <f t="shared" si="5"/>
        <v>0</v>
      </c>
      <c r="W55" s="54">
        <f t="shared" si="12"/>
        <v>0</v>
      </c>
      <c r="X55" s="51" t="e">
        <f>VLOOKUP(W55,送料!$J$3:$K$42,2,FALSE)</f>
        <v>#N/A</v>
      </c>
      <c r="Y55" s="51" t="e">
        <f>VLOOKUP(X55,送料!$A$1:$B$40,2,FALSE)</f>
        <v>#N/A</v>
      </c>
      <c r="Z55" s="59">
        <f t="shared" si="13"/>
        <v>0</v>
      </c>
      <c r="AA55" s="62">
        <f t="shared" si="14"/>
        <v>4.5</v>
      </c>
      <c r="AB55" s="62">
        <f t="shared" si="15"/>
        <v>0</v>
      </c>
      <c r="AC55" s="65" t="e">
        <f t="shared" si="2"/>
        <v>#N/A</v>
      </c>
      <c r="AD55" s="65">
        <f t="shared" si="16"/>
        <v>0</v>
      </c>
      <c r="AE55" s="66" t="e">
        <f t="shared" si="17"/>
        <v>#N/A</v>
      </c>
    </row>
    <row r="56" spans="1:31">
      <c r="A56" s="105" t="s">
        <v>239</v>
      </c>
      <c r="B56" s="232">
        <f>【２】結果!S5</f>
        <v>0</v>
      </c>
      <c r="C56" s="115"/>
      <c r="D56" s="55"/>
      <c r="E56" s="45"/>
      <c r="F56" s="21"/>
      <c r="G56" s="21"/>
      <c r="H56" s="42"/>
      <c r="I56" s="42"/>
      <c r="J56" s="42"/>
      <c r="K56" s="42"/>
      <c r="L56" s="42"/>
      <c r="M56" s="31"/>
      <c r="N56" s="108"/>
      <c r="O56" s="30"/>
      <c r="P56" s="30"/>
      <c r="Q56" s="30"/>
      <c r="R56" s="30"/>
      <c r="S56" s="30"/>
      <c r="T56" s="53">
        <f t="shared" si="3"/>
        <v>0</v>
      </c>
      <c r="U56" s="53">
        <f t="shared" si="4"/>
        <v>0</v>
      </c>
      <c r="V56" s="53">
        <f t="shared" si="5"/>
        <v>0</v>
      </c>
      <c r="W56" s="54">
        <f t="shared" si="12"/>
        <v>0</v>
      </c>
      <c r="X56" s="51" t="e">
        <f>VLOOKUP(W56,送料!$J$3:$K$42,2,FALSE)</f>
        <v>#N/A</v>
      </c>
      <c r="Y56" s="51" t="e">
        <f>VLOOKUP(X56,送料!$A$1:$B$40,2,FALSE)</f>
        <v>#N/A</v>
      </c>
      <c r="Z56" s="59">
        <f t="shared" si="13"/>
        <v>0</v>
      </c>
      <c r="AA56" s="62">
        <f t="shared" si="14"/>
        <v>4.5</v>
      </c>
      <c r="AB56" s="62">
        <f t="shared" si="15"/>
        <v>0</v>
      </c>
      <c r="AC56" s="65" t="e">
        <f t="shared" si="2"/>
        <v>#N/A</v>
      </c>
      <c r="AD56" s="65">
        <f t="shared" si="16"/>
        <v>0</v>
      </c>
      <c r="AE56" s="66" t="e">
        <f t="shared" si="17"/>
        <v>#N/A</v>
      </c>
    </row>
    <row r="57" spans="1:31">
      <c r="A57" s="105" t="s">
        <v>240</v>
      </c>
      <c r="B57" s="232">
        <f>【２】結果!T5</f>
        <v>0</v>
      </c>
      <c r="C57" s="115"/>
      <c r="D57" s="55"/>
      <c r="E57" s="45"/>
      <c r="F57" s="21"/>
      <c r="G57" s="21"/>
      <c r="H57" s="42"/>
      <c r="I57" s="42"/>
      <c r="J57" s="42"/>
      <c r="K57" s="42"/>
      <c r="L57" s="42"/>
      <c r="M57" s="31"/>
      <c r="N57" s="108"/>
      <c r="O57" s="30"/>
      <c r="P57" s="30"/>
      <c r="Q57" s="30"/>
      <c r="R57" s="30"/>
      <c r="S57" s="30"/>
      <c r="T57" s="53">
        <f t="shared" si="3"/>
        <v>0</v>
      </c>
      <c r="U57" s="53">
        <f t="shared" si="4"/>
        <v>0</v>
      </c>
      <c r="V57" s="53">
        <f t="shared" si="5"/>
        <v>0</v>
      </c>
      <c r="W57" s="54">
        <f t="shared" si="12"/>
        <v>0</v>
      </c>
      <c r="X57" s="51" t="e">
        <f>VLOOKUP(W57,送料!$J$3:$K$42,2,FALSE)</f>
        <v>#N/A</v>
      </c>
      <c r="Y57" s="51" t="e">
        <f>VLOOKUP(X57,送料!$A$1:$B$40,2,FALSE)</f>
        <v>#N/A</v>
      </c>
      <c r="Z57" s="59">
        <f t="shared" si="13"/>
        <v>0</v>
      </c>
      <c r="AA57" s="62">
        <f t="shared" si="14"/>
        <v>4.5</v>
      </c>
      <c r="AB57" s="62">
        <f t="shared" si="15"/>
        <v>0</v>
      </c>
      <c r="AC57" s="65" t="e">
        <f t="shared" si="2"/>
        <v>#N/A</v>
      </c>
      <c r="AD57" s="65">
        <f t="shared" si="16"/>
        <v>0</v>
      </c>
      <c r="AE57" s="66" t="e">
        <f t="shared" si="17"/>
        <v>#N/A</v>
      </c>
    </row>
    <row r="58" spans="1:31">
      <c r="A58" s="105" t="s">
        <v>241</v>
      </c>
      <c r="B58" s="232">
        <f>【２】結果!U5</f>
        <v>0</v>
      </c>
      <c r="C58" s="115"/>
      <c r="D58" s="55"/>
      <c r="E58" s="45"/>
      <c r="F58" s="21"/>
      <c r="G58" s="21"/>
      <c r="H58" s="42"/>
      <c r="I58" s="42"/>
      <c r="J58" s="42"/>
      <c r="K58" s="42"/>
      <c r="L58" s="42"/>
      <c r="M58" s="31"/>
      <c r="N58" s="108"/>
      <c r="O58" s="30"/>
      <c r="P58" s="30"/>
      <c r="Q58" s="30"/>
      <c r="R58" s="30"/>
      <c r="S58" s="30"/>
      <c r="T58" s="53">
        <f t="shared" si="3"/>
        <v>0</v>
      </c>
      <c r="U58" s="53">
        <f t="shared" si="4"/>
        <v>0</v>
      </c>
      <c r="V58" s="53">
        <f t="shared" si="5"/>
        <v>0</v>
      </c>
      <c r="W58" s="54">
        <f t="shared" si="12"/>
        <v>0</v>
      </c>
      <c r="X58" s="51" t="e">
        <f>VLOOKUP(W58,送料!$J$3:$K$42,2,FALSE)</f>
        <v>#N/A</v>
      </c>
      <c r="Y58" s="51" t="e">
        <f>VLOOKUP(X58,送料!$A$1:$B$40,2,FALSE)</f>
        <v>#N/A</v>
      </c>
      <c r="Z58" s="59">
        <f t="shared" si="13"/>
        <v>0</v>
      </c>
      <c r="AA58" s="62">
        <f t="shared" si="14"/>
        <v>4.5</v>
      </c>
      <c r="AB58" s="62">
        <f t="shared" si="15"/>
        <v>0</v>
      </c>
      <c r="AC58" s="65" t="e">
        <f t="shared" si="2"/>
        <v>#N/A</v>
      </c>
      <c r="AD58" s="65">
        <f t="shared" si="16"/>
        <v>0</v>
      </c>
      <c r="AE58" s="66" t="e">
        <f t="shared" si="17"/>
        <v>#N/A</v>
      </c>
    </row>
    <row r="59" spans="1:31">
      <c r="A59" s="105" t="s">
        <v>242</v>
      </c>
      <c r="B59" s="232">
        <f>【２】結果!V5</f>
        <v>0</v>
      </c>
      <c r="C59" s="115"/>
      <c r="D59" s="55"/>
      <c r="E59" s="45"/>
      <c r="F59" s="21"/>
      <c r="G59" s="21"/>
      <c r="H59" s="42"/>
      <c r="I59" s="42"/>
      <c r="J59" s="42"/>
      <c r="K59" s="42"/>
      <c r="L59" s="42"/>
      <c r="M59" s="31"/>
      <c r="N59" s="108"/>
      <c r="O59" s="30"/>
      <c r="P59" s="30"/>
      <c r="Q59" s="30"/>
      <c r="R59" s="30"/>
      <c r="S59" s="30"/>
      <c r="T59" s="53">
        <f t="shared" si="3"/>
        <v>0</v>
      </c>
      <c r="U59" s="53">
        <f t="shared" si="4"/>
        <v>0</v>
      </c>
      <c r="V59" s="53">
        <f t="shared" si="5"/>
        <v>0</v>
      </c>
      <c r="W59" s="54">
        <f t="shared" si="12"/>
        <v>0</v>
      </c>
      <c r="X59" s="51" t="e">
        <f>VLOOKUP(W59,送料!$J$3:$K$42,2,FALSE)</f>
        <v>#N/A</v>
      </c>
      <c r="Y59" s="51" t="e">
        <f>VLOOKUP(X59,送料!$A$1:$B$40,2,FALSE)</f>
        <v>#N/A</v>
      </c>
      <c r="Z59" s="59">
        <f t="shared" si="13"/>
        <v>0</v>
      </c>
      <c r="AA59" s="62">
        <f t="shared" si="14"/>
        <v>4.5</v>
      </c>
      <c r="AB59" s="62">
        <f t="shared" si="15"/>
        <v>0</v>
      </c>
      <c r="AC59" s="65" t="e">
        <f t="shared" si="2"/>
        <v>#N/A</v>
      </c>
      <c r="AD59" s="65">
        <f t="shared" si="16"/>
        <v>0</v>
      </c>
      <c r="AE59" s="66" t="e">
        <f t="shared" si="17"/>
        <v>#N/A</v>
      </c>
    </row>
    <row r="60" spans="1:31">
      <c r="A60" s="105" t="s">
        <v>243</v>
      </c>
      <c r="B60" s="232">
        <f>【２】結果!W5</f>
        <v>0</v>
      </c>
      <c r="C60" s="115"/>
      <c r="D60" s="55"/>
      <c r="E60" s="45"/>
      <c r="F60" s="21"/>
      <c r="G60" s="21"/>
      <c r="H60" s="42"/>
      <c r="I60" s="42"/>
      <c r="J60" s="42"/>
      <c r="K60" s="42"/>
      <c r="L60" s="42"/>
      <c r="M60" s="31"/>
      <c r="N60" s="108"/>
      <c r="O60" s="30"/>
      <c r="P60" s="30"/>
      <c r="Q60" s="30"/>
      <c r="R60" s="30"/>
      <c r="S60" s="30"/>
      <c r="T60" s="53">
        <f t="shared" si="3"/>
        <v>0</v>
      </c>
      <c r="U60" s="53">
        <f t="shared" si="4"/>
        <v>0</v>
      </c>
      <c r="V60" s="53">
        <f t="shared" si="5"/>
        <v>0</v>
      </c>
      <c r="W60" s="54">
        <f t="shared" si="12"/>
        <v>0</v>
      </c>
      <c r="X60" s="51" t="e">
        <f>VLOOKUP(W60,送料!$J$3:$K$42,2,FALSE)</f>
        <v>#N/A</v>
      </c>
      <c r="Y60" s="51" t="e">
        <f>VLOOKUP(X60,送料!$A$1:$B$40,2,FALSE)</f>
        <v>#N/A</v>
      </c>
      <c r="Z60" s="59">
        <f t="shared" si="13"/>
        <v>0</v>
      </c>
      <c r="AA60" s="62">
        <f t="shared" si="14"/>
        <v>4.5</v>
      </c>
      <c r="AB60" s="62">
        <f t="shared" si="15"/>
        <v>0</v>
      </c>
      <c r="AC60" s="65" t="e">
        <f t="shared" si="2"/>
        <v>#N/A</v>
      </c>
      <c r="AD60" s="65">
        <f t="shared" si="16"/>
        <v>0</v>
      </c>
      <c r="AE60" s="66" t="e">
        <f t="shared" si="17"/>
        <v>#N/A</v>
      </c>
    </row>
    <row r="61" spans="1:31">
      <c r="A61" s="105" t="s">
        <v>244</v>
      </c>
      <c r="B61" s="232">
        <f>【２】結果!X5</f>
        <v>0</v>
      </c>
      <c r="C61" s="115"/>
      <c r="D61" s="55"/>
      <c r="E61" s="45"/>
      <c r="F61" s="21"/>
      <c r="G61" s="21"/>
      <c r="H61" s="42"/>
      <c r="I61" s="42"/>
      <c r="J61" s="42"/>
      <c r="K61" s="42"/>
      <c r="L61" s="42"/>
      <c r="M61" s="31"/>
      <c r="N61" s="108"/>
      <c r="O61" s="30"/>
      <c r="P61" s="30"/>
      <c r="Q61" s="30"/>
      <c r="R61" s="30"/>
      <c r="S61" s="30"/>
      <c r="T61" s="53">
        <f t="shared" si="3"/>
        <v>0</v>
      </c>
      <c r="U61" s="53">
        <f t="shared" si="4"/>
        <v>0</v>
      </c>
      <c r="V61" s="53">
        <f t="shared" si="5"/>
        <v>0</v>
      </c>
      <c r="W61" s="54">
        <f t="shared" si="12"/>
        <v>0</v>
      </c>
      <c r="X61" s="51" t="e">
        <f>VLOOKUP(W61,送料!$J$3:$K$42,2,FALSE)</f>
        <v>#N/A</v>
      </c>
      <c r="Y61" s="51" t="e">
        <f>VLOOKUP(X61,送料!$A$1:$B$40,2,FALSE)</f>
        <v>#N/A</v>
      </c>
      <c r="Z61" s="59">
        <f t="shared" si="13"/>
        <v>0</v>
      </c>
      <c r="AA61" s="62">
        <f t="shared" si="14"/>
        <v>4.5</v>
      </c>
      <c r="AB61" s="62">
        <f t="shared" si="15"/>
        <v>0</v>
      </c>
      <c r="AC61" s="65" t="e">
        <f t="shared" si="2"/>
        <v>#N/A</v>
      </c>
      <c r="AD61" s="65">
        <f t="shared" si="16"/>
        <v>0</v>
      </c>
      <c r="AE61" s="66" t="e">
        <f t="shared" si="17"/>
        <v>#N/A</v>
      </c>
    </row>
    <row r="62" spans="1:31">
      <c r="A62" s="105" t="s">
        <v>245</v>
      </c>
      <c r="B62" s="232">
        <f>【２】結果!E6</f>
        <v>0</v>
      </c>
      <c r="C62" s="115"/>
      <c r="D62" s="55"/>
      <c r="E62" s="45"/>
      <c r="F62" s="21"/>
      <c r="G62" s="21"/>
      <c r="H62" s="42"/>
      <c r="I62" s="42"/>
      <c r="J62" s="42"/>
      <c r="K62" s="42"/>
      <c r="L62" s="42"/>
      <c r="M62" s="31"/>
      <c r="N62" s="108"/>
      <c r="O62" s="30"/>
      <c r="P62" s="30"/>
      <c r="Q62" s="30"/>
      <c r="R62" s="30"/>
      <c r="S62" s="30"/>
      <c r="T62" s="53">
        <f t="shared" si="3"/>
        <v>0</v>
      </c>
      <c r="U62" s="53">
        <f t="shared" si="4"/>
        <v>0</v>
      </c>
      <c r="V62" s="53">
        <f t="shared" si="5"/>
        <v>0</v>
      </c>
      <c r="W62" s="54">
        <f t="shared" si="12"/>
        <v>0</v>
      </c>
      <c r="X62" s="51" t="e">
        <f>VLOOKUP(W62,送料!$J$3:$K$42,2,FALSE)</f>
        <v>#N/A</v>
      </c>
      <c r="Y62" s="51" t="e">
        <f>VLOOKUP(X62,送料!$A$1:$B$40,2,FALSE)</f>
        <v>#N/A</v>
      </c>
      <c r="Z62" s="59">
        <f t="shared" si="13"/>
        <v>0</v>
      </c>
      <c r="AA62" s="62">
        <f t="shared" si="14"/>
        <v>4.5</v>
      </c>
      <c r="AB62" s="62">
        <f t="shared" si="15"/>
        <v>0</v>
      </c>
      <c r="AC62" s="65" t="e">
        <f t="shared" si="2"/>
        <v>#N/A</v>
      </c>
      <c r="AD62" s="65">
        <f t="shared" si="16"/>
        <v>0</v>
      </c>
      <c r="AE62" s="66" t="e">
        <f t="shared" si="17"/>
        <v>#N/A</v>
      </c>
    </row>
    <row r="63" spans="1:31">
      <c r="A63" s="105" t="s">
        <v>246</v>
      </c>
      <c r="B63" s="232">
        <f>【２】結果!F6</f>
        <v>0</v>
      </c>
      <c r="C63" s="115"/>
      <c r="D63" s="55"/>
      <c r="E63" s="45"/>
      <c r="F63" s="21"/>
      <c r="G63" s="21"/>
      <c r="H63" s="42"/>
      <c r="I63" s="42"/>
      <c r="J63" s="42"/>
      <c r="K63" s="42"/>
      <c r="L63" s="42"/>
      <c r="M63" s="31"/>
      <c r="N63" s="108"/>
      <c r="O63" s="30"/>
      <c r="P63" s="30"/>
      <c r="Q63" s="30"/>
      <c r="R63" s="30"/>
      <c r="S63" s="30"/>
      <c r="T63" s="53">
        <f t="shared" si="3"/>
        <v>0</v>
      </c>
      <c r="U63" s="53">
        <f t="shared" si="4"/>
        <v>0</v>
      </c>
      <c r="V63" s="53">
        <f t="shared" si="5"/>
        <v>0</v>
      </c>
      <c r="W63" s="54">
        <f t="shared" si="12"/>
        <v>0</v>
      </c>
      <c r="X63" s="51" t="e">
        <f>VLOOKUP(W63,送料!$J$3:$K$42,2,FALSE)</f>
        <v>#N/A</v>
      </c>
      <c r="Y63" s="51" t="e">
        <f>VLOOKUP(X63,送料!$A$1:$B$40,2,FALSE)</f>
        <v>#N/A</v>
      </c>
      <c r="Z63" s="59">
        <f t="shared" si="13"/>
        <v>0</v>
      </c>
      <c r="AA63" s="62">
        <f t="shared" si="14"/>
        <v>4.5</v>
      </c>
      <c r="AB63" s="62">
        <f t="shared" si="15"/>
        <v>0</v>
      </c>
      <c r="AC63" s="65" t="e">
        <f t="shared" si="2"/>
        <v>#N/A</v>
      </c>
      <c r="AD63" s="65">
        <f t="shared" si="16"/>
        <v>0</v>
      </c>
      <c r="AE63" s="66" t="e">
        <f t="shared" si="17"/>
        <v>#N/A</v>
      </c>
    </row>
    <row r="64" spans="1:31">
      <c r="A64" s="105" t="s">
        <v>247</v>
      </c>
      <c r="B64" s="232">
        <f>【２】結果!G6</f>
        <v>0</v>
      </c>
      <c r="C64" s="115"/>
      <c r="D64" s="55"/>
      <c r="E64" s="45"/>
      <c r="F64" s="21"/>
      <c r="G64" s="21"/>
      <c r="H64" s="42"/>
      <c r="I64" s="42"/>
      <c r="J64" s="42"/>
      <c r="K64" s="42"/>
      <c r="L64" s="42"/>
      <c r="M64" s="31"/>
      <c r="N64" s="108"/>
      <c r="O64" s="30"/>
      <c r="P64" s="30"/>
      <c r="Q64" s="30"/>
      <c r="R64" s="30"/>
      <c r="S64" s="30"/>
      <c r="T64" s="53">
        <f t="shared" si="3"/>
        <v>0</v>
      </c>
      <c r="U64" s="53">
        <f t="shared" si="4"/>
        <v>0</v>
      </c>
      <c r="V64" s="53">
        <f t="shared" si="5"/>
        <v>0</v>
      </c>
      <c r="W64" s="54">
        <f t="shared" si="12"/>
        <v>0</v>
      </c>
      <c r="X64" s="51" t="e">
        <f>VLOOKUP(W64,送料!$J$3:$K$42,2,FALSE)</f>
        <v>#N/A</v>
      </c>
      <c r="Y64" s="51" t="e">
        <f>VLOOKUP(X64,送料!$A$1:$B$40,2,FALSE)</f>
        <v>#N/A</v>
      </c>
      <c r="Z64" s="59">
        <f t="shared" si="13"/>
        <v>0</v>
      </c>
      <c r="AA64" s="62">
        <f t="shared" si="14"/>
        <v>4.5</v>
      </c>
      <c r="AB64" s="62">
        <f t="shared" si="15"/>
        <v>0</v>
      </c>
      <c r="AC64" s="65" t="e">
        <f t="shared" si="2"/>
        <v>#N/A</v>
      </c>
      <c r="AD64" s="65">
        <f t="shared" si="16"/>
        <v>0</v>
      </c>
      <c r="AE64" s="66" t="e">
        <f t="shared" si="17"/>
        <v>#N/A</v>
      </c>
    </row>
    <row r="65" spans="1:31">
      <c r="A65" s="105" t="s">
        <v>248</v>
      </c>
      <c r="B65" s="232">
        <f>【２】結果!H6</f>
        <v>0</v>
      </c>
      <c r="C65" s="115"/>
      <c r="D65" s="55"/>
      <c r="E65" s="45"/>
      <c r="F65" s="21"/>
      <c r="G65" s="21"/>
      <c r="H65" s="42"/>
      <c r="I65" s="42"/>
      <c r="J65" s="42"/>
      <c r="K65" s="42"/>
      <c r="L65" s="42"/>
      <c r="M65" s="31"/>
      <c r="N65" s="108"/>
      <c r="O65" s="30"/>
      <c r="P65" s="30"/>
      <c r="Q65" s="30"/>
      <c r="R65" s="30"/>
      <c r="S65" s="30"/>
      <c r="T65" s="53">
        <f t="shared" si="3"/>
        <v>0</v>
      </c>
      <c r="U65" s="53">
        <f t="shared" si="4"/>
        <v>0</v>
      </c>
      <c r="V65" s="53">
        <f t="shared" si="5"/>
        <v>0</v>
      </c>
      <c r="W65" s="54">
        <f t="shared" si="12"/>
        <v>0</v>
      </c>
      <c r="X65" s="51" t="e">
        <f>VLOOKUP(W65,送料!$J$3:$K$42,2,FALSE)</f>
        <v>#N/A</v>
      </c>
      <c r="Y65" s="51" t="e">
        <f>VLOOKUP(X65,送料!$A$1:$B$40,2,FALSE)</f>
        <v>#N/A</v>
      </c>
      <c r="Z65" s="59">
        <f t="shared" si="13"/>
        <v>0</v>
      </c>
      <c r="AA65" s="62">
        <f t="shared" si="14"/>
        <v>4.5</v>
      </c>
      <c r="AB65" s="62">
        <f t="shared" si="15"/>
        <v>0</v>
      </c>
      <c r="AC65" s="65" t="e">
        <f t="shared" si="2"/>
        <v>#N/A</v>
      </c>
      <c r="AD65" s="65">
        <f t="shared" si="16"/>
        <v>0</v>
      </c>
      <c r="AE65" s="66" t="e">
        <f t="shared" si="17"/>
        <v>#N/A</v>
      </c>
    </row>
    <row r="66" spans="1:31">
      <c r="A66" s="105" t="s">
        <v>249</v>
      </c>
      <c r="B66" s="232">
        <f>【２】結果!I6</f>
        <v>0</v>
      </c>
      <c r="C66" s="115"/>
      <c r="D66" s="55"/>
      <c r="E66" s="45"/>
      <c r="F66" s="21"/>
      <c r="G66" s="21"/>
      <c r="H66" s="42"/>
      <c r="I66" s="42"/>
      <c r="J66" s="42"/>
      <c r="K66" s="42"/>
      <c r="L66" s="42"/>
      <c r="M66" s="31"/>
      <c r="N66" s="108"/>
      <c r="O66" s="30"/>
      <c r="P66" s="30"/>
      <c r="Q66" s="30"/>
      <c r="R66" s="30"/>
      <c r="S66" s="30"/>
      <c r="T66" s="53">
        <f t="shared" si="3"/>
        <v>0</v>
      </c>
      <c r="U66" s="53">
        <f t="shared" si="4"/>
        <v>0</v>
      </c>
      <c r="V66" s="53">
        <f t="shared" si="5"/>
        <v>0</v>
      </c>
      <c r="W66" s="54">
        <f t="shared" si="12"/>
        <v>0</v>
      </c>
      <c r="X66" s="51" t="e">
        <f>VLOOKUP(W66,送料!$J$3:$K$42,2,FALSE)</f>
        <v>#N/A</v>
      </c>
      <c r="Y66" s="51" t="e">
        <f>VLOOKUP(X66,送料!$A$1:$B$40,2,FALSE)</f>
        <v>#N/A</v>
      </c>
      <c r="Z66" s="59">
        <f t="shared" si="13"/>
        <v>0</v>
      </c>
      <c r="AA66" s="62">
        <f t="shared" si="14"/>
        <v>4.5</v>
      </c>
      <c r="AB66" s="62">
        <f t="shared" si="15"/>
        <v>0</v>
      </c>
      <c r="AC66" s="65" t="e">
        <f t="shared" ref="AC66:AC129" si="18">Y66+Z66+AB66+D66</f>
        <v>#N/A</v>
      </c>
      <c r="AD66" s="65">
        <f t="shared" si="16"/>
        <v>0</v>
      </c>
      <c r="AE66" s="66" t="e">
        <f t="shared" si="17"/>
        <v>#N/A</v>
      </c>
    </row>
    <row r="67" spans="1:31">
      <c r="A67" s="105" t="s">
        <v>250</v>
      </c>
      <c r="B67" s="232">
        <f>【２】結果!J6</f>
        <v>0</v>
      </c>
      <c r="C67" s="115"/>
      <c r="D67" s="55"/>
      <c r="E67" s="45"/>
      <c r="F67" s="21"/>
      <c r="G67" s="21"/>
      <c r="H67" s="42"/>
      <c r="I67" s="42"/>
      <c r="J67" s="42"/>
      <c r="K67" s="42"/>
      <c r="L67" s="42"/>
      <c r="M67" s="31"/>
      <c r="N67" s="108"/>
      <c r="O67" s="30"/>
      <c r="P67" s="30"/>
      <c r="Q67" s="30"/>
      <c r="R67" s="30"/>
      <c r="S67" s="30"/>
      <c r="T67" s="53">
        <f t="shared" ref="T67:T99" si="19">O67</f>
        <v>0</v>
      </c>
      <c r="U67" s="53">
        <f t="shared" ref="U67:U99" si="20">(P67*Q67*R67)/5000</f>
        <v>0</v>
      </c>
      <c r="V67" s="53">
        <f t="shared" ref="V67:V99" si="21">MAX(T67,U67)</f>
        <v>0</v>
      </c>
      <c r="W67" s="54">
        <f t="shared" si="12"/>
        <v>0</v>
      </c>
      <c r="X67" s="51" t="e">
        <f>VLOOKUP(W67,送料!$J$3:$K$42,2,FALSE)</f>
        <v>#N/A</v>
      </c>
      <c r="Y67" s="51" t="e">
        <f>VLOOKUP(X67,送料!$A$1:$B$40,2,FALSE)</f>
        <v>#N/A</v>
      </c>
      <c r="Z67" s="59">
        <f t="shared" si="13"/>
        <v>0</v>
      </c>
      <c r="AA67" s="62">
        <f t="shared" si="14"/>
        <v>4.5</v>
      </c>
      <c r="AB67" s="62">
        <f t="shared" si="15"/>
        <v>0</v>
      </c>
      <c r="AC67" s="65" t="e">
        <f t="shared" si="18"/>
        <v>#N/A</v>
      </c>
      <c r="AD67" s="65">
        <f t="shared" si="16"/>
        <v>0</v>
      </c>
      <c r="AE67" s="66" t="e">
        <f t="shared" si="17"/>
        <v>#N/A</v>
      </c>
    </row>
    <row r="68" spans="1:31">
      <c r="A68" s="105" t="s">
        <v>251</v>
      </c>
      <c r="B68" s="232">
        <f>【２】結果!K6</f>
        <v>0</v>
      </c>
      <c r="C68" s="115"/>
      <c r="D68" s="55"/>
      <c r="E68" s="45"/>
      <c r="F68" s="21"/>
      <c r="G68" s="21"/>
      <c r="H68" s="42"/>
      <c r="I68" s="42"/>
      <c r="J68" s="42"/>
      <c r="K68" s="42"/>
      <c r="L68" s="42"/>
      <c r="M68" s="31"/>
      <c r="N68" s="108"/>
      <c r="O68" s="30"/>
      <c r="P68" s="30"/>
      <c r="Q68" s="30"/>
      <c r="R68" s="30"/>
      <c r="S68" s="30"/>
      <c r="T68" s="53">
        <f t="shared" si="19"/>
        <v>0</v>
      </c>
      <c r="U68" s="53">
        <f t="shared" si="20"/>
        <v>0</v>
      </c>
      <c r="V68" s="53">
        <f t="shared" si="21"/>
        <v>0</v>
      </c>
      <c r="W68" s="54">
        <f t="shared" ref="W68:W99" si="22">CEILING(ROUNDDOWN(V68,2),0.5)</f>
        <v>0</v>
      </c>
      <c r="X68" s="51" t="e">
        <f>VLOOKUP(W68,送料!$J$3:$K$42,2,FALSE)</f>
        <v>#N/A</v>
      </c>
      <c r="Y68" s="51" t="e">
        <f>VLOOKUP(X68,送料!$A$1:$B$40,2,FALSE)</f>
        <v>#N/A</v>
      </c>
      <c r="Z68" s="59">
        <f t="shared" si="13"/>
        <v>0</v>
      </c>
      <c r="AA68" s="62">
        <f t="shared" si="14"/>
        <v>4.5</v>
      </c>
      <c r="AB68" s="62">
        <f t="shared" si="15"/>
        <v>0</v>
      </c>
      <c r="AC68" s="65" t="e">
        <f t="shared" si="18"/>
        <v>#N/A</v>
      </c>
      <c r="AD68" s="65">
        <f t="shared" si="16"/>
        <v>0</v>
      </c>
      <c r="AE68" s="66" t="e">
        <f t="shared" si="17"/>
        <v>#N/A</v>
      </c>
    </row>
    <row r="69" spans="1:31">
      <c r="A69" s="105" t="s">
        <v>252</v>
      </c>
      <c r="B69" s="232">
        <f>【２】結果!L6</f>
        <v>0</v>
      </c>
      <c r="C69" s="115"/>
      <c r="D69" s="55"/>
      <c r="E69" s="45"/>
      <c r="F69" s="21"/>
      <c r="G69" s="21"/>
      <c r="H69" s="42"/>
      <c r="I69" s="42"/>
      <c r="J69" s="42"/>
      <c r="K69" s="42"/>
      <c r="L69" s="42"/>
      <c r="M69" s="31"/>
      <c r="N69" s="108"/>
      <c r="O69" s="30"/>
      <c r="P69" s="30"/>
      <c r="Q69" s="30"/>
      <c r="R69" s="30"/>
      <c r="S69" s="30"/>
      <c r="T69" s="53">
        <f t="shared" si="19"/>
        <v>0</v>
      </c>
      <c r="U69" s="53">
        <f t="shared" si="20"/>
        <v>0</v>
      </c>
      <c r="V69" s="53">
        <f t="shared" si="21"/>
        <v>0</v>
      </c>
      <c r="W69" s="54">
        <f t="shared" si="22"/>
        <v>0</v>
      </c>
      <c r="X69" s="51" t="e">
        <f>VLOOKUP(W69,送料!$J$3:$K$42,2,FALSE)</f>
        <v>#N/A</v>
      </c>
      <c r="Y69" s="51" t="e">
        <f>VLOOKUP(X69,送料!$A$1:$B$40,2,FALSE)</f>
        <v>#N/A</v>
      </c>
      <c r="Z69" s="59">
        <f t="shared" si="13"/>
        <v>0</v>
      </c>
      <c r="AA69" s="62">
        <f t="shared" si="14"/>
        <v>4.5</v>
      </c>
      <c r="AB69" s="62">
        <f t="shared" si="15"/>
        <v>0</v>
      </c>
      <c r="AC69" s="65" t="e">
        <f t="shared" si="18"/>
        <v>#N/A</v>
      </c>
      <c r="AD69" s="65">
        <f t="shared" si="16"/>
        <v>0</v>
      </c>
      <c r="AE69" s="66" t="e">
        <f t="shared" si="17"/>
        <v>#N/A</v>
      </c>
    </row>
    <row r="70" spans="1:31">
      <c r="A70" s="105" t="s">
        <v>253</v>
      </c>
      <c r="B70" s="232">
        <f>【２】結果!M6</f>
        <v>0</v>
      </c>
      <c r="C70" s="115"/>
      <c r="D70" s="55"/>
      <c r="E70" s="45"/>
      <c r="F70" s="21"/>
      <c r="G70" s="21"/>
      <c r="H70" s="42"/>
      <c r="I70" s="42"/>
      <c r="J70" s="42"/>
      <c r="K70" s="42"/>
      <c r="L70" s="42"/>
      <c r="M70" s="31"/>
      <c r="N70" s="108"/>
      <c r="O70" s="30"/>
      <c r="P70" s="30"/>
      <c r="Q70" s="30"/>
      <c r="R70" s="30"/>
      <c r="S70" s="30"/>
      <c r="T70" s="53">
        <f t="shared" si="19"/>
        <v>0</v>
      </c>
      <c r="U70" s="53">
        <f t="shared" si="20"/>
        <v>0</v>
      </c>
      <c r="V70" s="53">
        <f t="shared" si="21"/>
        <v>0</v>
      </c>
      <c r="W70" s="54">
        <f t="shared" si="22"/>
        <v>0</v>
      </c>
      <c r="X70" s="51" t="e">
        <f>VLOOKUP(W70,送料!$J$3:$K$42,2,FALSE)</f>
        <v>#N/A</v>
      </c>
      <c r="Y70" s="51" t="e">
        <f>VLOOKUP(X70,送料!$A$1:$B$40,2,FALSE)</f>
        <v>#N/A</v>
      </c>
      <c r="Z70" s="59">
        <f t="shared" si="13"/>
        <v>0</v>
      </c>
      <c r="AA70" s="62">
        <f t="shared" si="14"/>
        <v>4.5</v>
      </c>
      <c r="AB70" s="62">
        <f t="shared" si="15"/>
        <v>0</v>
      </c>
      <c r="AC70" s="65" t="e">
        <f t="shared" si="18"/>
        <v>#N/A</v>
      </c>
      <c r="AD70" s="65">
        <f t="shared" si="16"/>
        <v>0</v>
      </c>
      <c r="AE70" s="66" t="e">
        <f t="shared" si="17"/>
        <v>#N/A</v>
      </c>
    </row>
    <row r="71" spans="1:31">
      <c r="A71" s="105" t="s">
        <v>254</v>
      </c>
      <c r="B71" s="232">
        <f>【２】結果!N6</f>
        <v>0</v>
      </c>
      <c r="C71" s="115"/>
      <c r="D71" s="55"/>
      <c r="E71" s="45"/>
      <c r="F71" s="21"/>
      <c r="G71" s="21"/>
      <c r="H71" s="42"/>
      <c r="I71" s="42"/>
      <c r="J71" s="42"/>
      <c r="K71" s="42"/>
      <c r="L71" s="42"/>
      <c r="M71" s="31"/>
      <c r="N71" s="108"/>
      <c r="O71" s="30"/>
      <c r="P71" s="30"/>
      <c r="Q71" s="30"/>
      <c r="R71" s="30"/>
      <c r="S71" s="30"/>
      <c r="T71" s="53">
        <f t="shared" si="19"/>
        <v>0</v>
      </c>
      <c r="U71" s="53">
        <f t="shared" si="20"/>
        <v>0</v>
      </c>
      <c r="V71" s="53">
        <f t="shared" si="21"/>
        <v>0</v>
      </c>
      <c r="W71" s="54">
        <f t="shared" si="22"/>
        <v>0</v>
      </c>
      <c r="X71" s="51" t="e">
        <f>VLOOKUP(W71,送料!$J$3:$K$42,2,FALSE)</f>
        <v>#N/A</v>
      </c>
      <c r="Y71" s="51" t="e">
        <f>VLOOKUP(X71,送料!$A$1:$B$40,2,FALSE)</f>
        <v>#N/A</v>
      </c>
      <c r="Z71" s="59">
        <f t="shared" si="13"/>
        <v>0</v>
      </c>
      <c r="AA71" s="62">
        <f t="shared" si="14"/>
        <v>4.5</v>
      </c>
      <c r="AB71" s="62">
        <f t="shared" si="15"/>
        <v>0</v>
      </c>
      <c r="AC71" s="65" t="e">
        <f t="shared" si="18"/>
        <v>#N/A</v>
      </c>
      <c r="AD71" s="65">
        <f t="shared" si="16"/>
        <v>0</v>
      </c>
      <c r="AE71" s="66" t="e">
        <f t="shared" si="17"/>
        <v>#N/A</v>
      </c>
    </row>
    <row r="72" spans="1:31">
      <c r="A72" s="105" t="s">
        <v>255</v>
      </c>
      <c r="B72" s="232">
        <f>【２】結果!O6</f>
        <v>0</v>
      </c>
      <c r="C72" s="115"/>
      <c r="D72" s="55"/>
      <c r="E72" s="45"/>
      <c r="F72" s="21"/>
      <c r="G72" s="21"/>
      <c r="H72" s="42"/>
      <c r="I72" s="42"/>
      <c r="J72" s="42"/>
      <c r="K72" s="42"/>
      <c r="L72" s="42"/>
      <c r="M72" s="31"/>
      <c r="N72" s="108"/>
      <c r="O72" s="30"/>
      <c r="P72" s="30"/>
      <c r="Q72" s="30"/>
      <c r="R72" s="30"/>
      <c r="S72" s="30"/>
      <c r="T72" s="53">
        <f t="shared" si="19"/>
        <v>0</v>
      </c>
      <c r="U72" s="53">
        <f t="shared" si="20"/>
        <v>0</v>
      </c>
      <c r="V72" s="53">
        <f t="shared" si="21"/>
        <v>0</v>
      </c>
      <c r="W72" s="54">
        <f t="shared" si="22"/>
        <v>0</v>
      </c>
      <c r="X72" s="51" t="e">
        <f>VLOOKUP(W72,送料!$J$3:$K$42,2,FALSE)</f>
        <v>#N/A</v>
      </c>
      <c r="Y72" s="51" t="e">
        <f>VLOOKUP(X72,送料!$A$1:$B$40,2,FALSE)</f>
        <v>#N/A</v>
      </c>
      <c r="Z72" s="59">
        <f t="shared" si="13"/>
        <v>0</v>
      </c>
      <c r="AA72" s="62">
        <f t="shared" si="14"/>
        <v>4.5</v>
      </c>
      <c r="AB72" s="62">
        <f t="shared" si="15"/>
        <v>0</v>
      </c>
      <c r="AC72" s="65" t="e">
        <f t="shared" si="18"/>
        <v>#N/A</v>
      </c>
      <c r="AD72" s="65">
        <f t="shared" si="16"/>
        <v>0</v>
      </c>
      <c r="AE72" s="66" t="e">
        <f t="shared" si="17"/>
        <v>#N/A</v>
      </c>
    </row>
    <row r="73" spans="1:31">
      <c r="A73" s="105" t="s">
        <v>256</v>
      </c>
      <c r="B73" s="232">
        <f>【２】結果!P6</f>
        <v>0</v>
      </c>
      <c r="C73" s="115"/>
      <c r="D73" s="55"/>
      <c r="E73" s="45"/>
      <c r="F73" s="21"/>
      <c r="G73" s="21"/>
      <c r="H73" s="42"/>
      <c r="I73" s="42"/>
      <c r="J73" s="42"/>
      <c r="K73" s="42"/>
      <c r="L73" s="42"/>
      <c r="M73" s="31"/>
      <c r="N73" s="108"/>
      <c r="O73" s="30"/>
      <c r="P73" s="30"/>
      <c r="Q73" s="30"/>
      <c r="R73" s="30"/>
      <c r="S73" s="30"/>
      <c r="T73" s="53">
        <f t="shared" si="19"/>
        <v>0</v>
      </c>
      <c r="U73" s="53">
        <f t="shared" si="20"/>
        <v>0</v>
      </c>
      <c r="V73" s="53">
        <f t="shared" si="21"/>
        <v>0</v>
      </c>
      <c r="W73" s="54">
        <f t="shared" si="22"/>
        <v>0</v>
      </c>
      <c r="X73" s="51" t="e">
        <f>VLOOKUP(W73,送料!$J$3:$K$42,2,FALSE)</f>
        <v>#N/A</v>
      </c>
      <c r="Y73" s="51" t="e">
        <f>VLOOKUP(X73,送料!$A$1:$B$40,2,FALSE)</f>
        <v>#N/A</v>
      </c>
      <c r="Z73" s="59">
        <f t="shared" si="13"/>
        <v>0</v>
      </c>
      <c r="AA73" s="62">
        <f t="shared" si="14"/>
        <v>4.5</v>
      </c>
      <c r="AB73" s="62">
        <f t="shared" si="15"/>
        <v>0</v>
      </c>
      <c r="AC73" s="65" t="e">
        <f t="shared" si="18"/>
        <v>#N/A</v>
      </c>
      <c r="AD73" s="65">
        <f t="shared" si="16"/>
        <v>0</v>
      </c>
      <c r="AE73" s="66" t="e">
        <f t="shared" si="17"/>
        <v>#N/A</v>
      </c>
    </row>
    <row r="74" spans="1:31">
      <c r="A74" s="105" t="s">
        <v>257</v>
      </c>
      <c r="B74" s="232">
        <f>【２】結果!Q6</f>
        <v>0</v>
      </c>
      <c r="C74" s="115"/>
      <c r="D74" s="55"/>
      <c r="E74" s="45"/>
      <c r="F74" s="21"/>
      <c r="G74" s="21"/>
      <c r="H74" s="42"/>
      <c r="I74" s="42"/>
      <c r="J74" s="42"/>
      <c r="K74" s="42"/>
      <c r="L74" s="42"/>
      <c r="M74" s="31"/>
      <c r="N74" s="108"/>
      <c r="O74" s="30"/>
      <c r="P74" s="30"/>
      <c r="Q74" s="30"/>
      <c r="R74" s="30"/>
      <c r="S74" s="30"/>
      <c r="T74" s="53">
        <f t="shared" si="19"/>
        <v>0</v>
      </c>
      <c r="U74" s="53">
        <f t="shared" si="20"/>
        <v>0</v>
      </c>
      <c r="V74" s="53">
        <f t="shared" si="21"/>
        <v>0</v>
      </c>
      <c r="W74" s="54">
        <f t="shared" si="22"/>
        <v>0</v>
      </c>
      <c r="X74" s="51" t="e">
        <f>VLOOKUP(W74,送料!$J$3:$K$42,2,FALSE)</f>
        <v>#N/A</v>
      </c>
      <c r="Y74" s="51" t="e">
        <f>VLOOKUP(X74,送料!$A$1:$B$40,2,FALSE)</f>
        <v>#N/A</v>
      </c>
      <c r="Z74" s="59">
        <f t="shared" si="13"/>
        <v>0</v>
      </c>
      <c r="AA74" s="62">
        <f t="shared" si="14"/>
        <v>4.5</v>
      </c>
      <c r="AB74" s="62">
        <f t="shared" si="15"/>
        <v>0</v>
      </c>
      <c r="AC74" s="65" t="e">
        <f t="shared" si="18"/>
        <v>#N/A</v>
      </c>
      <c r="AD74" s="65">
        <f t="shared" si="16"/>
        <v>0</v>
      </c>
      <c r="AE74" s="66" t="e">
        <f t="shared" si="17"/>
        <v>#N/A</v>
      </c>
    </row>
    <row r="75" spans="1:31">
      <c r="A75" s="105" t="s">
        <v>258</v>
      </c>
      <c r="B75" s="232">
        <f>【２】結果!R6</f>
        <v>0</v>
      </c>
      <c r="C75" s="115"/>
      <c r="D75" s="55"/>
      <c r="E75" s="45"/>
      <c r="F75" s="21"/>
      <c r="G75" s="21"/>
      <c r="H75" s="42"/>
      <c r="I75" s="42"/>
      <c r="J75" s="42"/>
      <c r="K75" s="42"/>
      <c r="L75" s="42"/>
      <c r="M75" s="31"/>
      <c r="N75" s="108"/>
      <c r="O75" s="30"/>
      <c r="P75" s="30"/>
      <c r="Q75" s="30"/>
      <c r="R75" s="30"/>
      <c r="S75" s="30"/>
      <c r="T75" s="53">
        <f t="shared" si="19"/>
        <v>0</v>
      </c>
      <c r="U75" s="53">
        <f t="shared" si="20"/>
        <v>0</v>
      </c>
      <c r="V75" s="53">
        <f t="shared" si="21"/>
        <v>0</v>
      </c>
      <c r="W75" s="54">
        <f t="shared" si="22"/>
        <v>0</v>
      </c>
      <c r="X75" s="51" t="e">
        <f>VLOOKUP(W75,送料!$J$3:$K$42,2,FALSE)</f>
        <v>#N/A</v>
      </c>
      <c r="Y75" s="51" t="e">
        <f>VLOOKUP(X75,送料!$A$1:$B$40,2,FALSE)</f>
        <v>#N/A</v>
      </c>
      <c r="Z75" s="59">
        <f t="shared" si="13"/>
        <v>0</v>
      </c>
      <c r="AA75" s="62">
        <f t="shared" si="14"/>
        <v>4.5</v>
      </c>
      <c r="AB75" s="62">
        <f t="shared" si="15"/>
        <v>0</v>
      </c>
      <c r="AC75" s="65" t="e">
        <f t="shared" si="18"/>
        <v>#N/A</v>
      </c>
      <c r="AD75" s="65">
        <f t="shared" si="16"/>
        <v>0</v>
      </c>
      <c r="AE75" s="66" t="e">
        <f t="shared" si="17"/>
        <v>#N/A</v>
      </c>
    </row>
    <row r="76" spans="1:31">
      <c r="A76" s="105" t="s">
        <v>259</v>
      </c>
      <c r="B76" s="232">
        <f>【２】結果!S6</f>
        <v>0</v>
      </c>
      <c r="C76" s="115"/>
      <c r="D76" s="55"/>
      <c r="E76" s="45"/>
      <c r="F76" s="21"/>
      <c r="G76" s="21"/>
      <c r="H76" s="42"/>
      <c r="I76" s="42"/>
      <c r="J76" s="42"/>
      <c r="K76" s="42"/>
      <c r="L76" s="42"/>
      <c r="M76" s="31"/>
      <c r="N76" s="108"/>
      <c r="O76" s="30"/>
      <c r="P76" s="30"/>
      <c r="Q76" s="30"/>
      <c r="R76" s="30"/>
      <c r="S76" s="30"/>
      <c r="T76" s="53">
        <f t="shared" si="19"/>
        <v>0</v>
      </c>
      <c r="U76" s="53">
        <f t="shared" si="20"/>
        <v>0</v>
      </c>
      <c r="V76" s="53">
        <f t="shared" si="21"/>
        <v>0</v>
      </c>
      <c r="W76" s="54">
        <f t="shared" si="22"/>
        <v>0</v>
      </c>
      <c r="X76" s="51" t="e">
        <f>VLOOKUP(W76,送料!$J$3:$K$42,2,FALSE)</f>
        <v>#N/A</v>
      </c>
      <c r="Y76" s="51" t="e">
        <f>VLOOKUP(X76,送料!$A$1:$B$40,2,FALSE)</f>
        <v>#N/A</v>
      </c>
      <c r="Z76" s="59">
        <f t="shared" si="13"/>
        <v>0</v>
      </c>
      <c r="AA76" s="62">
        <f t="shared" si="14"/>
        <v>4.5</v>
      </c>
      <c r="AB76" s="62">
        <f t="shared" si="15"/>
        <v>0</v>
      </c>
      <c r="AC76" s="65" t="e">
        <f t="shared" si="18"/>
        <v>#N/A</v>
      </c>
      <c r="AD76" s="65">
        <f t="shared" si="16"/>
        <v>0</v>
      </c>
      <c r="AE76" s="66" t="e">
        <f t="shared" si="17"/>
        <v>#N/A</v>
      </c>
    </row>
    <row r="77" spans="1:31">
      <c r="A77" s="105" t="s">
        <v>260</v>
      </c>
      <c r="B77" s="232">
        <f>【２】結果!T6</f>
        <v>0</v>
      </c>
      <c r="C77" s="115"/>
      <c r="D77" s="55"/>
      <c r="E77" s="45"/>
      <c r="F77" s="21"/>
      <c r="G77" s="21"/>
      <c r="H77" s="42"/>
      <c r="I77" s="42"/>
      <c r="J77" s="42"/>
      <c r="K77" s="42"/>
      <c r="L77" s="42"/>
      <c r="M77" s="31"/>
      <c r="N77" s="108"/>
      <c r="O77" s="30"/>
      <c r="P77" s="30"/>
      <c r="Q77" s="30"/>
      <c r="R77" s="30"/>
      <c r="S77" s="30"/>
      <c r="T77" s="53">
        <f t="shared" si="19"/>
        <v>0</v>
      </c>
      <c r="U77" s="53">
        <f t="shared" si="20"/>
        <v>0</v>
      </c>
      <c r="V77" s="53">
        <f t="shared" si="21"/>
        <v>0</v>
      </c>
      <c r="W77" s="54">
        <f t="shared" si="22"/>
        <v>0</v>
      </c>
      <c r="X77" s="51" t="e">
        <f>VLOOKUP(W77,送料!$J$3:$K$42,2,FALSE)</f>
        <v>#N/A</v>
      </c>
      <c r="Y77" s="51" t="e">
        <f>VLOOKUP(X77,送料!$A$1:$B$40,2,FALSE)</f>
        <v>#N/A</v>
      </c>
      <c r="Z77" s="59">
        <f t="shared" si="13"/>
        <v>0</v>
      </c>
      <c r="AA77" s="62">
        <f t="shared" si="14"/>
        <v>4.5</v>
      </c>
      <c r="AB77" s="62">
        <f t="shared" si="15"/>
        <v>0</v>
      </c>
      <c r="AC77" s="65" t="e">
        <f t="shared" si="18"/>
        <v>#N/A</v>
      </c>
      <c r="AD77" s="65">
        <f t="shared" si="16"/>
        <v>0</v>
      </c>
      <c r="AE77" s="66" t="e">
        <f t="shared" si="17"/>
        <v>#N/A</v>
      </c>
    </row>
    <row r="78" spans="1:31">
      <c r="A78" s="105" t="s">
        <v>261</v>
      </c>
      <c r="B78" s="232">
        <f>【２】結果!U6</f>
        <v>0</v>
      </c>
      <c r="C78" s="115"/>
      <c r="D78" s="55"/>
      <c r="E78" s="45"/>
      <c r="F78" s="21"/>
      <c r="G78" s="21"/>
      <c r="H78" s="42"/>
      <c r="I78" s="42"/>
      <c r="J78" s="42"/>
      <c r="K78" s="42"/>
      <c r="L78" s="42"/>
      <c r="M78" s="31"/>
      <c r="N78" s="108"/>
      <c r="O78" s="30"/>
      <c r="P78" s="30"/>
      <c r="Q78" s="30"/>
      <c r="R78" s="30"/>
      <c r="S78" s="30"/>
      <c r="T78" s="53">
        <f t="shared" si="19"/>
        <v>0</v>
      </c>
      <c r="U78" s="53">
        <f t="shared" si="20"/>
        <v>0</v>
      </c>
      <c r="V78" s="53">
        <f t="shared" si="21"/>
        <v>0</v>
      </c>
      <c r="W78" s="54">
        <f t="shared" si="22"/>
        <v>0</v>
      </c>
      <c r="X78" s="51" t="e">
        <f>VLOOKUP(W78,送料!$J$3:$K$42,2,FALSE)</f>
        <v>#N/A</v>
      </c>
      <c r="Y78" s="51" t="e">
        <f>VLOOKUP(X78,送料!$A$1:$B$40,2,FALSE)</f>
        <v>#N/A</v>
      </c>
      <c r="Z78" s="59">
        <f t="shared" si="13"/>
        <v>0</v>
      </c>
      <c r="AA78" s="62">
        <f t="shared" si="14"/>
        <v>4.5</v>
      </c>
      <c r="AB78" s="62">
        <f t="shared" si="15"/>
        <v>0</v>
      </c>
      <c r="AC78" s="65" t="e">
        <f t="shared" si="18"/>
        <v>#N/A</v>
      </c>
      <c r="AD78" s="65">
        <f t="shared" si="16"/>
        <v>0</v>
      </c>
      <c r="AE78" s="66" t="e">
        <f t="shared" si="17"/>
        <v>#N/A</v>
      </c>
    </row>
    <row r="79" spans="1:31">
      <c r="A79" s="105" t="s">
        <v>262</v>
      </c>
      <c r="B79" s="232">
        <f>【２】結果!V6</f>
        <v>0</v>
      </c>
      <c r="C79" s="115"/>
      <c r="D79" s="55"/>
      <c r="E79" s="45"/>
      <c r="F79" s="21"/>
      <c r="G79" s="21"/>
      <c r="H79" s="42"/>
      <c r="I79" s="42"/>
      <c r="J79" s="42"/>
      <c r="K79" s="42"/>
      <c r="L79" s="42"/>
      <c r="M79" s="31"/>
      <c r="N79" s="108"/>
      <c r="O79" s="30"/>
      <c r="P79" s="30"/>
      <c r="Q79" s="30"/>
      <c r="R79" s="30"/>
      <c r="S79" s="30"/>
      <c r="T79" s="53">
        <f t="shared" si="19"/>
        <v>0</v>
      </c>
      <c r="U79" s="53">
        <f t="shared" si="20"/>
        <v>0</v>
      </c>
      <c r="V79" s="53">
        <f t="shared" si="21"/>
        <v>0</v>
      </c>
      <c r="W79" s="54">
        <f t="shared" si="22"/>
        <v>0</v>
      </c>
      <c r="X79" s="51" t="e">
        <f>VLOOKUP(W79,送料!$J$3:$K$42,2,FALSE)</f>
        <v>#N/A</v>
      </c>
      <c r="Y79" s="51" t="e">
        <f>VLOOKUP(X79,送料!$A$1:$B$40,2,FALSE)</f>
        <v>#N/A</v>
      </c>
      <c r="Z79" s="59">
        <f t="shared" si="13"/>
        <v>0</v>
      </c>
      <c r="AA79" s="62">
        <f t="shared" si="14"/>
        <v>4.5</v>
      </c>
      <c r="AB79" s="62">
        <f t="shared" si="15"/>
        <v>0</v>
      </c>
      <c r="AC79" s="65" t="e">
        <f t="shared" si="18"/>
        <v>#N/A</v>
      </c>
      <c r="AD79" s="65">
        <f t="shared" si="16"/>
        <v>0</v>
      </c>
      <c r="AE79" s="66" t="e">
        <f t="shared" si="17"/>
        <v>#N/A</v>
      </c>
    </row>
    <row r="80" spans="1:31">
      <c r="A80" s="105" t="s">
        <v>263</v>
      </c>
      <c r="B80" s="232">
        <f>【２】結果!W6</f>
        <v>0</v>
      </c>
      <c r="C80" s="115"/>
      <c r="D80" s="55"/>
      <c r="E80" s="45"/>
      <c r="F80" s="21"/>
      <c r="G80" s="21"/>
      <c r="H80" s="42"/>
      <c r="I80" s="42"/>
      <c r="J80" s="42"/>
      <c r="K80" s="42"/>
      <c r="L80" s="42"/>
      <c r="M80" s="31"/>
      <c r="N80" s="108"/>
      <c r="O80" s="30"/>
      <c r="P80" s="30"/>
      <c r="Q80" s="30"/>
      <c r="R80" s="30"/>
      <c r="S80" s="30"/>
      <c r="T80" s="53">
        <f t="shared" si="19"/>
        <v>0</v>
      </c>
      <c r="U80" s="53">
        <f t="shared" si="20"/>
        <v>0</v>
      </c>
      <c r="V80" s="53">
        <f t="shared" si="21"/>
        <v>0</v>
      </c>
      <c r="W80" s="54">
        <f t="shared" si="22"/>
        <v>0</v>
      </c>
      <c r="X80" s="51" t="e">
        <f>VLOOKUP(W80,送料!$J$3:$K$42,2,FALSE)</f>
        <v>#N/A</v>
      </c>
      <c r="Y80" s="51" t="e">
        <f>VLOOKUP(X80,送料!$A$1:$B$40,2,FALSE)</f>
        <v>#N/A</v>
      </c>
      <c r="Z80" s="59">
        <f t="shared" si="13"/>
        <v>0</v>
      </c>
      <c r="AA80" s="62">
        <f t="shared" si="14"/>
        <v>4.5</v>
      </c>
      <c r="AB80" s="62">
        <f t="shared" si="15"/>
        <v>0</v>
      </c>
      <c r="AC80" s="65" t="e">
        <f t="shared" si="18"/>
        <v>#N/A</v>
      </c>
      <c r="AD80" s="65">
        <f t="shared" si="16"/>
        <v>0</v>
      </c>
      <c r="AE80" s="66" t="e">
        <f t="shared" si="17"/>
        <v>#N/A</v>
      </c>
    </row>
    <row r="81" spans="1:31">
      <c r="A81" s="105" t="s">
        <v>264</v>
      </c>
      <c r="B81" s="232">
        <f>【２】結果!X6</f>
        <v>0</v>
      </c>
      <c r="C81" s="115"/>
      <c r="D81" s="55"/>
      <c r="E81" s="45"/>
      <c r="F81" s="21"/>
      <c r="G81" s="21"/>
      <c r="H81" s="42"/>
      <c r="I81" s="42"/>
      <c r="J81" s="42"/>
      <c r="K81" s="42"/>
      <c r="L81" s="42"/>
      <c r="M81" s="31"/>
      <c r="N81" s="108"/>
      <c r="O81" s="30"/>
      <c r="P81" s="30"/>
      <c r="Q81" s="30"/>
      <c r="R81" s="30"/>
      <c r="S81" s="30"/>
      <c r="T81" s="53">
        <f t="shared" si="19"/>
        <v>0</v>
      </c>
      <c r="U81" s="53">
        <f t="shared" si="20"/>
        <v>0</v>
      </c>
      <c r="V81" s="53">
        <f t="shared" si="21"/>
        <v>0</v>
      </c>
      <c r="W81" s="54">
        <f t="shared" si="22"/>
        <v>0</v>
      </c>
      <c r="X81" s="51" t="e">
        <f>VLOOKUP(W81,送料!$J$3:$K$42,2,FALSE)</f>
        <v>#N/A</v>
      </c>
      <c r="Y81" s="51" t="e">
        <f>VLOOKUP(X81,送料!$A$1:$B$40,2,FALSE)</f>
        <v>#N/A</v>
      </c>
      <c r="Z81" s="59">
        <f t="shared" si="13"/>
        <v>0</v>
      </c>
      <c r="AA81" s="62">
        <f t="shared" si="14"/>
        <v>4.5</v>
      </c>
      <c r="AB81" s="62">
        <f t="shared" si="15"/>
        <v>0</v>
      </c>
      <c r="AC81" s="65" t="e">
        <f t="shared" si="18"/>
        <v>#N/A</v>
      </c>
      <c r="AD81" s="65">
        <f t="shared" si="16"/>
        <v>0</v>
      </c>
      <c r="AE81" s="66" t="e">
        <f t="shared" si="17"/>
        <v>#N/A</v>
      </c>
    </row>
    <row r="82" spans="1:31">
      <c r="A82" s="105" t="s">
        <v>265</v>
      </c>
      <c r="B82" s="232">
        <f>【２】結果!E7</f>
        <v>0</v>
      </c>
      <c r="C82" s="115"/>
      <c r="D82" s="55"/>
      <c r="E82" s="45"/>
      <c r="F82" s="21"/>
      <c r="G82" s="21"/>
      <c r="H82" s="42"/>
      <c r="I82" s="42"/>
      <c r="J82" s="42"/>
      <c r="K82" s="42"/>
      <c r="L82" s="42"/>
      <c r="M82" s="31"/>
      <c r="N82" s="108"/>
      <c r="O82" s="30"/>
      <c r="P82" s="30"/>
      <c r="Q82" s="30"/>
      <c r="R82" s="30"/>
      <c r="S82" s="30"/>
      <c r="T82" s="53">
        <f t="shared" si="19"/>
        <v>0</v>
      </c>
      <c r="U82" s="53">
        <f t="shared" si="20"/>
        <v>0</v>
      </c>
      <c r="V82" s="53">
        <f t="shared" si="21"/>
        <v>0</v>
      </c>
      <c r="W82" s="54">
        <f t="shared" si="22"/>
        <v>0</v>
      </c>
      <c r="X82" s="51" t="e">
        <f>VLOOKUP(W82,送料!$J$3:$K$42,2,FALSE)</f>
        <v>#N/A</v>
      </c>
      <c r="Y82" s="51" t="e">
        <f>VLOOKUP(X82,送料!$A$1:$B$40,2,FALSE)</f>
        <v>#N/A</v>
      </c>
      <c r="Z82" s="59">
        <f t="shared" si="13"/>
        <v>0</v>
      </c>
      <c r="AA82" s="62">
        <f t="shared" si="14"/>
        <v>4.5</v>
      </c>
      <c r="AB82" s="62">
        <f t="shared" si="15"/>
        <v>0</v>
      </c>
      <c r="AC82" s="65" t="e">
        <f t="shared" si="18"/>
        <v>#N/A</v>
      </c>
      <c r="AD82" s="65">
        <f t="shared" si="16"/>
        <v>0</v>
      </c>
      <c r="AE82" s="66" t="e">
        <f t="shared" si="17"/>
        <v>#N/A</v>
      </c>
    </row>
    <row r="83" spans="1:31">
      <c r="A83" s="105" t="s">
        <v>266</v>
      </c>
      <c r="B83" s="232">
        <f>【２】結果!F7</f>
        <v>0</v>
      </c>
      <c r="C83" s="115"/>
      <c r="D83" s="55"/>
      <c r="E83" s="45"/>
      <c r="F83" s="21"/>
      <c r="G83" s="21"/>
      <c r="H83" s="42"/>
      <c r="I83" s="42"/>
      <c r="J83" s="42"/>
      <c r="K83" s="42"/>
      <c r="L83" s="42"/>
      <c r="M83" s="31"/>
      <c r="N83" s="108"/>
      <c r="O83" s="30"/>
      <c r="P83" s="30"/>
      <c r="Q83" s="30"/>
      <c r="R83" s="30"/>
      <c r="S83" s="30"/>
      <c r="T83" s="53">
        <f t="shared" si="19"/>
        <v>0</v>
      </c>
      <c r="U83" s="53">
        <f t="shared" si="20"/>
        <v>0</v>
      </c>
      <c r="V83" s="53">
        <f t="shared" si="21"/>
        <v>0</v>
      </c>
      <c r="W83" s="54">
        <f t="shared" si="22"/>
        <v>0</v>
      </c>
      <c r="X83" s="51" t="e">
        <f>VLOOKUP(W83,送料!$J$3:$K$42,2,FALSE)</f>
        <v>#N/A</v>
      </c>
      <c r="Y83" s="51" t="e">
        <f>VLOOKUP(X83,送料!$A$1:$B$40,2,FALSE)</f>
        <v>#N/A</v>
      </c>
      <c r="Z83" s="59">
        <f t="shared" si="13"/>
        <v>0</v>
      </c>
      <c r="AA83" s="62">
        <f t="shared" si="14"/>
        <v>4.5</v>
      </c>
      <c r="AB83" s="62">
        <f t="shared" si="15"/>
        <v>0</v>
      </c>
      <c r="AC83" s="65" t="e">
        <f t="shared" si="18"/>
        <v>#N/A</v>
      </c>
      <c r="AD83" s="65">
        <f t="shared" si="16"/>
        <v>0</v>
      </c>
      <c r="AE83" s="66" t="e">
        <f t="shared" si="17"/>
        <v>#N/A</v>
      </c>
    </row>
    <row r="84" spans="1:31">
      <c r="A84" s="105" t="s">
        <v>267</v>
      </c>
      <c r="B84" s="232">
        <f>【２】結果!G7</f>
        <v>0</v>
      </c>
      <c r="C84" s="115"/>
      <c r="D84" s="55"/>
      <c r="E84" s="45"/>
      <c r="F84" s="21"/>
      <c r="G84" s="21"/>
      <c r="H84" s="42"/>
      <c r="I84" s="42"/>
      <c r="J84" s="42"/>
      <c r="K84" s="42"/>
      <c r="L84" s="42"/>
      <c r="M84" s="31"/>
      <c r="N84" s="108"/>
      <c r="O84" s="30"/>
      <c r="P84" s="30"/>
      <c r="Q84" s="30"/>
      <c r="R84" s="30"/>
      <c r="S84" s="30"/>
      <c r="T84" s="53">
        <f t="shared" si="19"/>
        <v>0</v>
      </c>
      <c r="U84" s="53">
        <f t="shared" si="20"/>
        <v>0</v>
      </c>
      <c r="V84" s="53">
        <f t="shared" si="21"/>
        <v>0</v>
      </c>
      <c r="W84" s="54">
        <f t="shared" si="22"/>
        <v>0</v>
      </c>
      <c r="X84" s="51" t="e">
        <f>VLOOKUP(W84,送料!$J$3:$K$42,2,FALSE)</f>
        <v>#N/A</v>
      </c>
      <c r="Y84" s="51" t="e">
        <f>VLOOKUP(X84,送料!$A$1:$B$40,2,FALSE)</f>
        <v>#N/A</v>
      </c>
      <c r="Z84" s="59">
        <f t="shared" si="13"/>
        <v>0</v>
      </c>
      <c r="AA84" s="62">
        <f t="shared" si="14"/>
        <v>4.5</v>
      </c>
      <c r="AB84" s="62">
        <f t="shared" si="15"/>
        <v>0</v>
      </c>
      <c r="AC84" s="65" t="e">
        <f t="shared" si="18"/>
        <v>#N/A</v>
      </c>
      <c r="AD84" s="65">
        <f t="shared" si="16"/>
        <v>0</v>
      </c>
      <c r="AE84" s="66" t="e">
        <f t="shared" si="17"/>
        <v>#N/A</v>
      </c>
    </row>
    <row r="85" spans="1:31">
      <c r="A85" s="105" t="s">
        <v>268</v>
      </c>
      <c r="B85" s="232">
        <f>【２】結果!H7</f>
        <v>0</v>
      </c>
      <c r="C85" s="115"/>
      <c r="D85" s="55"/>
      <c r="E85" s="45"/>
      <c r="F85" s="21"/>
      <c r="G85" s="21"/>
      <c r="H85" s="42"/>
      <c r="I85" s="42"/>
      <c r="J85" s="42"/>
      <c r="K85" s="42"/>
      <c r="L85" s="42"/>
      <c r="M85" s="31"/>
      <c r="N85" s="108"/>
      <c r="O85" s="30"/>
      <c r="P85" s="30"/>
      <c r="Q85" s="30"/>
      <c r="R85" s="30"/>
      <c r="S85" s="30"/>
      <c r="T85" s="53">
        <f t="shared" si="19"/>
        <v>0</v>
      </c>
      <c r="U85" s="53">
        <f t="shared" si="20"/>
        <v>0</v>
      </c>
      <c r="V85" s="53">
        <f t="shared" si="21"/>
        <v>0</v>
      </c>
      <c r="W85" s="54">
        <f t="shared" si="22"/>
        <v>0</v>
      </c>
      <c r="X85" s="51" t="e">
        <f>VLOOKUP(W85,送料!$J$3:$K$42,2,FALSE)</f>
        <v>#N/A</v>
      </c>
      <c r="Y85" s="51" t="e">
        <f>VLOOKUP(X85,送料!$A$1:$B$40,2,FALSE)</f>
        <v>#N/A</v>
      </c>
      <c r="Z85" s="59">
        <f t="shared" si="13"/>
        <v>0</v>
      </c>
      <c r="AA85" s="62">
        <f t="shared" si="14"/>
        <v>4.5</v>
      </c>
      <c r="AB85" s="62">
        <f t="shared" si="15"/>
        <v>0</v>
      </c>
      <c r="AC85" s="65" t="e">
        <f t="shared" si="18"/>
        <v>#N/A</v>
      </c>
      <c r="AD85" s="65">
        <f t="shared" si="16"/>
        <v>0</v>
      </c>
      <c r="AE85" s="66" t="e">
        <f t="shared" si="17"/>
        <v>#N/A</v>
      </c>
    </row>
    <row r="86" spans="1:31">
      <c r="A86" s="105" t="s">
        <v>269</v>
      </c>
      <c r="B86" s="232">
        <f>【２】結果!I7</f>
        <v>0</v>
      </c>
      <c r="C86" s="115"/>
      <c r="D86" s="55"/>
      <c r="E86" s="45"/>
      <c r="F86" s="21"/>
      <c r="G86" s="21"/>
      <c r="H86" s="42"/>
      <c r="I86" s="42"/>
      <c r="J86" s="42"/>
      <c r="K86" s="42"/>
      <c r="L86" s="42"/>
      <c r="M86" s="31"/>
      <c r="N86" s="108"/>
      <c r="O86" s="30"/>
      <c r="P86" s="30"/>
      <c r="Q86" s="30"/>
      <c r="R86" s="30"/>
      <c r="S86" s="30"/>
      <c r="T86" s="53">
        <f t="shared" si="19"/>
        <v>0</v>
      </c>
      <c r="U86" s="53">
        <f t="shared" si="20"/>
        <v>0</v>
      </c>
      <c r="V86" s="53">
        <f t="shared" si="21"/>
        <v>0</v>
      </c>
      <c r="W86" s="54">
        <f t="shared" si="22"/>
        <v>0</v>
      </c>
      <c r="X86" s="51" t="e">
        <f>VLOOKUP(W86,送料!$J$3:$K$42,2,FALSE)</f>
        <v>#N/A</v>
      </c>
      <c r="Y86" s="51" t="e">
        <f>VLOOKUP(X86,送料!$A$1:$B$40,2,FALSE)</f>
        <v>#N/A</v>
      </c>
      <c r="Z86" s="59">
        <f t="shared" si="13"/>
        <v>0</v>
      </c>
      <c r="AA86" s="62">
        <f t="shared" si="14"/>
        <v>4.5</v>
      </c>
      <c r="AB86" s="62">
        <f t="shared" si="15"/>
        <v>0</v>
      </c>
      <c r="AC86" s="65" t="e">
        <f t="shared" si="18"/>
        <v>#N/A</v>
      </c>
      <c r="AD86" s="65">
        <f t="shared" si="16"/>
        <v>0</v>
      </c>
      <c r="AE86" s="66" t="e">
        <f t="shared" si="17"/>
        <v>#N/A</v>
      </c>
    </row>
    <row r="87" spans="1:31">
      <c r="A87" s="105" t="s">
        <v>270</v>
      </c>
      <c r="B87" s="232">
        <f>【２】結果!J7</f>
        <v>0</v>
      </c>
      <c r="C87" s="115"/>
      <c r="D87" s="55"/>
      <c r="E87" s="45"/>
      <c r="F87" s="21"/>
      <c r="G87" s="21"/>
      <c r="H87" s="42"/>
      <c r="I87" s="42"/>
      <c r="J87" s="42"/>
      <c r="K87" s="42"/>
      <c r="L87" s="42"/>
      <c r="M87" s="31"/>
      <c r="N87" s="108"/>
      <c r="O87" s="30"/>
      <c r="P87" s="30"/>
      <c r="Q87" s="30"/>
      <c r="R87" s="30"/>
      <c r="S87" s="30"/>
      <c r="T87" s="53">
        <f t="shared" si="19"/>
        <v>0</v>
      </c>
      <c r="U87" s="53">
        <f t="shared" si="20"/>
        <v>0</v>
      </c>
      <c r="V87" s="53">
        <f t="shared" si="21"/>
        <v>0</v>
      </c>
      <c r="W87" s="54">
        <f t="shared" si="22"/>
        <v>0</v>
      </c>
      <c r="X87" s="51" t="e">
        <f>VLOOKUP(W87,送料!$J$3:$K$42,2,FALSE)</f>
        <v>#N/A</v>
      </c>
      <c r="Y87" s="51" t="e">
        <f>VLOOKUP(X87,送料!$A$1:$B$40,2,FALSE)</f>
        <v>#N/A</v>
      </c>
      <c r="Z87" s="59">
        <f t="shared" si="13"/>
        <v>0</v>
      </c>
      <c r="AA87" s="62">
        <f t="shared" si="14"/>
        <v>4.5</v>
      </c>
      <c r="AB87" s="62">
        <f t="shared" si="15"/>
        <v>0</v>
      </c>
      <c r="AC87" s="65" t="e">
        <f t="shared" si="18"/>
        <v>#N/A</v>
      </c>
      <c r="AD87" s="65">
        <f t="shared" si="16"/>
        <v>0</v>
      </c>
      <c r="AE87" s="66" t="e">
        <f t="shared" si="17"/>
        <v>#N/A</v>
      </c>
    </row>
    <row r="88" spans="1:31">
      <c r="A88" s="105" t="s">
        <v>271</v>
      </c>
      <c r="B88" s="232">
        <f>【２】結果!K7</f>
        <v>0</v>
      </c>
      <c r="C88" s="115"/>
      <c r="D88" s="55"/>
      <c r="E88" s="45"/>
      <c r="F88" s="21"/>
      <c r="G88" s="21"/>
      <c r="H88" s="42"/>
      <c r="I88" s="42"/>
      <c r="J88" s="42"/>
      <c r="K88" s="42"/>
      <c r="L88" s="42"/>
      <c r="M88" s="31"/>
      <c r="N88" s="108"/>
      <c r="O88" s="30"/>
      <c r="P88" s="30"/>
      <c r="Q88" s="30"/>
      <c r="R88" s="30"/>
      <c r="S88" s="30"/>
      <c r="T88" s="53">
        <f t="shared" si="19"/>
        <v>0</v>
      </c>
      <c r="U88" s="53">
        <f t="shared" si="20"/>
        <v>0</v>
      </c>
      <c r="V88" s="53">
        <f t="shared" si="21"/>
        <v>0</v>
      </c>
      <c r="W88" s="54">
        <f t="shared" si="22"/>
        <v>0</v>
      </c>
      <c r="X88" s="51" t="e">
        <f>VLOOKUP(W88,送料!$J$3:$K$42,2,FALSE)</f>
        <v>#N/A</v>
      </c>
      <c r="Y88" s="51" t="e">
        <f>VLOOKUP(X88,送料!$A$1:$B$40,2,FALSE)</f>
        <v>#N/A</v>
      </c>
      <c r="Z88" s="59">
        <f t="shared" si="13"/>
        <v>0</v>
      </c>
      <c r="AA88" s="62">
        <f t="shared" si="14"/>
        <v>4.5</v>
      </c>
      <c r="AB88" s="62">
        <f t="shared" si="15"/>
        <v>0</v>
      </c>
      <c r="AC88" s="65" t="e">
        <f t="shared" si="18"/>
        <v>#N/A</v>
      </c>
      <c r="AD88" s="65">
        <f t="shared" si="16"/>
        <v>0</v>
      </c>
      <c r="AE88" s="66" t="e">
        <f t="shared" si="17"/>
        <v>#N/A</v>
      </c>
    </row>
    <row r="89" spans="1:31">
      <c r="A89" s="105" t="s">
        <v>272</v>
      </c>
      <c r="B89" s="232">
        <f>【２】結果!L7</f>
        <v>0</v>
      </c>
      <c r="C89" s="115"/>
      <c r="D89" s="55"/>
      <c r="E89" s="45"/>
      <c r="F89" s="21"/>
      <c r="G89" s="21"/>
      <c r="H89" s="42"/>
      <c r="I89" s="42"/>
      <c r="J89" s="42"/>
      <c r="K89" s="42"/>
      <c r="L89" s="42"/>
      <c r="M89" s="31"/>
      <c r="N89" s="108"/>
      <c r="O89" s="30"/>
      <c r="P89" s="30"/>
      <c r="Q89" s="30"/>
      <c r="R89" s="30"/>
      <c r="S89" s="30"/>
      <c r="T89" s="53">
        <f t="shared" si="19"/>
        <v>0</v>
      </c>
      <c r="U89" s="53">
        <f t="shared" si="20"/>
        <v>0</v>
      </c>
      <c r="V89" s="53">
        <f t="shared" si="21"/>
        <v>0</v>
      </c>
      <c r="W89" s="54">
        <f t="shared" si="22"/>
        <v>0</v>
      </c>
      <c r="X89" s="51" t="e">
        <f>VLOOKUP(W89,送料!$J$3:$K$42,2,FALSE)</f>
        <v>#N/A</v>
      </c>
      <c r="Y89" s="51" t="e">
        <f>VLOOKUP(X89,送料!$A$1:$B$40,2,FALSE)</f>
        <v>#N/A</v>
      </c>
      <c r="Z89" s="59">
        <f t="shared" si="13"/>
        <v>0</v>
      </c>
      <c r="AA89" s="62">
        <f t="shared" si="14"/>
        <v>4.5</v>
      </c>
      <c r="AB89" s="62">
        <f t="shared" si="15"/>
        <v>0</v>
      </c>
      <c r="AC89" s="65" t="e">
        <f t="shared" si="18"/>
        <v>#N/A</v>
      </c>
      <c r="AD89" s="65">
        <f t="shared" si="16"/>
        <v>0</v>
      </c>
      <c r="AE89" s="66" t="e">
        <f t="shared" si="17"/>
        <v>#N/A</v>
      </c>
    </row>
    <row r="90" spans="1:31">
      <c r="A90" s="105" t="s">
        <v>273</v>
      </c>
      <c r="B90" s="232">
        <f>【２】結果!M7</f>
        <v>0</v>
      </c>
      <c r="C90" s="115"/>
      <c r="D90" s="55"/>
      <c r="E90" s="45"/>
      <c r="F90" s="21"/>
      <c r="G90" s="21"/>
      <c r="H90" s="42"/>
      <c r="I90" s="42"/>
      <c r="J90" s="42"/>
      <c r="K90" s="42"/>
      <c r="L90" s="42"/>
      <c r="M90" s="31"/>
      <c r="N90" s="108"/>
      <c r="O90" s="30"/>
      <c r="P90" s="30"/>
      <c r="Q90" s="30"/>
      <c r="R90" s="30"/>
      <c r="S90" s="30"/>
      <c r="T90" s="53">
        <f t="shared" si="19"/>
        <v>0</v>
      </c>
      <c r="U90" s="53">
        <f t="shared" si="20"/>
        <v>0</v>
      </c>
      <c r="V90" s="53">
        <f t="shared" si="21"/>
        <v>0</v>
      </c>
      <c r="W90" s="54">
        <f t="shared" si="22"/>
        <v>0</v>
      </c>
      <c r="X90" s="51" t="e">
        <f>VLOOKUP(W90,送料!$J$3:$K$42,2,FALSE)</f>
        <v>#N/A</v>
      </c>
      <c r="Y90" s="51" t="e">
        <f>VLOOKUP(X90,送料!$A$1:$B$40,2,FALSE)</f>
        <v>#N/A</v>
      </c>
      <c r="Z90" s="59">
        <f t="shared" si="13"/>
        <v>0</v>
      </c>
      <c r="AA90" s="62">
        <f t="shared" si="14"/>
        <v>4.5</v>
      </c>
      <c r="AB90" s="62">
        <f t="shared" si="15"/>
        <v>0</v>
      </c>
      <c r="AC90" s="65" t="e">
        <f t="shared" si="18"/>
        <v>#N/A</v>
      </c>
      <c r="AD90" s="65">
        <f t="shared" si="16"/>
        <v>0</v>
      </c>
      <c r="AE90" s="66" t="e">
        <f t="shared" si="17"/>
        <v>#N/A</v>
      </c>
    </row>
    <row r="91" spans="1:31">
      <c r="A91" s="105" t="s">
        <v>274</v>
      </c>
      <c r="B91" s="232">
        <f>【２】結果!N7</f>
        <v>0</v>
      </c>
      <c r="C91" s="115"/>
      <c r="D91" s="55"/>
      <c r="E91" s="45"/>
      <c r="F91" s="21"/>
      <c r="G91" s="21"/>
      <c r="H91" s="42"/>
      <c r="I91" s="42"/>
      <c r="J91" s="42"/>
      <c r="K91" s="42"/>
      <c r="L91" s="42"/>
      <c r="M91" s="31"/>
      <c r="N91" s="108"/>
      <c r="O91" s="30"/>
      <c r="P91" s="30"/>
      <c r="Q91" s="30"/>
      <c r="R91" s="30"/>
      <c r="S91" s="30"/>
      <c r="T91" s="53">
        <f t="shared" si="19"/>
        <v>0</v>
      </c>
      <c r="U91" s="53">
        <f t="shared" si="20"/>
        <v>0</v>
      </c>
      <c r="V91" s="53">
        <f t="shared" si="21"/>
        <v>0</v>
      </c>
      <c r="W91" s="54">
        <f t="shared" si="22"/>
        <v>0</v>
      </c>
      <c r="X91" s="51" t="e">
        <f>VLOOKUP(W91,送料!$J$3:$K$42,2,FALSE)</f>
        <v>#N/A</v>
      </c>
      <c r="Y91" s="51" t="e">
        <f>VLOOKUP(X91,送料!$A$1:$B$40,2,FALSE)</f>
        <v>#N/A</v>
      </c>
      <c r="Z91" s="59">
        <f t="shared" si="13"/>
        <v>0</v>
      </c>
      <c r="AA91" s="62">
        <f t="shared" si="14"/>
        <v>4.5</v>
      </c>
      <c r="AB91" s="62">
        <f t="shared" si="15"/>
        <v>0</v>
      </c>
      <c r="AC91" s="65" t="e">
        <f t="shared" si="18"/>
        <v>#N/A</v>
      </c>
      <c r="AD91" s="65">
        <f t="shared" si="16"/>
        <v>0</v>
      </c>
      <c r="AE91" s="66" t="e">
        <f t="shared" si="17"/>
        <v>#N/A</v>
      </c>
    </row>
    <row r="92" spans="1:31">
      <c r="A92" s="105" t="s">
        <v>275</v>
      </c>
      <c r="B92" s="232">
        <f>【２】結果!O7</f>
        <v>0</v>
      </c>
      <c r="C92" s="115"/>
      <c r="D92" s="55"/>
      <c r="E92" s="45"/>
      <c r="F92" s="21"/>
      <c r="G92" s="21"/>
      <c r="H92" s="42"/>
      <c r="I92" s="42"/>
      <c r="J92" s="42"/>
      <c r="K92" s="42"/>
      <c r="L92" s="42"/>
      <c r="M92" s="31"/>
      <c r="N92" s="108"/>
      <c r="O92" s="30"/>
      <c r="P92" s="30"/>
      <c r="Q92" s="30"/>
      <c r="R92" s="30"/>
      <c r="S92" s="30"/>
      <c r="T92" s="53">
        <f t="shared" si="19"/>
        <v>0</v>
      </c>
      <c r="U92" s="53">
        <f t="shared" si="20"/>
        <v>0</v>
      </c>
      <c r="V92" s="53">
        <f t="shared" si="21"/>
        <v>0</v>
      </c>
      <c r="W92" s="54">
        <f t="shared" si="22"/>
        <v>0</v>
      </c>
      <c r="X92" s="51" t="e">
        <f>VLOOKUP(W92,送料!$J$3:$K$42,2,FALSE)</f>
        <v>#N/A</v>
      </c>
      <c r="Y92" s="51" t="e">
        <f>VLOOKUP(X92,送料!$A$1:$B$40,2,FALSE)</f>
        <v>#N/A</v>
      </c>
      <c r="Z92" s="59">
        <f t="shared" ref="Z92:Z99" si="23">(N92*S92)*0.16</f>
        <v>0</v>
      </c>
      <c r="AA92" s="62">
        <f t="shared" ref="AA92:AA99" si="24">(N92*0.15)+4.5</f>
        <v>4.5</v>
      </c>
      <c r="AB92" s="62">
        <f t="shared" ref="AB92:AB99" si="25">S92*AA92</f>
        <v>0</v>
      </c>
      <c r="AC92" s="65" t="e">
        <f t="shared" si="18"/>
        <v>#N/A</v>
      </c>
      <c r="AD92" s="65">
        <f t="shared" ref="AD92:AD99" si="26">N92*S92</f>
        <v>0</v>
      </c>
      <c r="AE92" s="66" t="e">
        <f t="shared" ref="AE92:AE99" si="27">AD92-AC92</f>
        <v>#N/A</v>
      </c>
    </row>
    <row r="93" spans="1:31">
      <c r="A93" s="105" t="s">
        <v>276</v>
      </c>
      <c r="B93" s="232">
        <f>【２】結果!P7</f>
        <v>0</v>
      </c>
      <c r="C93" s="115"/>
      <c r="D93" s="55"/>
      <c r="E93" s="45"/>
      <c r="F93" s="21"/>
      <c r="G93" s="21"/>
      <c r="H93" s="42"/>
      <c r="I93" s="42"/>
      <c r="J93" s="42"/>
      <c r="K93" s="42"/>
      <c r="L93" s="42"/>
      <c r="M93" s="31"/>
      <c r="N93" s="108"/>
      <c r="O93" s="30"/>
      <c r="P93" s="30"/>
      <c r="Q93" s="30"/>
      <c r="R93" s="30"/>
      <c r="S93" s="30"/>
      <c r="T93" s="53">
        <f t="shared" si="19"/>
        <v>0</v>
      </c>
      <c r="U93" s="53">
        <f t="shared" si="20"/>
        <v>0</v>
      </c>
      <c r="V93" s="53">
        <f t="shared" si="21"/>
        <v>0</v>
      </c>
      <c r="W93" s="54">
        <f t="shared" si="22"/>
        <v>0</v>
      </c>
      <c r="X93" s="51" t="e">
        <f>VLOOKUP(W93,送料!$J$3:$K$42,2,FALSE)</f>
        <v>#N/A</v>
      </c>
      <c r="Y93" s="51" t="e">
        <f>VLOOKUP(X93,送料!$A$1:$B$40,2,FALSE)</f>
        <v>#N/A</v>
      </c>
      <c r="Z93" s="59">
        <f t="shared" si="23"/>
        <v>0</v>
      </c>
      <c r="AA93" s="62">
        <f t="shared" si="24"/>
        <v>4.5</v>
      </c>
      <c r="AB93" s="62">
        <f t="shared" si="25"/>
        <v>0</v>
      </c>
      <c r="AC93" s="65" t="e">
        <f t="shared" si="18"/>
        <v>#N/A</v>
      </c>
      <c r="AD93" s="65">
        <f t="shared" si="26"/>
        <v>0</v>
      </c>
      <c r="AE93" s="66" t="e">
        <f t="shared" si="27"/>
        <v>#N/A</v>
      </c>
    </row>
    <row r="94" spans="1:31">
      <c r="A94" s="105" t="s">
        <v>277</v>
      </c>
      <c r="B94" s="232">
        <f>【２】結果!Q7</f>
        <v>0</v>
      </c>
      <c r="C94" s="115"/>
      <c r="D94" s="55"/>
      <c r="E94" s="45"/>
      <c r="F94" s="21"/>
      <c r="G94" s="21"/>
      <c r="H94" s="42"/>
      <c r="I94" s="42"/>
      <c r="J94" s="42"/>
      <c r="K94" s="42"/>
      <c r="L94" s="42"/>
      <c r="M94" s="31"/>
      <c r="N94" s="108"/>
      <c r="O94" s="30"/>
      <c r="P94" s="30"/>
      <c r="Q94" s="30"/>
      <c r="R94" s="30"/>
      <c r="S94" s="30"/>
      <c r="T94" s="53">
        <f t="shared" si="19"/>
        <v>0</v>
      </c>
      <c r="U94" s="53">
        <f t="shared" si="20"/>
        <v>0</v>
      </c>
      <c r="V94" s="53">
        <f t="shared" si="21"/>
        <v>0</v>
      </c>
      <c r="W94" s="54">
        <f t="shared" si="22"/>
        <v>0</v>
      </c>
      <c r="X94" s="51" t="e">
        <f>VLOOKUP(W94,送料!$J$3:$K$42,2,FALSE)</f>
        <v>#N/A</v>
      </c>
      <c r="Y94" s="51" t="e">
        <f>VLOOKUP(X94,送料!$A$1:$B$40,2,FALSE)</f>
        <v>#N/A</v>
      </c>
      <c r="Z94" s="59">
        <f t="shared" si="23"/>
        <v>0</v>
      </c>
      <c r="AA94" s="62">
        <f t="shared" si="24"/>
        <v>4.5</v>
      </c>
      <c r="AB94" s="62">
        <f t="shared" si="25"/>
        <v>0</v>
      </c>
      <c r="AC94" s="65" t="e">
        <f t="shared" si="18"/>
        <v>#N/A</v>
      </c>
      <c r="AD94" s="65">
        <f t="shared" si="26"/>
        <v>0</v>
      </c>
      <c r="AE94" s="66" t="e">
        <f t="shared" si="27"/>
        <v>#N/A</v>
      </c>
    </row>
    <row r="95" spans="1:31">
      <c r="A95" s="105" t="s">
        <v>278</v>
      </c>
      <c r="B95" s="232">
        <f>【２】結果!R7</f>
        <v>0</v>
      </c>
      <c r="C95" s="115"/>
      <c r="D95" s="55"/>
      <c r="E95" s="45"/>
      <c r="F95" s="21"/>
      <c r="G95" s="21"/>
      <c r="H95" s="42"/>
      <c r="I95" s="42"/>
      <c r="J95" s="42"/>
      <c r="K95" s="42"/>
      <c r="L95" s="42"/>
      <c r="M95" s="31"/>
      <c r="N95" s="108"/>
      <c r="O95" s="30"/>
      <c r="P95" s="30"/>
      <c r="Q95" s="30"/>
      <c r="R95" s="30"/>
      <c r="S95" s="30"/>
      <c r="T95" s="53">
        <f t="shared" si="19"/>
        <v>0</v>
      </c>
      <c r="U95" s="53">
        <f t="shared" si="20"/>
        <v>0</v>
      </c>
      <c r="V95" s="53">
        <f t="shared" si="21"/>
        <v>0</v>
      </c>
      <c r="W95" s="54">
        <f t="shared" si="22"/>
        <v>0</v>
      </c>
      <c r="X95" s="51" t="e">
        <f>VLOOKUP(W95,送料!$J$3:$K$42,2,FALSE)</f>
        <v>#N/A</v>
      </c>
      <c r="Y95" s="51" t="e">
        <f>VLOOKUP(X95,送料!$A$1:$B$40,2,FALSE)</f>
        <v>#N/A</v>
      </c>
      <c r="Z95" s="59">
        <f t="shared" si="23"/>
        <v>0</v>
      </c>
      <c r="AA95" s="62">
        <f t="shared" si="24"/>
        <v>4.5</v>
      </c>
      <c r="AB95" s="62">
        <f t="shared" si="25"/>
        <v>0</v>
      </c>
      <c r="AC95" s="65" t="e">
        <f t="shared" si="18"/>
        <v>#N/A</v>
      </c>
      <c r="AD95" s="65">
        <f t="shared" si="26"/>
        <v>0</v>
      </c>
      <c r="AE95" s="66" t="e">
        <f t="shared" si="27"/>
        <v>#N/A</v>
      </c>
    </row>
    <row r="96" spans="1:31">
      <c r="A96" s="105" t="s">
        <v>279</v>
      </c>
      <c r="B96" s="232">
        <f>【２】結果!S7</f>
        <v>0</v>
      </c>
      <c r="C96" s="115"/>
      <c r="D96" s="55"/>
      <c r="E96" s="45"/>
      <c r="F96" s="21"/>
      <c r="G96" s="21"/>
      <c r="H96" s="42"/>
      <c r="I96" s="42"/>
      <c r="J96" s="42"/>
      <c r="K96" s="42"/>
      <c r="L96" s="42"/>
      <c r="M96" s="31"/>
      <c r="N96" s="108"/>
      <c r="O96" s="30"/>
      <c r="P96" s="30"/>
      <c r="Q96" s="30"/>
      <c r="R96" s="30"/>
      <c r="S96" s="30"/>
      <c r="T96" s="53">
        <f t="shared" si="19"/>
        <v>0</v>
      </c>
      <c r="U96" s="53">
        <f t="shared" si="20"/>
        <v>0</v>
      </c>
      <c r="V96" s="53">
        <f t="shared" si="21"/>
        <v>0</v>
      </c>
      <c r="W96" s="54">
        <f t="shared" si="22"/>
        <v>0</v>
      </c>
      <c r="X96" s="51" t="e">
        <f>VLOOKUP(W96,送料!$J$3:$K$42,2,FALSE)</f>
        <v>#N/A</v>
      </c>
      <c r="Y96" s="51" t="e">
        <f>VLOOKUP(X96,送料!$A$1:$B$40,2,FALSE)</f>
        <v>#N/A</v>
      </c>
      <c r="Z96" s="59">
        <f t="shared" si="23"/>
        <v>0</v>
      </c>
      <c r="AA96" s="62">
        <f t="shared" si="24"/>
        <v>4.5</v>
      </c>
      <c r="AB96" s="62">
        <f t="shared" si="25"/>
        <v>0</v>
      </c>
      <c r="AC96" s="65" t="e">
        <f t="shared" si="18"/>
        <v>#N/A</v>
      </c>
      <c r="AD96" s="65">
        <f t="shared" si="26"/>
        <v>0</v>
      </c>
      <c r="AE96" s="66" t="e">
        <f t="shared" si="27"/>
        <v>#N/A</v>
      </c>
    </row>
    <row r="97" spans="1:31">
      <c r="A97" s="105" t="s">
        <v>280</v>
      </c>
      <c r="B97" s="232">
        <f>【２】結果!T7</f>
        <v>0</v>
      </c>
      <c r="C97" s="115"/>
      <c r="D97" s="55"/>
      <c r="E97" s="45"/>
      <c r="F97" s="21"/>
      <c r="G97" s="21"/>
      <c r="H97" s="42"/>
      <c r="I97" s="42"/>
      <c r="J97" s="42"/>
      <c r="K97" s="42"/>
      <c r="L97" s="42"/>
      <c r="M97" s="31"/>
      <c r="N97" s="108"/>
      <c r="O97" s="30"/>
      <c r="P97" s="30"/>
      <c r="Q97" s="30"/>
      <c r="R97" s="30"/>
      <c r="S97" s="30"/>
      <c r="T97" s="53">
        <f t="shared" si="19"/>
        <v>0</v>
      </c>
      <c r="U97" s="53">
        <f t="shared" si="20"/>
        <v>0</v>
      </c>
      <c r="V97" s="53">
        <f t="shared" si="21"/>
        <v>0</v>
      </c>
      <c r="W97" s="54">
        <f t="shared" si="22"/>
        <v>0</v>
      </c>
      <c r="X97" s="51" t="e">
        <f>VLOOKUP(W97,送料!$J$3:$K$42,2,FALSE)</f>
        <v>#N/A</v>
      </c>
      <c r="Y97" s="51" t="e">
        <f>VLOOKUP(X97,送料!$A$1:$B$40,2,FALSE)</f>
        <v>#N/A</v>
      </c>
      <c r="Z97" s="59">
        <f t="shared" si="23"/>
        <v>0</v>
      </c>
      <c r="AA97" s="62">
        <f t="shared" si="24"/>
        <v>4.5</v>
      </c>
      <c r="AB97" s="62">
        <f t="shared" si="25"/>
        <v>0</v>
      </c>
      <c r="AC97" s="65" t="e">
        <f t="shared" si="18"/>
        <v>#N/A</v>
      </c>
      <c r="AD97" s="65">
        <f t="shared" si="26"/>
        <v>0</v>
      </c>
      <c r="AE97" s="66" t="e">
        <f t="shared" si="27"/>
        <v>#N/A</v>
      </c>
    </row>
    <row r="98" spans="1:31">
      <c r="A98" s="105" t="s">
        <v>281</v>
      </c>
      <c r="B98" s="232">
        <f>【２】結果!U7</f>
        <v>0</v>
      </c>
      <c r="C98" s="115"/>
      <c r="D98" s="55"/>
      <c r="E98" s="45"/>
      <c r="F98" s="21"/>
      <c r="G98" s="21"/>
      <c r="H98" s="42"/>
      <c r="I98" s="42"/>
      <c r="J98" s="42"/>
      <c r="K98" s="42"/>
      <c r="L98" s="42"/>
      <c r="M98" s="31"/>
      <c r="N98" s="108"/>
      <c r="O98" s="30"/>
      <c r="P98" s="30"/>
      <c r="Q98" s="30"/>
      <c r="R98" s="30"/>
      <c r="S98" s="30"/>
      <c r="T98" s="53">
        <f t="shared" si="19"/>
        <v>0</v>
      </c>
      <c r="U98" s="53">
        <f t="shared" si="20"/>
        <v>0</v>
      </c>
      <c r="V98" s="53">
        <f t="shared" si="21"/>
        <v>0</v>
      </c>
      <c r="W98" s="54">
        <f t="shared" si="22"/>
        <v>0</v>
      </c>
      <c r="X98" s="51" t="e">
        <f>VLOOKUP(W98,送料!$J$3:$K$42,2,FALSE)</f>
        <v>#N/A</v>
      </c>
      <c r="Y98" s="51" t="e">
        <f>VLOOKUP(X98,送料!$A$1:$B$40,2,FALSE)</f>
        <v>#N/A</v>
      </c>
      <c r="Z98" s="59">
        <f t="shared" si="23"/>
        <v>0</v>
      </c>
      <c r="AA98" s="62">
        <f t="shared" si="24"/>
        <v>4.5</v>
      </c>
      <c r="AB98" s="62">
        <f t="shared" si="25"/>
        <v>0</v>
      </c>
      <c r="AC98" s="65" t="e">
        <f t="shared" si="18"/>
        <v>#N/A</v>
      </c>
      <c r="AD98" s="65">
        <f t="shared" si="26"/>
        <v>0</v>
      </c>
      <c r="AE98" s="66" t="e">
        <f t="shared" si="27"/>
        <v>#N/A</v>
      </c>
    </row>
    <row r="99" spans="1:31">
      <c r="A99" s="105" t="s">
        <v>282</v>
      </c>
      <c r="B99" s="232">
        <f>【２】結果!V7</f>
        <v>0</v>
      </c>
      <c r="C99" s="115"/>
      <c r="D99" s="55"/>
      <c r="E99" s="45"/>
      <c r="F99" s="21"/>
      <c r="G99" s="21"/>
      <c r="H99" s="42"/>
      <c r="I99" s="42"/>
      <c r="J99" s="42"/>
      <c r="K99" s="42"/>
      <c r="L99" s="42"/>
      <c r="M99" s="31"/>
      <c r="N99" s="108"/>
      <c r="O99" s="30"/>
      <c r="P99" s="30"/>
      <c r="Q99" s="30"/>
      <c r="R99" s="30"/>
      <c r="S99" s="30"/>
      <c r="T99" s="53">
        <f t="shared" si="19"/>
        <v>0</v>
      </c>
      <c r="U99" s="53">
        <f t="shared" si="20"/>
        <v>0</v>
      </c>
      <c r="V99" s="53">
        <f t="shared" si="21"/>
        <v>0</v>
      </c>
      <c r="W99" s="54">
        <f t="shared" si="22"/>
        <v>0</v>
      </c>
      <c r="X99" s="51" t="e">
        <f>VLOOKUP(W99,送料!$J$3:$K$42,2,FALSE)</f>
        <v>#N/A</v>
      </c>
      <c r="Y99" s="51" t="e">
        <f>VLOOKUP(X99,送料!$A$1:$B$40,2,FALSE)</f>
        <v>#N/A</v>
      </c>
      <c r="Z99" s="59">
        <f t="shared" si="23"/>
        <v>0</v>
      </c>
      <c r="AA99" s="62">
        <f t="shared" si="24"/>
        <v>4.5</v>
      </c>
      <c r="AB99" s="62">
        <f t="shared" si="25"/>
        <v>0</v>
      </c>
      <c r="AC99" s="65" t="e">
        <f t="shared" si="18"/>
        <v>#N/A</v>
      </c>
      <c r="AD99" s="65">
        <f t="shared" si="26"/>
        <v>0</v>
      </c>
      <c r="AE99" s="66" t="e">
        <f t="shared" si="27"/>
        <v>#N/A</v>
      </c>
    </row>
    <row r="100" spans="1:31">
      <c r="A100" s="105" t="s">
        <v>283</v>
      </c>
      <c r="B100" s="232">
        <f>【２】結果!W7</f>
        <v>0</v>
      </c>
      <c r="C100" s="115"/>
      <c r="D100" s="55"/>
      <c r="E100" s="45"/>
      <c r="F100" s="21"/>
      <c r="G100" s="21"/>
      <c r="H100" s="42"/>
      <c r="I100" s="42"/>
      <c r="J100" s="42"/>
      <c r="K100" s="42"/>
      <c r="L100" s="42"/>
      <c r="M100" s="31"/>
      <c r="N100" s="108"/>
      <c r="O100" s="30"/>
      <c r="P100" s="30"/>
      <c r="Q100" s="30"/>
      <c r="R100" s="30"/>
      <c r="S100" s="30"/>
      <c r="T100" s="53">
        <f t="shared" ref="T100:T113" si="28">O100</f>
        <v>0</v>
      </c>
      <c r="U100" s="53">
        <f t="shared" ref="U100:U113" si="29">(P100*Q100*R100)/5000</f>
        <v>0</v>
      </c>
      <c r="V100" s="53">
        <f t="shared" ref="V100:V113" si="30">MAX(T100,U100)</f>
        <v>0</v>
      </c>
      <c r="W100" s="54">
        <f t="shared" ref="W100:W113" si="31">CEILING(ROUNDDOWN(V100,2),0.5)</f>
        <v>0</v>
      </c>
      <c r="X100" s="51" t="e">
        <f>VLOOKUP(W100,送料!$J$3:$K$42,2,FALSE)</f>
        <v>#N/A</v>
      </c>
      <c r="Y100" s="51" t="e">
        <f>VLOOKUP(X100,送料!$A$1:$B$40,2,FALSE)</f>
        <v>#N/A</v>
      </c>
      <c r="Z100" s="59">
        <f t="shared" ref="Z100:Z113" si="32">(N100*S100)*0.16</f>
        <v>0</v>
      </c>
      <c r="AA100" s="62">
        <f t="shared" ref="AA100:AA113" si="33">(N100*0.15)+4.5</f>
        <v>4.5</v>
      </c>
      <c r="AB100" s="62">
        <f t="shared" ref="AB100:AB113" si="34">S100*AA100</f>
        <v>0</v>
      </c>
      <c r="AC100" s="65" t="e">
        <f t="shared" si="18"/>
        <v>#N/A</v>
      </c>
      <c r="AD100" s="65">
        <f t="shared" ref="AD100:AD113" si="35">N100*S100</f>
        <v>0</v>
      </c>
      <c r="AE100" s="66" t="e">
        <f t="shared" ref="AE100:AE113" si="36">AD100-AC100</f>
        <v>#N/A</v>
      </c>
    </row>
    <row r="101" spans="1:31">
      <c r="A101" s="105" t="s">
        <v>284</v>
      </c>
      <c r="B101" s="232">
        <f>【２】結果!X7</f>
        <v>0</v>
      </c>
      <c r="C101" s="115"/>
      <c r="D101" s="55"/>
      <c r="E101" s="45"/>
      <c r="F101" s="21"/>
      <c r="G101" s="21"/>
      <c r="H101" s="42"/>
      <c r="I101" s="42"/>
      <c r="J101" s="42"/>
      <c r="K101" s="42"/>
      <c r="L101" s="42"/>
      <c r="M101" s="31"/>
      <c r="N101" s="108"/>
      <c r="O101" s="30"/>
      <c r="P101" s="30"/>
      <c r="Q101" s="30"/>
      <c r="R101" s="30"/>
      <c r="S101" s="30"/>
      <c r="T101" s="53">
        <f t="shared" si="28"/>
        <v>0</v>
      </c>
      <c r="U101" s="53">
        <f t="shared" si="29"/>
        <v>0</v>
      </c>
      <c r="V101" s="53">
        <f t="shared" si="30"/>
        <v>0</v>
      </c>
      <c r="W101" s="54">
        <f t="shared" si="31"/>
        <v>0</v>
      </c>
      <c r="X101" s="51" t="e">
        <f>VLOOKUP(W101,送料!$J$3:$K$42,2,FALSE)</f>
        <v>#N/A</v>
      </c>
      <c r="Y101" s="51" t="e">
        <f>VLOOKUP(X101,送料!$A$1:$B$40,2,FALSE)</f>
        <v>#N/A</v>
      </c>
      <c r="Z101" s="59">
        <f t="shared" si="32"/>
        <v>0</v>
      </c>
      <c r="AA101" s="62">
        <f t="shared" si="33"/>
        <v>4.5</v>
      </c>
      <c r="AB101" s="62">
        <f t="shared" si="34"/>
        <v>0</v>
      </c>
      <c r="AC101" s="65" t="e">
        <f t="shared" si="18"/>
        <v>#N/A</v>
      </c>
      <c r="AD101" s="65">
        <f t="shared" si="35"/>
        <v>0</v>
      </c>
      <c r="AE101" s="66" t="e">
        <f t="shared" si="36"/>
        <v>#N/A</v>
      </c>
    </row>
    <row r="102" spans="1:31">
      <c r="A102" s="105" t="s">
        <v>285</v>
      </c>
      <c r="B102" s="232">
        <f>【２】結果!E8</f>
        <v>0</v>
      </c>
      <c r="C102" s="115"/>
      <c r="D102" s="55"/>
      <c r="E102" s="45"/>
      <c r="F102" s="21"/>
      <c r="G102" s="21"/>
      <c r="H102" s="42"/>
      <c r="I102" s="42"/>
      <c r="J102" s="42"/>
      <c r="K102" s="42"/>
      <c r="L102" s="42"/>
      <c r="M102" s="31"/>
      <c r="N102" s="108"/>
      <c r="O102" s="30"/>
      <c r="P102" s="30"/>
      <c r="Q102" s="30"/>
      <c r="R102" s="30"/>
      <c r="S102" s="30"/>
      <c r="T102" s="53">
        <f t="shared" si="28"/>
        <v>0</v>
      </c>
      <c r="U102" s="53">
        <f t="shared" si="29"/>
        <v>0</v>
      </c>
      <c r="V102" s="53">
        <f t="shared" si="30"/>
        <v>0</v>
      </c>
      <c r="W102" s="54">
        <f t="shared" si="31"/>
        <v>0</v>
      </c>
      <c r="X102" s="51" t="e">
        <f>VLOOKUP(W102,送料!$J$3:$K$42,2,FALSE)</f>
        <v>#N/A</v>
      </c>
      <c r="Y102" s="51" t="e">
        <f>VLOOKUP(X102,送料!$A$1:$B$40,2,FALSE)</f>
        <v>#N/A</v>
      </c>
      <c r="Z102" s="59">
        <f t="shared" si="32"/>
        <v>0</v>
      </c>
      <c r="AA102" s="62">
        <f t="shared" si="33"/>
        <v>4.5</v>
      </c>
      <c r="AB102" s="62">
        <f t="shared" si="34"/>
        <v>0</v>
      </c>
      <c r="AC102" s="65" t="e">
        <f t="shared" si="18"/>
        <v>#N/A</v>
      </c>
      <c r="AD102" s="65">
        <f t="shared" si="35"/>
        <v>0</v>
      </c>
      <c r="AE102" s="66" t="e">
        <f t="shared" si="36"/>
        <v>#N/A</v>
      </c>
    </row>
    <row r="103" spans="1:31">
      <c r="A103" s="105" t="s">
        <v>286</v>
      </c>
      <c r="B103" s="232">
        <f>【２】結果!F8</f>
        <v>0</v>
      </c>
      <c r="C103" s="115"/>
      <c r="D103" s="55"/>
      <c r="E103" s="45"/>
      <c r="F103" s="21"/>
      <c r="G103" s="21"/>
      <c r="H103" s="42"/>
      <c r="I103" s="42"/>
      <c r="J103" s="42"/>
      <c r="K103" s="42"/>
      <c r="L103" s="42"/>
      <c r="M103" s="31"/>
      <c r="N103" s="108"/>
      <c r="O103" s="30"/>
      <c r="P103" s="30"/>
      <c r="Q103" s="30"/>
      <c r="R103" s="30"/>
      <c r="S103" s="30"/>
      <c r="T103" s="53">
        <f t="shared" si="28"/>
        <v>0</v>
      </c>
      <c r="U103" s="53">
        <f t="shared" si="29"/>
        <v>0</v>
      </c>
      <c r="V103" s="53">
        <f t="shared" si="30"/>
        <v>0</v>
      </c>
      <c r="W103" s="54">
        <f t="shared" si="31"/>
        <v>0</v>
      </c>
      <c r="X103" s="51" t="e">
        <f>VLOOKUP(W103,送料!$J$3:$K$42,2,FALSE)</f>
        <v>#N/A</v>
      </c>
      <c r="Y103" s="51" t="e">
        <f>VLOOKUP(X103,送料!$A$1:$B$40,2,FALSE)</f>
        <v>#N/A</v>
      </c>
      <c r="Z103" s="59">
        <f t="shared" si="32"/>
        <v>0</v>
      </c>
      <c r="AA103" s="62">
        <f t="shared" si="33"/>
        <v>4.5</v>
      </c>
      <c r="AB103" s="62">
        <f t="shared" si="34"/>
        <v>0</v>
      </c>
      <c r="AC103" s="65" t="e">
        <f t="shared" si="18"/>
        <v>#N/A</v>
      </c>
      <c r="AD103" s="65">
        <f t="shared" si="35"/>
        <v>0</v>
      </c>
      <c r="AE103" s="66" t="e">
        <f t="shared" si="36"/>
        <v>#N/A</v>
      </c>
    </row>
    <row r="104" spans="1:31">
      <c r="A104" s="105" t="s">
        <v>287</v>
      </c>
      <c r="B104" s="232">
        <f>【２】結果!G8</f>
        <v>0</v>
      </c>
      <c r="C104" s="115"/>
      <c r="D104" s="55"/>
      <c r="E104" s="45"/>
      <c r="F104" s="21"/>
      <c r="G104" s="21"/>
      <c r="H104" s="42"/>
      <c r="I104" s="42"/>
      <c r="J104" s="42"/>
      <c r="K104" s="42"/>
      <c r="L104" s="42"/>
      <c r="M104" s="31"/>
      <c r="N104" s="108"/>
      <c r="O104" s="30"/>
      <c r="P104" s="30"/>
      <c r="Q104" s="30"/>
      <c r="R104" s="30"/>
      <c r="S104" s="30"/>
      <c r="T104" s="53">
        <f t="shared" si="28"/>
        <v>0</v>
      </c>
      <c r="U104" s="53">
        <f t="shared" si="29"/>
        <v>0</v>
      </c>
      <c r="V104" s="53">
        <f t="shared" si="30"/>
        <v>0</v>
      </c>
      <c r="W104" s="54">
        <f t="shared" si="31"/>
        <v>0</v>
      </c>
      <c r="X104" s="51" t="e">
        <f>VLOOKUP(W104,送料!$J$3:$K$42,2,FALSE)</f>
        <v>#N/A</v>
      </c>
      <c r="Y104" s="51" t="e">
        <f>VLOOKUP(X104,送料!$A$1:$B$40,2,FALSE)</f>
        <v>#N/A</v>
      </c>
      <c r="Z104" s="59">
        <f t="shared" si="32"/>
        <v>0</v>
      </c>
      <c r="AA104" s="62">
        <f t="shared" si="33"/>
        <v>4.5</v>
      </c>
      <c r="AB104" s="62">
        <f t="shared" si="34"/>
        <v>0</v>
      </c>
      <c r="AC104" s="65" t="e">
        <f t="shared" si="18"/>
        <v>#N/A</v>
      </c>
      <c r="AD104" s="65">
        <f t="shared" si="35"/>
        <v>0</v>
      </c>
      <c r="AE104" s="66" t="e">
        <f t="shared" si="36"/>
        <v>#N/A</v>
      </c>
    </row>
    <row r="105" spans="1:31">
      <c r="A105" s="105" t="s">
        <v>288</v>
      </c>
      <c r="B105" s="232">
        <f>【２】結果!H8</f>
        <v>0</v>
      </c>
      <c r="C105" s="115"/>
      <c r="D105" s="55"/>
      <c r="E105" s="45"/>
      <c r="F105" s="21"/>
      <c r="G105" s="21"/>
      <c r="H105" s="42"/>
      <c r="I105" s="42"/>
      <c r="J105" s="42"/>
      <c r="K105" s="42"/>
      <c r="L105" s="42"/>
      <c r="M105" s="31"/>
      <c r="N105" s="108"/>
      <c r="O105" s="30"/>
      <c r="P105" s="30"/>
      <c r="Q105" s="30"/>
      <c r="R105" s="30"/>
      <c r="S105" s="30"/>
      <c r="T105" s="53">
        <f t="shared" si="28"/>
        <v>0</v>
      </c>
      <c r="U105" s="53">
        <f t="shared" si="29"/>
        <v>0</v>
      </c>
      <c r="V105" s="53">
        <f t="shared" si="30"/>
        <v>0</v>
      </c>
      <c r="W105" s="54">
        <f t="shared" si="31"/>
        <v>0</v>
      </c>
      <c r="X105" s="51" t="e">
        <f>VLOOKUP(W105,送料!$J$3:$K$42,2,FALSE)</f>
        <v>#N/A</v>
      </c>
      <c r="Y105" s="51" t="e">
        <f>VLOOKUP(X105,送料!$A$1:$B$40,2,FALSE)</f>
        <v>#N/A</v>
      </c>
      <c r="Z105" s="59">
        <f t="shared" si="32"/>
        <v>0</v>
      </c>
      <c r="AA105" s="62">
        <f t="shared" si="33"/>
        <v>4.5</v>
      </c>
      <c r="AB105" s="62">
        <f t="shared" si="34"/>
        <v>0</v>
      </c>
      <c r="AC105" s="65" t="e">
        <f t="shared" si="18"/>
        <v>#N/A</v>
      </c>
      <c r="AD105" s="65">
        <f t="shared" si="35"/>
        <v>0</v>
      </c>
      <c r="AE105" s="66" t="e">
        <f t="shared" si="36"/>
        <v>#N/A</v>
      </c>
    </row>
    <row r="106" spans="1:31">
      <c r="A106" s="105" t="s">
        <v>289</v>
      </c>
      <c r="B106" s="232">
        <f>【２】結果!I8</f>
        <v>0</v>
      </c>
      <c r="C106" s="115"/>
      <c r="D106" s="55"/>
      <c r="E106" s="45"/>
      <c r="F106" s="21"/>
      <c r="G106" s="21"/>
      <c r="H106" s="42"/>
      <c r="I106" s="42"/>
      <c r="J106" s="42"/>
      <c r="K106" s="42"/>
      <c r="L106" s="42"/>
      <c r="M106" s="31"/>
      <c r="N106" s="108"/>
      <c r="O106" s="30"/>
      <c r="P106" s="30"/>
      <c r="Q106" s="30"/>
      <c r="R106" s="30"/>
      <c r="S106" s="30"/>
      <c r="T106" s="53">
        <f t="shared" si="28"/>
        <v>0</v>
      </c>
      <c r="U106" s="53">
        <f t="shared" si="29"/>
        <v>0</v>
      </c>
      <c r="V106" s="53">
        <f t="shared" si="30"/>
        <v>0</v>
      </c>
      <c r="W106" s="54">
        <f t="shared" si="31"/>
        <v>0</v>
      </c>
      <c r="X106" s="51" t="e">
        <f>VLOOKUP(W106,送料!$J$3:$K$42,2,FALSE)</f>
        <v>#N/A</v>
      </c>
      <c r="Y106" s="51" t="e">
        <f>VLOOKUP(X106,送料!$A$1:$B$40,2,FALSE)</f>
        <v>#N/A</v>
      </c>
      <c r="Z106" s="59">
        <f t="shared" si="32"/>
        <v>0</v>
      </c>
      <c r="AA106" s="62">
        <f t="shared" si="33"/>
        <v>4.5</v>
      </c>
      <c r="AB106" s="62">
        <f t="shared" si="34"/>
        <v>0</v>
      </c>
      <c r="AC106" s="65" t="e">
        <f t="shared" si="18"/>
        <v>#N/A</v>
      </c>
      <c r="AD106" s="65">
        <f t="shared" si="35"/>
        <v>0</v>
      </c>
      <c r="AE106" s="66" t="e">
        <f t="shared" si="36"/>
        <v>#N/A</v>
      </c>
    </row>
    <row r="107" spans="1:31">
      <c r="A107" s="105" t="s">
        <v>290</v>
      </c>
      <c r="B107" s="232">
        <f>【２】結果!J8</f>
        <v>0</v>
      </c>
      <c r="C107" s="115"/>
      <c r="D107" s="55"/>
      <c r="E107" s="45"/>
      <c r="F107" s="21"/>
      <c r="G107" s="21"/>
      <c r="H107" s="42"/>
      <c r="I107" s="42"/>
      <c r="J107" s="42"/>
      <c r="K107" s="42"/>
      <c r="L107" s="42"/>
      <c r="M107" s="31"/>
      <c r="N107" s="108"/>
      <c r="O107" s="30"/>
      <c r="P107" s="30"/>
      <c r="Q107" s="30"/>
      <c r="R107" s="30"/>
      <c r="S107" s="30"/>
      <c r="T107" s="53">
        <f t="shared" si="28"/>
        <v>0</v>
      </c>
      <c r="U107" s="53">
        <f t="shared" si="29"/>
        <v>0</v>
      </c>
      <c r="V107" s="53">
        <f t="shared" si="30"/>
        <v>0</v>
      </c>
      <c r="W107" s="54">
        <f t="shared" si="31"/>
        <v>0</v>
      </c>
      <c r="X107" s="51" t="e">
        <f>VLOOKUP(W107,送料!$J$3:$K$42,2,FALSE)</f>
        <v>#N/A</v>
      </c>
      <c r="Y107" s="51" t="e">
        <f>VLOOKUP(X107,送料!$A$1:$B$40,2,FALSE)</f>
        <v>#N/A</v>
      </c>
      <c r="Z107" s="59">
        <f t="shared" si="32"/>
        <v>0</v>
      </c>
      <c r="AA107" s="62">
        <f t="shared" si="33"/>
        <v>4.5</v>
      </c>
      <c r="AB107" s="62">
        <f t="shared" si="34"/>
        <v>0</v>
      </c>
      <c r="AC107" s="65" t="e">
        <f t="shared" si="18"/>
        <v>#N/A</v>
      </c>
      <c r="AD107" s="65">
        <f t="shared" si="35"/>
        <v>0</v>
      </c>
      <c r="AE107" s="66" t="e">
        <f t="shared" si="36"/>
        <v>#N/A</v>
      </c>
    </row>
    <row r="108" spans="1:31">
      <c r="A108" s="105" t="s">
        <v>291</v>
      </c>
      <c r="B108" s="232">
        <f>【２】結果!K8</f>
        <v>0</v>
      </c>
      <c r="C108" s="115"/>
      <c r="D108" s="55"/>
      <c r="E108" s="45"/>
      <c r="F108" s="21"/>
      <c r="G108" s="21"/>
      <c r="H108" s="42"/>
      <c r="I108" s="42"/>
      <c r="J108" s="42"/>
      <c r="K108" s="42"/>
      <c r="L108" s="42"/>
      <c r="M108" s="31"/>
      <c r="N108" s="108"/>
      <c r="O108" s="30"/>
      <c r="P108" s="30"/>
      <c r="Q108" s="30"/>
      <c r="R108" s="30"/>
      <c r="S108" s="30"/>
      <c r="T108" s="53">
        <f t="shared" si="28"/>
        <v>0</v>
      </c>
      <c r="U108" s="53">
        <f t="shared" si="29"/>
        <v>0</v>
      </c>
      <c r="V108" s="53">
        <f t="shared" si="30"/>
        <v>0</v>
      </c>
      <c r="W108" s="54">
        <f t="shared" si="31"/>
        <v>0</v>
      </c>
      <c r="X108" s="51" t="e">
        <f>VLOOKUP(W108,送料!$J$3:$K$42,2,FALSE)</f>
        <v>#N/A</v>
      </c>
      <c r="Y108" s="51" t="e">
        <f>VLOOKUP(X108,送料!$A$1:$B$40,2,FALSE)</f>
        <v>#N/A</v>
      </c>
      <c r="Z108" s="59">
        <f t="shared" si="32"/>
        <v>0</v>
      </c>
      <c r="AA108" s="62">
        <f t="shared" si="33"/>
        <v>4.5</v>
      </c>
      <c r="AB108" s="62">
        <f t="shared" si="34"/>
        <v>0</v>
      </c>
      <c r="AC108" s="65" t="e">
        <f t="shared" si="18"/>
        <v>#N/A</v>
      </c>
      <c r="AD108" s="65">
        <f t="shared" si="35"/>
        <v>0</v>
      </c>
      <c r="AE108" s="66" t="e">
        <f t="shared" si="36"/>
        <v>#N/A</v>
      </c>
    </row>
    <row r="109" spans="1:31">
      <c r="A109" s="105" t="s">
        <v>292</v>
      </c>
      <c r="B109" s="232">
        <f>【２】結果!L8</f>
        <v>0</v>
      </c>
      <c r="C109" s="115"/>
      <c r="D109" s="55"/>
      <c r="E109" s="45"/>
      <c r="F109" s="21"/>
      <c r="G109" s="21"/>
      <c r="H109" s="42"/>
      <c r="I109" s="42"/>
      <c r="J109" s="42"/>
      <c r="K109" s="42"/>
      <c r="L109" s="42"/>
      <c r="M109" s="31"/>
      <c r="N109" s="108"/>
      <c r="O109" s="30"/>
      <c r="P109" s="30"/>
      <c r="Q109" s="30"/>
      <c r="R109" s="30"/>
      <c r="S109" s="30"/>
      <c r="T109" s="53">
        <f t="shared" si="28"/>
        <v>0</v>
      </c>
      <c r="U109" s="53">
        <f t="shared" si="29"/>
        <v>0</v>
      </c>
      <c r="V109" s="53">
        <f t="shared" si="30"/>
        <v>0</v>
      </c>
      <c r="W109" s="54">
        <f t="shared" si="31"/>
        <v>0</v>
      </c>
      <c r="X109" s="51" t="e">
        <f>VLOOKUP(W109,送料!$J$3:$K$42,2,FALSE)</f>
        <v>#N/A</v>
      </c>
      <c r="Y109" s="51" t="e">
        <f>VLOOKUP(X109,送料!$A$1:$B$40,2,FALSE)</f>
        <v>#N/A</v>
      </c>
      <c r="Z109" s="59">
        <f t="shared" si="32"/>
        <v>0</v>
      </c>
      <c r="AA109" s="62">
        <f t="shared" si="33"/>
        <v>4.5</v>
      </c>
      <c r="AB109" s="62">
        <f t="shared" si="34"/>
        <v>0</v>
      </c>
      <c r="AC109" s="65" t="e">
        <f t="shared" si="18"/>
        <v>#N/A</v>
      </c>
      <c r="AD109" s="65">
        <f t="shared" si="35"/>
        <v>0</v>
      </c>
      <c r="AE109" s="66" t="e">
        <f t="shared" si="36"/>
        <v>#N/A</v>
      </c>
    </row>
    <row r="110" spans="1:31">
      <c r="A110" s="105" t="s">
        <v>293</v>
      </c>
      <c r="B110" s="232">
        <f>【２】結果!M8</f>
        <v>0</v>
      </c>
      <c r="C110" s="115"/>
      <c r="D110" s="55"/>
      <c r="E110" s="45"/>
      <c r="F110" s="21"/>
      <c r="G110" s="21"/>
      <c r="H110" s="42"/>
      <c r="I110" s="42"/>
      <c r="J110" s="42"/>
      <c r="K110" s="42"/>
      <c r="L110" s="42"/>
      <c r="M110" s="31"/>
      <c r="N110" s="108"/>
      <c r="O110" s="30"/>
      <c r="P110" s="30"/>
      <c r="Q110" s="30"/>
      <c r="R110" s="30"/>
      <c r="S110" s="30"/>
      <c r="T110" s="53">
        <f t="shared" si="28"/>
        <v>0</v>
      </c>
      <c r="U110" s="53">
        <f t="shared" si="29"/>
        <v>0</v>
      </c>
      <c r="V110" s="53">
        <f t="shared" si="30"/>
        <v>0</v>
      </c>
      <c r="W110" s="54">
        <f t="shared" si="31"/>
        <v>0</v>
      </c>
      <c r="X110" s="51" t="e">
        <f>VLOOKUP(W110,送料!$J$3:$K$42,2,FALSE)</f>
        <v>#N/A</v>
      </c>
      <c r="Y110" s="51" t="e">
        <f>VLOOKUP(X110,送料!$A$1:$B$40,2,FALSE)</f>
        <v>#N/A</v>
      </c>
      <c r="Z110" s="59">
        <f t="shared" si="32"/>
        <v>0</v>
      </c>
      <c r="AA110" s="62">
        <f t="shared" si="33"/>
        <v>4.5</v>
      </c>
      <c r="AB110" s="62">
        <f t="shared" si="34"/>
        <v>0</v>
      </c>
      <c r="AC110" s="65" t="e">
        <f t="shared" si="18"/>
        <v>#N/A</v>
      </c>
      <c r="AD110" s="65">
        <f t="shared" si="35"/>
        <v>0</v>
      </c>
      <c r="AE110" s="66" t="e">
        <f t="shared" si="36"/>
        <v>#N/A</v>
      </c>
    </row>
    <row r="111" spans="1:31">
      <c r="A111" s="105" t="s">
        <v>294</v>
      </c>
      <c r="B111" s="232">
        <f>【２】結果!N8</f>
        <v>0</v>
      </c>
      <c r="C111" s="115"/>
      <c r="D111" s="55"/>
      <c r="E111" s="45"/>
      <c r="F111" s="21"/>
      <c r="G111" s="21"/>
      <c r="H111" s="42"/>
      <c r="I111" s="42"/>
      <c r="J111" s="42"/>
      <c r="K111" s="42"/>
      <c r="L111" s="42"/>
      <c r="M111" s="31"/>
      <c r="N111" s="108"/>
      <c r="O111" s="30"/>
      <c r="P111" s="30"/>
      <c r="Q111" s="30"/>
      <c r="R111" s="30"/>
      <c r="S111" s="30"/>
      <c r="T111" s="53">
        <f t="shared" si="28"/>
        <v>0</v>
      </c>
      <c r="U111" s="53">
        <f t="shared" si="29"/>
        <v>0</v>
      </c>
      <c r="V111" s="53">
        <f t="shared" si="30"/>
        <v>0</v>
      </c>
      <c r="W111" s="54">
        <f t="shared" si="31"/>
        <v>0</v>
      </c>
      <c r="X111" s="51" t="e">
        <f>VLOOKUP(W111,送料!$J$3:$K$42,2,FALSE)</f>
        <v>#N/A</v>
      </c>
      <c r="Y111" s="51" t="e">
        <f>VLOOKUP(X111,送料!$A$1:$B$40,2,FALSE)</f>
        <v>#N/A</v>
      </c>
      <c r="Z111" s="59">
        <f t="shared" si="32"/>
        <v>0</v>
      </c>
      <c r="AA111" s="62">
        <f t="shared" si="33"/>
        <v>4.5</v>
      </c>
      <c r="AB111" s="62">
        <f t="shared" si="34"/>
        <v>0</v>
      </c>
      <c r="AC111" s="65" t="e">
        <f t="shared" si="18"/>
        <v>#N/A</v>
      </c>
      <c r="AD111" s="65">
        <f t="shared" si="35"/>
        <v>0</v>
      </c>
      <c r="AE111" s="66" t="e">
        <f t="shared" si="36"/>
        <v>#N/A</v>
      </c>
    </row>
    <row r="112" spans="1:31">
      <c r="A112" s="105" t="s">
        <v>295</v>
      </c>
      <c r="B112" s="232">
        <f>【２】結果!O8</f>
        <v>0</v>
      </c>
      <c r="C112" s="115"/>
      <c r="D112" s="55"/>
      <c r="E112" s="45"/>
      <c r="F112" s="21"/>
      <c r="G112" s="21"/>
      <c r="H112" s="42"/>
      <c r="I112" s="42"/>
      <c r="J112" s="42"/>
      <c r="K112" s="42"/>
      <c r="L112" s="42"/>
      <c r="M112" s="31"/>
      <c r="N112" s="108"/>
      <c r="O112" s="30"/>
      <c r="P112" s="30"/>
      <c r="Q112" s="30"/>
      <c r="R112" s="30"/>
      <c r="S112" s="30"/>
      <c r="T112" s="53">
        <f t="shared" si="28"/>
        <v>0</v>
      </c>
      <c r="U112" s="53">
        <f t="shared" si="29"/>
        <v>0</v>
      </c>
      <c r="V112" s="53">
        <f t="shared" si="30"/>
        <v>0</v>
      </c>
      <c r="W112" s="54">
        <f t="shared" si="31"/>
        <v>0</v>
      </c>
      <c r="X112" s="51" t="e">
        <f>VLOOKUP(W112,送料!$J$3:$K$42,2,FALSE)</f>
        <v>#N/A</v>
      </c>
      <c r="Y112" s="51" t="e">
        <f>VLOOKUP(X112,送料!$A$1:$B$40,2,FALSE)</f>
        <v>#N/A</v>
      </c>
      <c r="Z112" s="59">
        <f t="shared" si="32"/>
        <v>0</v>
      </c>
      <c r="AA112" s="62">
        <f t="shared" si="33"/>
        <v>4.5</v>
      </c>
      <c r="AB112" s="62">
        <f t="shared" si="34"/>
        <v>0</v>
      </c>
      <c r="AC112" s="65" t="e">
        <f t="shared" si="18"/>
        <v>#N/A</v>
      </c>
      <c r="AD112" s="65">
        <f t="shared" si="35"/>
        <v>0</v>
      </c>
      <c r="AE112" s="66" t="e">
        <f t="shared" si="36"/>
        <v>#N/A</v>
      </c>
    </row>
    <row r="113" spans="1:31">
      <c r="A113" s="105" t="s">
        <v>296</v>
      </c>
      <c r="B113" s="232">
        <f>【２】結果!P8</f>
        <v>0</v>
      </c>
      <c r="C113" s="115"/>
      <c r="D113" s="55"/>
      <c r="E113" s="45"/>
      <c r="F113" s="21"/>
      <c r="G113" s="21"/>
      <c r="H113" s="42"/>
      <c r="I113" s="42"/>
      <c r="J113" s="42"/>
      <c r="K113" s="42"/>
      <c r="L113" s="42"/>
      <c r="M113" s="31"/>
      <c r="N113" s="108"/>
      <c r="O113" s="30"/>
      <c r="P113" s="30"/>
      <c r="Q113" s="30"/>
      <c r="R113" s="30"/>
      <c r="S113" s="30"/>
      <c r="T113" s="53">
        <f t="shared" si="28"/>
        <v>0</v>
      </c>
      <c r="U113" s="53">
        <f t="shared" si="29"/>
        <v>0</v>
      </c>
      <c r="V113" s="53">
        <f t="shared" si="30"/>
        <v>0</v>
      </c>
      <c r="W113" s="54">
        <f t="shared" si="31"/>
        <v>0</v>
      </c>
      <c r="X113" s="51" t="e">
        <f>VLOOKUP(W113,送料!$J$3:$K$42,2,FALSE)</f>
        <v>#N/A</v>
      </c>
      <c r="Y113" s="51" t="e">
        <f>VLOOKUP(X113,送料!$A$1:$B$40,2,FALSE)</f>
        <v>#N/A</v>
      </c>
      <c r="Z113" s="59">
        <f t="shared" si="32"/>
        <v>0</v>
      </c>
      <c r="AA113" s="62">
        <f t="shared" si="33"/>
        <v>4.5</v>
      </c>
      <c r="AB113" s="62">
        <f t="shared" si="34"/>
        <v>0</v>
      </c>
      <c r="AC113" s="65" t="e">
        <f t="shared" si="18"/>
        <v>#N/A</v>
      </c>
      <c r="AD113" s="65">
        <f t="shared" si="35"/>
        <v>0</v>
      </c>
      <c r="AE113" s="66" t="e">
        <f t="shared" si="36"/>
        <v>#N/A</v>
      </c>
    </row>
    <row r="114" spans="1:31">
      <c r="A114" s="105" t="s">
        <v>297</v>
      </c>
      <c r="B114" s="232">
        <f>【２】結果!Q8</f>
        <v>0</v>
      </c>
      <c r="C114" s="115"/>
      <c r="D114" s="55"/>
      <c r="E114" s="45"/>
      <c r="F114" s="21"/>
      <c r="G114" s="21"/>
      <c r="H114" s="42"/>
      <c r="I114" s="42"/>
      <c r="J114" s="42"/>
      <c r="K114" s="42"/>
      <c r="L114" s="42"/>
      <c r="M114" s="31"/>
      <c r="N114" s="108"/>
      <c r="O114" s="30"/>
      <c r="P114" s="30"/>
      <c r="Q114" s="30"/>
      <c r="R114" s="30"/>
      <c r="S114" s="30"/>
      <c r="T114" s="53">
        <f t="shared" ref="T114:T177" si="37">O114</f>
        <v>0</v>
      </c>
      <c r="U114" s="53">
        <f t="shared" ref="U114:U177" si="38">(P114*Q114*R114)/5000</f>
        <v>0</v>
      </c>
      <c r="V114" s="53">
        <f t="shared" ref="V114:V177" si="39">MAX(T114,U114)</f>
        <v>0</v>
      </c>
      <c r="W114" s="54">
        <f t="shared" ref="W114:W177" si="40">CEILING(ROUNDDOWN(V114,2),0.5)</f>
        <v>0</v>
      </c>
      <c r="X114" s="51" t="e">
        <f>VLOOKUP(W114,送料!$J$3:$K$42,2,FALSE)</f>
        <v>#N/A</v>
      </c>
      <c r="Y114" s="51" t="e">
        <f>VLOOKUP(X114,送料!$A$1:$B$40,2,FALSE)</f>
        <v>#N/A</v>
      </c>
      <c r="Z114" s="59">
        <f t="shared" ref="Z114:Z177" si="41">(N114*S114)*0.16</f>
        <v>0</v>
      </c>
      <c r="AA114" s="62">
        <f t="shared" ref="AA114:AA177" si="42">(N114*0.15)+4.5</f>
        <v>4.5</v>
      </c>
      <c r="AB114" s="62">
        <f t="shared" ref="AB114:AB177" si="43">S114*AA114</f>
        <v>0</v>
      </c>
      <c r="AC114" s="65" t="e">
        <f t="shared" si="18"/>
        <v>#N/A</v>
      </c>
      <c r="AD114" s="65">
        <f t="shared" ref="AD114:AD177" si="44">N114*S114</f>
        <v>0</v>
      </c>
      <c r="AE114" s="66" t="e">
        <f t="shared" ref="AE114:AE177" si="45">AD114-AC114</f>
        <v>#N/A</v>
      </c>
    </row>
    <row r="115" spans="1:31">
      <c r="A115" s="105" t="s">
        <v>298</v>
      </c>
      <c r="B115" s="232">
        <f>【２】結果!R8</f>
        <v>0</v>
      </c>
      <c r="C115" s="115"/>
      <c r="D115" s="55"/>
      <c r="E115" s="45"/>
      <c r="F115" s="21"/>
      <c r="G115" s="21"/>
      <c r="H115" s="42"/>
      <c r="I115" s="42"/>
      <c r="J115" s="42"/>
      <c r="K115" s="42"/>
      <c r="L115" s="42"/>
      <c r="M115" s="31"/>
      <c r="N115" s="108"/>
      <c r="O115" s="30"/>
      <c r="P115" s="30"/>
      <c r="Q115" s="30"/>
      <c r="R115" s="30"/>
      <c r="S115" s="30"/>
      <c r="T115" s="53">
        <f t="shared" si="37"/>
        <v>0</v>
      </c>
      <c r="U115" s="53">
        <f t="shared" si="38"/>
        <v>0</v>
      </c>
      <c r="V115" s="53">
        <f t="shared" si="39"/>
        <v>0</v>
      </c>
      <c r="W115" s="54">
        <f t="shared" si="40"/>
        <v>0</v>
      </c>
      <c r="X115" s="51" t="e">
        <f>VLOOKUP(W115,送料!$J$3:$K$42,2,FALSE)</f>
        <v>#N/A</v>
      </c>
      <c r="Y115" s="51" t="e">
        <f>VLOOKUP(X115,送料!$A$1:$B$40,2,FALSE)</f>
        <v>#N/A</v>
      </c>
      <c r="Z115" s="59">
        <f t="shared" si="41"/>
        <v>0</v>
      </c>
      <c r="AA115" s="62">
        <f t="shared" si="42"/>
        <v>4.5</v>
      </c>
      <c r="AB115" s="62">
        <f t="shared" si="43"/>
        <v>0</v>
      </c>
      <c r="AC115" s="65" t="e">
        <f t="shared" si="18"/>
        <v>#N/A</v>
      </c>
      <c r="AD115" s="65">
        <f t="shared" si="44"/>
        <v>0</v>
      </c>
      <c r="AE115" s="66" t="e">
        <f t="shared" si="45"/>
        <v>#N/A</v>
      </c>
    </row>
    <row r="116" spans="1:31">
      <c r="A116" s="105" t="s">
        <v>299</v>
      </c>
      <c r="B116" s="232">
        <f>【２】結果!S8</f>
        <v>0</v>
      </c>
      <c r="C116" s="115"/>
      <c r="D116" s="55"/>
      <c r="E116" s="45"/>
      <c r="F116" s="21"/>
      <c r="G116" s="21"/>
      <c r="H116" s="42"/>
      <c r="I116" s="42"/>
      <c r="J116" s="42"/>
      <c r="K116" s="42"/>
      <c r="L116" s="42"/>
      <c r="M116" s="31"/>
      <c r="N116" s="108"/>
      <c r="O116" s="30"/>
      <c r="P116" s="30"/>
      <c r="Q116" s="30"/>
      <c r="R116" s="30"/>
      <c r="S116" s="30"/>
      <c r="T116" s="53">
        <f t="shared" si="37"/>
        <v>0</v>
      </c>
      <c r="U116" s="53">
        <f t="shared" si="38"/>
        <v>0</v>
      </c>
      <c r="V116" s="53">
        <f t="shared" si="39"/>
        <v>0</v>
      </c>
      <c r="W116" s="54">
        <f t="shared" si="40"/>
        <v>0</v>
      </c>
      <c r="X116" s="51" t="e">
        <f>VLOOKUP(W116,送料!$J$3:$K$42,2,FALSE)</f>
        <v>#N/A</v>
      </c>
      <c r="Y116" s="51" t="e">
        <f>VLOOKUP(X116,送料!$A$1:$B$40,2,FALSE)</f>
        <v>#N/A</v>
      </c>
      <c r="Z116" s="59">
        <f t="shared" si="41"/>
        <v>0</v>
      </c>
      <c r="AA116" s="62">
        <f t="shared" si="42"/>
        <v>4.5</v>
      </c>
      <c r="AB116" s="62">
        <f t="shared" si="43"/>
        <v>0</v>
      </c>
      <c r="AC116" s="65" t="e">
        <f t="shared" si="18"/>
        <v>#N/A</v>
      </c>
      <c r="AD116" s="65">
        <f t="shared" si="44"/>
        <v>0</v>
      </c>
      <c r="AE116" s="66" t="e">
        <f t="shared" si="45"/>
        <v>#N/A</v>
      </c>
    </row>
    <row r="117" spans="1:31">
      <c r="A117" s="105" t="s">
        <v>300</v>
      </c>
      <c r="B117" s="232">
        <f>【２】結果!T8</f>
        <v>0</v>
      </c>
      <c r="C117" s="115"/>
      <c r="D117" s="55"/>
      <c r="E117" s="45"/>
      <c r="F117" s="21"/>
      <c r="G117" s="21"/>
      <c r="H117" s="42"/>
      <c r="I117" s="42"/>
      <c r="J117" s="42"/>
      <c r="K117" s="42"/>
      <c r="L117" s="42"/>
      <c r="M117" s="31"/>
      <c r="N117" s="108"/>
      <c r="O117" s="30"/>
      <c r="P117" s="30"/>
      <c r="Q117" s="30"/>
      <c r="R117" s="30"/>
      <c r="S117" s="30"/>
      <c r="T117" s="53">
        <f t="shared" si="37"/>
        <v>0</v>
      </c>
      <c r="U117" s="53">
        <f t="shared" si="38"/>
        <v>0</v>
      </c>
      <c r="V117" s="53">
        <f t="shared" si="39"/>
        <v>0</v>
      </c>
      <c r="W117" s="54">
        <f t="shared" si="40"/>
        <v>0</v>
      </c>
      <c r="X117" s="51" t="e">
        <f>VLOOKUP(W117,送料!$J$3:$K$42,2,FALSE)</f>
        <v>#N/A</v>
      </c>
      <c r="Y117" s="51" t="e">
        <f>VLOOKUP(X117,送料!$A$1:$B$40,2,FALSE)</f>
        <v>#N/A</v>
      </c>
      <c r="Z117" s="59">
        <f t="shared" si="41"/>
        <v>0</v>
      </c>
      <c r="AA117" s="62">
        <f t="shared" si="42"/>
        <v>4.5</v>
      </c>
      <c r="AB117" s="62">
        <f t="shared" si="43"/>
        <v>0</v>
      </c>
      <c r="AC117" s="65" t="e">
        <f t="shared" si="18"/>
        <v>#N/A</v>
      </c>
      <c r="AD117" s="65">
        <f t="shared" si="44"/>
        <v>0</v>
      </c>
      <c r="AE117" s="66" t="e">
        <f t="shared" si="45"/>
        <v>#N/A</v>
      </c>
    </row>
    <row r="118" spans="1:31">
      <c r="A118" s="105" t="s">
        <v>301</v>
      </c>
      <c r="B118" s="232">
        <f>【２】結果!U8</f>
        <v>0</v>
      </c>
      <c r="C118" s="115"/>
      <c r="D118" s="55"/>
      <c r="E118" s="45"/>
      <c r="F118" s="21"/>
      <c r="G118" s="21"/>
      <c r="H118" s="42"/>
      <c r="I118" s="42"/>
      <c r="J118" s="42"/>
      <c r="K118" s="42"/>
      <c r="L118" s="42"/>
      <c r="M118" s="31"/>
      <c r="N118" s="108"/>
      <c r="O118" s="30"/>
      <c r="P118" s="30"/>
      <c r="Q118" s="30"/>
      <c r="R118" s="30"/>
      <c r="S118" s="30"/>
      <c r="T118" s="53">
        <f t="shared" si="37"/>
        <v>0</v>
      </c>
      <c r="U118" s="53">
        <f t="shared" si="38"/>
        <v>0</v>
      </c>
      <c r="V118" s="53">
        <f t="shared" si="39"/>
        <v>0</v>
      </c>
      <c r="W118" s="54">
        <f t="shared" si="40"/>
        <v>0</v>
      </c>
      <c r="X118" s="51" t="e">
        <f>VLOOKUP(W118,送料!$J$3:$K$42,2,FALSE)</f>
        <v>#N/A</v>
      </c>
      <c r="Y118" s="51" t="e">
        <f>VLOOKUP(X118,送料!$A$1:$B$40,2,FALSE)</f>
        <v>#N/A</v>
      </c>
      <c r="Z118" s="59">
        <f t="shared" si="41"/>
        <v>0</v>
      </c>
      <c r="AA118" s="62">
        <f t="shared" si="42"/>
        <v>4.5</v>
      </c>
      <c r="AB118" s="62">
        <f t="shared" si="43"/>
        <v>0</v>
      </c>
      <c r="AC118" s="65" t="e">
        <f t="shared" si="18"/>
        <v>#N/A</v>
      </c>
      <c r="AD118" s="65">
        <f t="shared" si="44"/>
        <v>0</v>
      </c>
      <c r="AE118" s="66" t="e">
        <f t="shared" si="45"/>
        <v>#N/A</v>
      </c>
    </row>
    <row r="119" spans="1:31">
      <c r="A119" s="105" t="s">
        <v>302</v>
      </c>
      <c r="B119" s="232">
        <f>【２】結果!V8</f>
        <v>0</v>
      </c>
      <c r="C119" s="115"/>
      <c r="D119" s="55"/>
      <c r="E119" s="45"/>
      <c r="F119" s="21"/>
      <c r="G119" s="21"/>
      <c r="H119" s="42"/>
      <c r="I119" s="42"/>
      <c r="J119" s="42"/>
      <c r="K119" s="42"/>
      <c r="L119" s="42"/>
      <c r="M119" s="31"/>
      <c r="N119" s="108"/>
      <c r="O119" s="30"/>
      <c r="P119" s="30"/>
      <c r="Q119" s="30"/>
      <c r="R119" s="30"/>
      <c r="S119" s="30"/>
      <c r="T119" s="53">
        <f t="shared" si="37"/>
        <v>0</v>
      </c>
      <c r="U119" s="53">
        <f t="shared" si="38"/>
        <v>0</v>
      </c>
      <c r="V119" s="53">
        <f t="shared" si="39"/>
        <v>0</v>
      </c>
      <c r="W119" s="54">
        <f t="shared" si="40"/>
        <v>0</v>
      </c>
      <c r="X119" s="51" t="e">
        <f>VLOOKUP(W119,送料!$J$3:$K$42,2,FALSE)</f>
        <v>#N/A</v>
      </c>
      <c r="Y119" s="51" t="e">
        <f>VLOOKUP(X119,送料!$A$1:$B$40,2,FALSE)</f>
        <v>#N/A</v>
      </c>
      <c r="Z119" s="59">
        <f t="shared" si="41"/>
        <v>0</v>
      </c>
      <c r="AA119" s="62">
        <f t="shared" si="42"/>
        <v>4.5</v>
      </c>
      <c r="AB119" s="62">
        <f t="shared" si="43"/>
        <v>0</v>
      </c>
      <c r="AC119" s="65" t="e">
        <f t="shared" si="18"/>
        <v>#N/A</v>
      </c>
      <c r="AD119" s="65">
        <f t="shared" si="44"/>
        <v>0</v>
      </c>
      <c r="AE119" s="66" t="e">
        <f t="shared" si="45"/>
        <v>#N/A</v>
      </c>
    </row>
    <row r="120" spans="1:31">
      <c r="A120" s="105" t="s">
        <v>303</v>
      </c>
      <c r="B120" s="232">
        <f>【２】結果!W8</f>
        <v>0</v>
      </c>
      <c r="C120" s="115"/>
      <c r="D120" s="55"/>
      <c r="E120" s="45"/>
      <c r="F120" s="21"/>
      <c r="G120" s="21"/>
      <c r="H120" s="42"/>
      <c r="I120" s="42"/>
      <c r="J120" s="42"/>
      <c r="K120" s="42"/>
      <c r="L120" s="42"/>
      <c r="M120" s="31"/>
      <c r="N120" s="108"/>
      <c r="O120" s="30"/>
      <c r="P120" s="30"/>
      <c r="Q120" s="30"/>
      <c r="R120" s="30"/>
      <c r="S120" s="30"/>
      <c r="T120" s="53">
        <f t="shared" si="37"/>
        <v>0</v>
      </c>
      <c r="U120" s="53">
        <f t="shared" si="38"/>
        <v>0</v>
      </c>
      <c r="V120" s="53">
        <f t="shared" si="39"/>
        <v>0</v>
      </c>
      <c r="W120" s="54">
        <f t="shared" si="40"/>
        <v>0</v>
      </c>
      <c r="X120" s="51" t="e">
        <f>VLOOKUP(W120,送料!$J$3:$K$42,2,FALSE)</f>
        <v>#N/A</v>
      </c>
      <c r="Y120" s="51" t="e">
        <f>VLOOKUP(X120,送料!$A$1:$B$40,2,FALSE)</f>
        <v>#N/A</v>
      </c>
      <c r="Z120" s="59">
        <f t="shared" si="41"/>
        <v>0</v>
      </c>
      <c r="AA120" s="62">
        <f t="shared" si="42"/>
        <v>4.5</v>
      </c>
      <c r="AB120" s="62">
        <f t="shared" si="43"/>
        <v>0</v>
      </c>
      <c r="AC120" s="65" t="e">
        <f t="shared" si="18"/>
        <v>#N/A</v>
      </c>
      <c r="AD120" s="65">
        <f t="shared" si="44"/>
        <v>0</v>
      </c>
      <c r="AE120" s="66" t="e">
        <f t="shared" si="45"/>
        <v>#N/A</v>
      </c>
    </row>
    <row r="121" spans="1:31">
      <c r="A121" s="105" t="s">
        <v>304</v>
      </c>
      <c r="B121" s="232">
        <f>【２】結果!X8</f>
        <v>0</v>
      </c>
      <c r="C121" s="115"/>
      <c r="D121" s="55"/>
      <c r="E121" s="45"/>
      <c r="F121" s="21"/>
      <c r="G121" s="21"/>
      <c r="H121" s="42"/>
      <c r="I121" s="42"/>
      <c r="J121" s="42"/>
      <c r="K121" s="42"/>
      <c r="L121" s="42"/>
      <c r="M121" s="31"/>
      <c r="N121" s="108"/>
      <c r="O121" s="30"/>
      <c r="P121" s="30"/>
      <c r="Q121" s="30"/>
      <c r="R121" s="30"/>
      <c r="S121" s="30"/>
      <c r="T121" s="53">
        <f t="shared" si="37"/>
        <v>0</v>
      </c>
      <c r="U121" s="53">
        <f t="shared" si="38"/>
        <v>0</v>
      </c>
      <c r="V121" s="53">
        <f t="shared" si="39"/>
        <v>0</v>
      </c>
      <c r="W121" s="54">
        <f t="shared" si="40"/>
        <v>0</v>
      </c>
      <c r="X121" s="51" t="e">
        <f>VLOOKUP(W121,送料!$J$3:$K$42,2,FALSE)</f>
        <v>#N/A</v>
      </c>
      <c r="Y121" s="51" t="e">
        <f>VLOOKUP(X121,送料!$A$1:$B$40,2,FALSE)</f>
        <v>#N/A</v>
      </c>
      <c r="Z121" s="59">
        <f t="shared" si="41"/>
        <v>0</v>
      </c>
      <c r="AA121" s="62">
        <f t="shared" si="42"/>
        <v>4.5</v>
      </c>
      <c r="AB121" s="62">
        <f t="shared" si="43"/>
        <v>0</v>
      </c>
      <c r="AC121" s="65" t="e">
        <f t="shared" si="18"/>
        <v>#N/A</v>
      </c>
      <c r="AD121" s="65">
        <f t="shared" si="44"/>
        <v>0</v>
      </c>
      <c r="AE121" s="66" t="e">
        <f t="shared" si="45"/>
        <v>#N/A</v>
      </c>
    </row>
    <row r="122" spans="1:31">
      <c r="A122" s="105" t="s">
        <v>305</v>
      </c>
      <c r="B122" s="232">
        <f>【２】結果!E9</f>
        <v>0</v>
      </c>
      <c r="C122" s="115"/>
      <c r="D122" s="55"/>
      <c r="E122" s="45"/>
      <c r="F122" s="21"/>
      <c r="G122" s="21"/>
      <c r="H122" s="42"/>
      <c r="I122" s="42"/>
      <c r="J122" s="42"/>
      <c r="K122" s="42"/>
      <c r="L122" s="42"/>
      <c r="M122" s="31"/>
      <c r="N122" s="108"/>
      <c r="O122" s="30"/>
      <c r="P122" s="30"/>
      <c r="Q122" s="30"/>
      <c r="R122" s="30"/>
      <c r="S122" s="30"/>
      <c r="T122" s="53">
        <f t="shared" si="37"/>
        <v>0</v>
      </c>
      <c r="U122" s="53">
        <f t="shared" si="38"/>
        <v>0</v>
      </c>
      <c r="V122" s="53">
        <f t="shared" si="39"/>
        <v>0</v>
      </c>
      <c r="W122" s="54">
        <f t="shared" si="40"/>
        <v>0</v>
      </c>
      <c r="X122" s="51" t="e">
        <f>VLOOKUP(W122,送料!$J$3:$K$42,2,FALSE)</f>
        <v>#N/A</v>
      </c>
      <c r="Y122" s="51" t="e">
        <f>VLOOKUP(X122,送料!$A$1:$B$40,2,FALSE)</f>
        <v>#N/A</v>
      </c>
      <c r="Z122" s="59">
        <f t="shared" si="41"/>
        <v>0</v>
      </c>
      <c r="AA122" s="62">
        <f t="shared" si="42"/>
        <v>4.5</v>
      </c>
      <c r="AB122" s="62">
        <f t="shared" si="43"/>
        <v>0</v>
      </c>
      <c r="AC122" s="65" t="e">
        <f t="shared" si="18"/>
        <v>#N/A</v>
      </c>
      <c r="AD122" s="65">
        <f t="shared" si="44"/>
        <v>0</v>
      </c>
      <c r="AE122" s="66" t="e">
        <f t="shared" si="45"/>
        <v>#N/A</v>
      </c>
    </row>
    <row r="123" spans="1:31">
      <c r="A123" s="105" t="s">
        <v>306</v>
      </c>
      <c r="B123" s="232">
        <f>【２】結果!F9</f>
        <v>0</v>
      </c>
      <c r="C123" s="115"/>
      <c r="D123" s="55"/>
      <c r="E123" s="45"/>
      <c r="F123" s="21"/>
      <c r="G123" s="21"/>
      <c r="H123" s="42"/>
      <c r="I123" s="42"/>
      <c r="J123" s="42"/>
      <c r="K123" s="42"/>
      <c r="L123" s="42"/>
      <c r="M123" s="31"/>
      <c r="N123" s="108"/>
      <c r="O123" s="30"/>
      <c r="P123" s="30"/>
      <c r="Q123" s="30"/>
      <c r="R123" s="30"/>
      <c r="S123" s="30"/>
      <c r="T123" s="53">
        <f t="shared" si="37"/>
        <v>0</v>
      </c>
      <c r="U123" s="53">
        <f t="shared" si="38"/>
        <v>0</v>
      </c>
      <c r="V123" s="53">
        <f t="shared" si="39"/>
        <v>0</v>
      </c>
      <c r="W123" s="54">
        <f t="shared" si="40"/>
        <v>0</v>
      </c>
      <c r="X123" s="51" t="e">
        <f>VLOOKUP(W123,送料!$J$3:$K$42,2,FALSE)</f>
        <v>#N/A</v>
      </c>
      <c r="Y123" s="51" t="e">
        <f>VLOOKUP(X123,送料!$A$1:$B$40,2,FALSE)</f>
        <v>#N/A</v>
      </c>
      <c r="Z123" s="59">
        <f t="shared" si="41"/>
        <v>0</v>
      </c>
      <c r="AA123" s="62">
        <f t="shared" si="42"/>
        <v>4.5</v>
      </c>
      <c r="AB123" s="62">
        <f t="shared" si="43"/>
        <v>0</v>
      </c>
      <c r="AC123" s="65" t="e">
        <f t="shared" si="18"/>
        <v>#N/A</v>
      </c>
      <c r="AD123" s="65">
        <f t="shared" si="44"/>
        <v>0</v>
      </c>
      <c r="AE123" s="66" t="e">
        <f t="shared" si="45"/>
        <v>#N/A</v>
      </c>
    </row>
    <row r="124" spans="1:31">
      <c r="A124" s="105" t="s">
        <v>307</v>
      </c>
      <c r="B124" s="232">
        <f>【２】結果!G9</f>
        <v>0</v>
      </c>
      <c r="C124" s="115"/>
      <c r="D124" s="55"/>
      <c r="E124" s="45"/>
      <c r="F124" s="21"/>
      <c r="G124" s="21"/>
      <c r="H124" s="42"/>
      <c r="I124" s="42"/>
      <c r="J124" s="42"/>
      <c r="K124" s="42"/>
      <c r="L124" s="42"/>
      <c r="M124" s="31"/>
      <c r="N124" s="108"/>
      <c r="O124" s="30"/>
      <c r="P124" s="30"/>
      <c r="Q124" s="30"/>
      <c r="R124" s="30"/>
      <c r="S124" s="30"/>
      <c r="T124" s="53">
        <f t="shared" si="37"/>
        <v>0</v>
      </c>
      <c r="U124" s="53">
        <f t="shared" si="38"/>
        <v>0</v>
      </c>
      <c r="V124" s="53">
        <f t="shared" si="39"/>
        <v>0</v>
      </c>
      <c r="W124" s="54">
        <f t="shared" si="40"/>
        <v>0</v>
      </c>
      <c r="X124" s="51" t="e">
        <f>VLOOKUP(W124,送料!$J$3:$K$42,2,FALSE)</f>
        <v>#N/A</v>
      </c>
      <c r="Y124" s="51" t="e">
        <f>VLOOKUP(X124,送料!$A$1:$B$40,2,FALSE)</f>
        <v>#N/A</v>
      </c>
      <c r="Z124" s="59">
        <f t="shared" si="41"/>
        <v>0</v>
      </c>
      <c r="AA124" s="62">
        <f t="shared" si="42"/>
        <v>4.5</v>
      </c>
      <c r="AB124" s="62">
        <f t="shared" si="43"/>
        <v>0</v>
      </c>
      <c r="AC124" s="65" t="e">
        <f t="shared" si="18"/>
        <v>#N/A</v>
      </c>
      <c r="AD124" s="65">
        <f t="shared" si="44"/>
        <v>0</v>
      </c>
      <c r="AE124" s="66" t="e">
        <f t="shared" si="45"/>
        <v>#N/A</v>
      </c>
    </row>
    <row r="125" spans="1:31">
      <c r="A125" s="105" t="s">
        <v>308</v>
      </c>
      <c r="B125" s="232">
        <f>【２】結果!H9</f>
        <v>0</v>
      </c>
      <c r="C125" s="115"/>
      <c r="D125" s="55"/>
      <c r="E125" s="45"/>
      <c r="F125" s="21"/>
      <c r="G125" s="21"/>
      <c r="H125" s="42"/>
      <c r="I125" s="42"/>
      <c r="J125" s="42"/>
      <c r="K125" s="42"/>
      <c r="L125" s="42"/>
      <c r="M125" s="31"/>
      <c r="N125" s="108"/>
      <c r="O125" s="30"/>
      <c r="P125" s="30"/>
      <c r="Q125" s="30"/>
      <c r="R125" s="30"/>
      <c r="S125" s="30"/>
      <c r="T125" s="53">
        <f t="shared" si="37"/>
        <v>0</v>
      </c>
      <c r="U125" s="53">
        <f t="shared" si="38"/>
        <v>0</v>
      </c>
      <c r="V125" s="53">
        <f t="shared" si="39"/>
        <v>0</v>
      </c>
      <c r="W125" s="54">
        <f t="shared" si="40"/>
        <v>0</v>
      </c>
      <c r="X125" s="51" t="e">
        <f>VLOOKUP(W125,送料!$J$3:$K$42,2,FALSE)</f>
        <v>#N/A</v>
      </c>
      <c r="Y125" s="51" t="e">
        <f>VLOOKUP(X125,送料!$A$1:$B$40,2,FALSE)</f>
        <v>#N/A</v>
      </c>
      <c r="Z125" s="59">
        <f t="shared" si="41"/>
        <v>0</v>
      </c>
      <c r="AA125" s="62">
        <f t="shared" si="42"/>
        <v>4.5</v>
      </c>
      <c r="AB125" s="62">
        <f t="shared" si="43"/>
        <v>0</v>
      </c>
      <c r="AC125" s="65" t="e">
        <f t="shared" si="18"/>
        <v>#N/A</v>
      </c>
      <c r="AD125" s="65">
        <f t="shared" si="44"/>
        <v>0</v>
      </c>
      <c r="AE125" s="66" t="e">
        <f t="shared" si="45"/>
        <v>#N/A</v>
      </c>
    </row>
    <row r="126" spans="1:31">
      <c r="A126" s="105" t="s">
        <v>309</v>
      </c>
      <c r="B126" s="232">
        <f>【２】結果!I9</f>
        <v>0</v>
      </c>
      <c r="C126" s="115"/>
      <c r="D126" s="55"/>
      <c r="E126" s="45"/>
      <c r="F126" s="21"/>
      <c r="G126" s="21"/>
      <c r="H126" s="42"/>
      <c r="I126" s="42"/>
      <c r="J126" s="42"/>
      <c r="K126" s="42"/>
      <c r="L126" s="42"/>
      <c r="M126" s="31"/>
      <c r="N126" s="108"/>
      <c r="O126" s="30"/>
      <c r="P126" s="30"/>
      <c r="Q126" s="30"/>
      <c r="R126" s="30"/>
      <c r="S126" s="30"/>
      <c r="T126" s="53">
        <f t="shared" si="37"/>
        <v>0</v>
      </c>
      <c r="U126" s="53">
        <f t="shared" si="38"/>
        <v>0</v>
      </c>
      <c r="V126" s="53">
        <f t="shared" si="39"/>
        <v>0</v>
      </c>
      <c r="W126" s="54">
        <f t="shared" si="40"/>
        <v>0</v>
      </c>
      <c r="X126" s="51" t="e">
        <f>VLOOKUP(W126,送料!$J$3:$K$42,2,FALSE)</f>
        <v>#N/A</v>
      </c>
      <c r="Y126" s="51" t="e">
        <f>VLOOKUP(X126,送料!$A$1:$B$40,2,FALSE)</f>
        <v>#N/A</v>
      </c>
      <c r="Z126" s="59">
        <f t="shared" si="41"/>
        <v>0</v>
      </c>
      <c r="AA126" s="62">
        <f t="shared" si="42"/>
        <v>4.5</v>
      </c>
      <c r="AB126" s="62">
        <f t="shared" si="43"/>
        <v>0</v>
      </c>
      <c r="AC126" s="65" t="e">
        <f t="shared" si="18"/>
        <v>#N/A</v>
      </c>
      <c r="AD126" s="65">
        <f t="shared" si="44"/>
        <v>0</v>
      </c>
      <c r="AE126" s="66" t="e">
        <f t="shared" si="45"/>
        <v>#N/A</v>
      </c>
    </row>
    <row r="127" spans="1:31">
      <c r="A127" s="105" t="s">
        <v>310</v>
      </c>
      <c r="B127" s="232">
        <f>【２】結果!J9</f>
        <v>0</v>
      </c>
      <c r="C127" s="115"/>
      <c r="D127" s="55"/>
      <c r="E127" s="45"/>
      <c r="F127" s="21"/>
      <c r="G127" s="21"/>
      <c r="H127" s="42"/>
      <c r="I127" s="42"/>
      <c r="J127" s="42"/>
      <c r="K127" s="42"/>
      <c r="L127" s="42"/>
      <c r="M127" s="31"/>
      <c r="N127" s="108"/>
      <c r="O127" s="30"/>
      <c r="P127" s="30"/>
      <c r="Q127" s="30"/>
      <c r="R127" s="30"/>
      <c r="S127" s="30"/>
      <c r="T127" s="53">
        <f t="shared" si="37"/>
        <v>0</v>
      </c>
      <c r="U127" s="53">
        <f t="shared" si="38"/>
        <v>0</v>
      </c>
      <c r="V127" s="53">
        <f t="shared" si="39"/>
        <v>0</v>
      </c>
      <c r="W127" s="54">
        <f t="shared" si="40"/>
        <v>0</v>
      </c>
      <c r="X127" s="51" t="e">
        <f>VLOOKUP(W127,送料!$J$3:$K$42,2,FALSE)</f>
        <v>#N/A</v>
      </c>
      <c r="Y127" s="51" t="e">
        <f>VLOOKUP(X127,送料!$A$1:$B$40,2,FALSE)</f>
        <v>#N/A</v>
      </c>
      <c r="Z127" s="59">
        <f t="shared" si="41"/>
        <v>0</v>
      </c>
      <c r="AA127" s="62">
        <f t="shared" si="42"/>
        <v>4.5</v>
      </c>
      <c r="AB127" s="62">
        <f t="shared" si="43"/>
        <v>0</v>
      </c>
      <c r="AC127" s="65" t="e">
        <f t="shared" si="18"/>
        <v>#N/A</v>
      </c>
      <c r="AD127" s="65">
        <f t="shared" si="44"/>
        <v>0</v>
      </c>
      <c r="AE127" s="66" t="e">
        <f t="shared" si="45"/>
        <v>#N/A</v>
      </c>
    </row>
    <row r="128" spans="1:31">
      <c r="A128" s="105" t="s">
        <v>311</v>
      </c>
      <c r="B128" s="232">
        <f>【２】結果!K9</f>
        <v>0</v>
      </c>
      <c r="C128" s="115"/>
      <c r="D128" s="55"/>
      <c r="E128" s="45"/>
      <c r="F128" s="21"/>
      <c r="G128" s="21"/>
      <c r="H128" s="42"/>
      <c r="I128" s="42"/>
      <c r="J128" s="42"/>
      <c r="K128" s="42"/>
      <c r="L128" s="42"/>
      <c r="M128" s="31"/>
      <c r="N128" s="108"/>
      <c r="O128" s="30"/>
      <c r="P128" s="30"/>
      <c r="Q128" s="30"/>
      <c r="R128" s="30"/>
      <c r="S128" s="30"/>
      <c r="T128" s="53">
        <f t="shared" si="37"/>
        <v>0</v>
      </c>
      <c r="U128" s="53">
        <f t="shared" si="38"/>
        <v>0</v>
      </c>
      <c r="V128" s="53">
        <f t="shared" si="39"/>
        <v>0</v>
      </c>
      <c r="W128" s="54">
        <f t="shared" si="40"/>
        <v>0</v>
      </c>
      <c r="X128" s="51" t="e">
        <f>VLOOKUP(W128,送料!$J$3:$K$42,2,FALSE)</f>
        <v>#N/A</v>
      </c>
      <c r="Y128" s="51" t="e">
        <f>VLOOKUP(X128,送料!$A$1:$B$40,2,FALSE)</f>
        <v>#N/A</v>
      </c>
      <c r="Z128" s="59">
        <f t="shared" si="41"/>
        <v>0</v>
      </c>
      <c r="AA128" s="62">
        <f t="shared" si="42"/>
        <v>4.5</v>
      </c>
      <c r="AB128" s="62">
        <f t="shared" si="43"/>
        <v>0</v>
      </c>
      <c r="AC128" s="65" t="e">
        <f t="shared" si="18"/>
        <v>#N/A</v>
      </c>
      <c r="AD128" s="65">
        <f t="shared" si="44"/>
        <v>0</v>
      </c>
      <c r="AE128" s="66" t="e">
        <f t="shared" si="45"/>
        <v>#N/A</v>
      </c>
    </row>
    <row r="129" spans="1:31">
      <c r="A129" s="105" t="s">
        <v>312</v>
      </c>
      <c r="B129" s="232">
        <f>【２】結果!L9</f>
        <v>0</v>
      </c>
      <c r="C129" s="115"/>
      <c r="D129" s="55"/>
      <c r="E129" s="45"/>
      <c r="F129" s="21"/>
      <c r="G129" s="21"/>
      <c r="H129" s="42"/>
      <c r="I129" s="42"/>
      <c r="J129" s="42"/>
      <c r="K129" s="42"/>
      <c r="L129" s="42"/>
      <c r="M129" s="31"/>
      <c r="N129" s="108"/>
      <c r="O129" s="30"/>
      <c r="P129" s="30"/>
      <c r="Q129" s="30"/>
      <c r="R129" s="30"/>
      <c r="S129" s="30"/>
      <c r="T129" s="53">
        <f t="shared" si="37"/>
        <v>0</v>
      </c>
      <c r="U129" s="53">
        <f t="shared" si="38"/>
        <v>0</v>
      </c>
      <c r="V129" s="53">
        <f t="shared" si="39"/>
        <v>0</v>
      </c>
      <c r="W129" s="54">
        <f t="shared" si="40"/>
        <v>0</v>
      </c>
      <c r="X129" s="51" t="e">
        <f>VLOOKUP(W129,送料!$J$3:$K$42,2,FALSE)</f>
        <v>#N/A</v>
      </c>
      <c r="Y129" s="51" t="e">
        <f>VLOOKUP(X129,送料!$A$1:$B$40,2,FALSE)</f>
        <v>#N/A</v>
      </c>
      <c r="Z129" s="59">
        <f t="shared" si="41"/>
        <v>0</v>
      </c>
      <c r="AA129" s="62">
        <f t="shared" si="42"/>
        <v>4.5</v>
      </c>
      <c r="AB129" s="62">
        <f t="shared" si="43"/>
        <v>0</v>
      </c>
      <c r="AC129" s="65" t="e">
        <f t="shared" si="18"/>
        <v>#N/A</v>
      </c>
      <c r="AD129" s="65">
        <f t="shared" si="44"/>
        <v>0</v>
      </c>
      <c r="AE129" s="66" t="e">
        <f t="shared" si="45"/>
        <v>#N/A</v>
      </c>
    </row>
    <row r="130" spans="1:31">
      <c r="A130" s="105" t="s">
        <v>313</v>
      </c>
      <c r="B130" s="232">
        <f>【２】結果!M9</f>
        <v>0</v>
      </c>
      <c r="C130" s="115"/>
      <c r="D130" s="55"/>
      <c r="E130" s="45"/>
      <c r="F130" s="21"/>
      <c r="G130" s="21"/>
      <c r="H130" s="42"/>
      <c r="I130" s="42"/>
      <c r="J130" s="42"/>
      <c r="K130" s="42"/>
      <c r="L130" s="42"/>
      <c r="M130" s="31"/>
      <c r="N130" s="108"/>
      <c r="O130" s="30"/>
      <c r="P130" s="30"/>
      <c r="Q130" s="30"/>
      <c r="R130" s="30"/>
      <c r="S130" s="30"/>
      <c r="T130" s="53">
        <f t="shared" si="37"/>
        <v>0</v>
      </c>
      <c r="U130" s="53">
        <f t="shared" si="38"/>
        <v>0</v>
      </c>
      <c r="V130" s="53">
        <f t="shared" si="39"/>
        <v>0</v>
      </c>
      <c r="W130" s="54">
        <f t="shared" si="40"/>
        <v>0</v>
      </c>
      <c r="X130" s="51" t="e">
        <f>VLOOKUP(W130,送料!$J$3:$K$42,2,FALSE)</f>
        <v>#N/A</v>
      </c>
      <c r="Y130" s="51" t="e">
        <f>VLOOKUP(X130,送料!$A$1:$B$40,2,FALSE)</f>
        <v>#N/A</v>
      </c>
      <c r="Z130" s="59">
        <f t="shared" si="41"/>
        <v>0</v>
      </c>
      <c r="AA130" s="62">
        <f t="shared" si="42"/>
        <v>4.5</v>
      </c>
      <c r="AB130" s="62">
        <f t="shared" si="43"/>
        <v>0</v>
      </c>
      <c r="AC130" s="65" t="e">
        <f t="shared" ref="AC130:AC193" si="46">Y130+Z130+AB130+D130</f>
        <v>#N/A</v>
      </c>
      <c r="AD130" s="65">
        <f t="shared" si="44"/>
        <v>0</v>
      </c>
      <c r="AE130" s="66" t="e">
        <f t="shared" si="45"/>
        <v>#N/A</v>
      </c>
    </row>
    <row r="131" spans="1:31">
      <c r="A131" s="105" t="s">
        <v>314</v>
      </c>
      <c r="B131" s="232">
        <f>【２】結果!N9</f>
        <v>0</v>
      </c>
      <c r="C131" s="115"/>
      <c r="D131" s="55"/>
      <c r="E131" s="45"/>
      <c r="F131" s="21"/>
      <c r="G131" s="21"/>
      <c r="H131" s="42"/>
      <c r="I131" s="42"/>
      <c r="J131" s="42"/>
      <c r="K131" s="42"/>
      <c r="L131" s="42"/>
      <c r="M131" s="31"/>
      <c r="N131" s="108"/>
      <c r="O131" s="30"/>
      <c r="P131" s="30"/>
      <c r="Q131" s="30"/>
      <c r="R131" s="30"/>
      <c r="S131" s="30"/>
      <c r="T131" s="53">
        <f t="shared" si="37"/>
        <v>0</v>
      </c>
      <c r="U131" s="53">
        <f t="shared" si="38"/>
        <v>0</v>
      </c>
      <c r="V131" s="53">
        <f t="shared" si="39"/>
        <v>0</v>
      </c>
      <c r="W131" s="54">
        <f t="shared" si="40"/>
        <v>0</v>
      </c>
      <c r="X131" s="51" t="e">
        <f>VLOOKUP(W131,送料!$J$3:$K$42,2,FALSE)</f>
        <v>#N/A</v>
      </c>
      <c r="Y131" s="51" t="e">
        <f>VLOOKUP(X131,送料!$A$1:$B$40,2,FALSE)</f>
        <v>#N/A</v>
      </c>
      <c r="Z131" s="59">
        <f t="shared" si="41"/>
        <v>0</v>
      </c>
      <c r="AA131" s="62">
        <f t="shared" si="42"/>
        <v>4.5</v>
      </c>
      <c r="AB131" s="62">
        <f t="shared" si="43"/>
        <v>0</v>
      </c>
      <c r="AC131" s="65" t="e">
        <f t="shared" si="46"/>
        <v>#N/A</v>
      </c>
      <c r="AD131" s="65">
        <f t="shared" si="44"/>
        <v>0</v>
      </c>
      <c r="AE131" s="66" t="e">
        <f t="shared" si="45"/>
        <v>#N/A</v>
      </c>
    </row>
    <row r="132" spans="1:31">
      <c r="A132" s="105" t="s">
        <v>315</v>
      </c>
      <c r="B132" s="232">
        <f>【２】結果!O9</f>
        <v>0</v>
      </c>
      <c r="C132" s="115"/>
      <c r="D132" s="55"/>
      <c r="E132" s="45"/>
      <c r="F132" s="21"/>
      <c r="G132" s="21"/>
      <c r="H132" s="42"/>
      <c r="I132" s="42"/>
      <c r="J132" s="42"/>
      <c r="K132" s="42"/>
      <c r="L132" s="42"/>
      <c r="M132" s="31"/>
      <c r="N132" s="108"/>
      <c r="O132" s="30"/>
      <c r="P132" s="30"/>
      <c r="Q132" s="30"/>
      <c r="R132" s="30"/>
      <c r="S132" s="30"/>
      <c r="T132" s="53">
        <f t="shared" si="37"/>
        <v>0</v>
      </c>
      <c r="U132" s="53">
        <f t="shared" si="38"/>
        <v>0</v>
      </c>
      <c r="V132" s="53">
        <f t="shared" si="39"/>
        <v>0</v>
      </c>
      <c r="W132" s="54">
        <f t="shared" si="40"/>
        <v>0</v>
      </c>
      <c r="X132" s="51" t="e">
        <f>VLOOKUP(W132,送料!$J$3:$K$42,2,FALSE)</f>
        <v>#N/A</v>
      </c>
      <c r="Y132" s="51" t="e">
        <f>VLOOKUP(X132,送料!$A$1:$B$40,2,FALSE)</f>
        <v>#N/A</v>
      </c>
      <c r="Z132" s="59">
        <f t="shared" si="41"/>
        <v>0</v>
      </c>
      <c r="AA132" s="62">
        <f t="shared" si="42"/>
        <v>4.5</v>
      </c>
      <c r="AB132" s="62">
        <f t="shared" si="43"/>
        <v>0</v>
      </c>
      <c r="AC132" s="65" t="e">
        <f t="shared" si="46"/>
        <v>#N/A</v>
      </c>
      <c r="AD132" s="65">
        <f t="shared" si="44"/>
        <v>0</v>
      </c>
      <c r="AE132" s="66" t="e">
        <f t="shared" si="45"/>
        <v>#N/A</v>
      </c>
    </row>
    <row r="133" spans="1:31">
      <c r="A133" s="105" t="s">
        <v>316</v>
      </c>
      <c r="B133" s="232">
        <f>【２】結果!P9</f>
        <v>0</v>
      </c>
      <c r="C133" s="115"/>
      <c r="D133" s="55"/>
      <c r="E133" s="45"/>
      <c r="F133" s="21"/>
      <c r="G133" s="21"/>
      <c r="H133" s="42"/>
      <c r="I133" s="42"/>
      <c r="J133" s="42"/>
      <c r="K133" s="42"/>
      <c r="L133" s="42"/>
      <c r="M133" s="31"/>
      <c r="N133" s="108"/>
      <c r="O133" s="30"/>
      <c r="P133" s="30"/>
      <c r="Q133" s="30"/>
      <c r="R133" s="30"/>
      <c r="S133" s="30"/>
      <c r="T133" s="53">
        <f t="shared" si="37"/>
        <v>0</v>
      </c>
      <c r="U133" s="53">
        <f t="shared" si="38"/>
        <v>0</v>
      </c>
      <c r="V133" s="53">
        <f t="shared" si="39"/>
        <v>0</v>
      </c>
      <c r="W133" s="54">
        <f t="shared" si="40"/>
        <v>0</v>
      </c>
      <c r="X133" s="51" t="e">
        <f>VLOOKUP(W133,送料!$J$3:$K$42,2,FALSE)</f>
        <v>#N/A</v>
      </c>
      <c r="Y133" s="51" t="e">
        <f>VLOOKUP(X133,送料!$A$1:$B$40,2,FALSE)</f>
        <v>#N/A</v>
      </c>
      <c r="Z133" s="59">
        <f t="shared" si="41"/>
        <v>0</v>
      </c>
      <c r="AA133" s="62">
        <f t="shared" si="42"/>
        <v>4.5</v>
      </c>
      <c r="AB133" s="62">
        <f t="shared" si="43"/>
        <v>0</v>
      </c>
      <c r="AC133" s="65" t="e">
        <f t="shared" si="46"/>
        <v>#N/A</v>
      </c>
      <c r="AD133" s="65">
        <f t="shared" si="44"/>
        <v>0</v>
      </c>
      <c r="AE133" s="66" t="e">
        <f t="shared" si="45"/>
        <v>#N/A</v>
      </c>
    </row>
    <row r="134" spans="1:31">
      <c r="A134" s="105" t="s">
        <v>317</v>
      </c>
      <c r="B134" s="232">
        <f>【２】結果!Q9</f>
        <v>0</v>
      </c>
      <c r="C134" s="115"/>
      <c r="D134" s="55"/>
      <c r="E134" s="45"/>
      <c r="F134" s="21"/>
      <c r="G134" s="21"/>
      <c r="H134" s="42"/>
      <c r="I134" s="42"/>
      <c r="J134" s="42"/>
      <c r="K134" s="42"/>
      <c r="L134" s="42"/>
      <c r="M134" s="31"/>
      <c r="N134" s="108"/>
      <c r="O134" s="30"/>
      <c r="P134" s="30"/>
      <c r="Q134" s="30"/>
      <c r="R134" s="30"/>
      <c r="S134" s="30"/>
      <c r="T134" s="53">
        <f t="shared" si="37"/>
        <v>0</v>
      </c>
      <c r="U134" s="53">
        <f t="shared" si="38"/>
        <v>0</v>
      </c>
      <c r="V134" s="53">
        <f t="shared" si="39"/>
        <v>0</v>
      </c>
      <c r="W134" s="54">
        <f t="shared" si="40"/>
        <v>0</v>
      </c>
      <c r="X134" s="51" t="e">
        <f>VLOOKUP(W134,送料!$J$3:$K$42,2,FALSE)</f>
        <v>#N/A</v>
      </c>
      <c r="Y134" s="51" t="e">
        <f>VLOOKUP(X134,送料!$A$1:$B$40,2,FALSE)</f>
        <v>#N/A</v>
      </c>
      <c r="Z134" s="59">
        <f t="shared" si="41"/>
        <v>0</v>
      </c>
      <c r="AA134" s="62">
        <f t="shared" si="42"/>
        <v>4.5</v>
      </c>
      <c r="AB134" s="62">
        <f t="shared" si="43"/>
        <v>0</v>
      </c>
      <c r="AC134" s="65" t="e">
        <f t="shared" si="46"/>
        <v>#N/A</v>
      </c>
      <c r="AD134" s="65">
        <f t="shared" si="44"/>
        <v>0</v>
      </c>
      <c r="AE134" s="66" t="e">
        <f t="shared" si="45"/>
        <v>#N/A</v>
      </c>
    </row>
    <row r="135" spans="1:31">
      <c r="A135" s="105" t="s">
        <v>318</v>
      </c>
      <c r="B135" s="232">
        <f>【２】結果!R9</f>
        <v>0</v>
      </c>
      <c r="C135" s="115"/>
      <c r="D135" s="55"/>
      <c r="E135" s="45"/>
      <c r="F135" s="21"/>
      <c r="G135" s="21"/>
      <c r="H135" s="42"/>
      <c r="I135" s="42"/>
      <c r="J135" s="42"/>
      <c r="K135" s="42"/>
      <c r="L135" s="42"/>
      <c r="M135" s="31"/>
      <c r="N135" s="108"/>
      <c r="O135" s="30"/>
      <c r="P135" s="30"/>
      <c r="Q135" s="30"/>
      <c r="R135" s="30"/>
      <c r="S135" s="30"/>
      <c r="T135" s="53">
        <f t="shared" si="37"/>
        <v>0</v>
      </c>
      <c r="U135" s="53">
        <f t="shared" si="38"/>
        <v>0</v>
      </c>
      <c r="V135" s="53">
        <f t="shared" si="39"/>
        <v>0</v>
      </c>
      <c r="W135" s="54">
        <f t="shared" si="40"/>
        <v>0</v>
      </c>
      <c r="X135" s="51" t="e">
        <f>VLOOKUP(W135,送料!$J$3:$K$42,2,FALSE)</f>
        <v>#N/A</v>
      </c>
      <c r="Y135" s="51" t="e">
        <f>VLOOKUP(X135,送料!$A$1:$B$40,2,FALSE)</f>
        <v>#N/A</v>
      </c>
      <c r="Z135" s="59">
        <f t="shared" si="41"/>
        <v>0</v>
      </c>
      <c r="AA135" s="62">
        <f t="shared" si="42"/>
        <v>4.5</v>
      </c>
      <c r="AB135" s="62">
        <f t="shared" si="43"/>
        <v>0</v>
      </c>
      <c r="AC135" s="65" t="e">
        <f t="shared" si="46"/>
        <v>#N/A</v>
      </c>
      <c r="AD135" s="65">
        <f t="shared" si="44"/>
        <v>0</v>
      </c>
      <c r="AE135" s="66" t="e">
        <f t="shared" si="45"/>
        <v>#N/A</v>
      </c>
    </row>
    <row r="136" spans="1:31">
      <c r="A136" s="105" t="s">
        <v>319</v>
      </c>
      <c r="B136" s="232">
        <f>【２】結果!S9</f>
        <v>0</v>
      </c>
      <c r="C136" s="115"/>
      <c r="D136" s="55"/>
      <c r="E136" s="45"/>
      <c r="F136" s="21"/>
      <c r="G136" s="21"/>
      <c r="H136" s="42"/>
      <c r="I136" s="42"/>
      <c r="J136" s="42"/>
      <c r="K136" s="42"/>
      <c r="L136" s="42"/>
      <c r="M136" s="31"/>
      <c r="N136" s="108"/>
      <c r="O136" s="30"/>
      <c r="P136" s="30"/>
      <c r="Q136" s="30"/>
      <c r="R136" s="30"/>
      <c r="S136" s="30"/>
      <c r="T136" s="53">
        <f t="shared" si="37"/>
        <v>0</v>
      </c>
      <c r="U136" s="53">
        <f t="shared" si="38"/>
        <v>0</v>
      </c>
      <c r="V136" s="53">
        <f t="shared" si="39"/>
        <v>0</v>
      </c>
      <c r="W136" s="54">
        <f t="shared" si="40"/>
        <v>0</v>
      </c>
      <c r="X136" s="51" t="e">
        <f>VLOOKUP(W136,送料!$J$3:$K$42,2,FALSE)</f>
        <v>#N/A</v>
      </c>
      <c r="Y136" s="51" t="e">
        <f>VLOOKUP(X136,送料!$A$1:$B$40,2,FALSE)</f>
        <v>#N/A</v>
      </c>
      <c r="Z136" s="59">
        <f t="shared" si="41"/>
        <v>0</v>
      </c>
      <c r="AA136" s="62">
        <f t="shared" si="42"/>
        <v>4.5</v>
      </c>
      <c r="AB136" s="62">
        <f t="shared" si="43"/>
        <v>0</v>
      </c>
      <c r="AC136" s="65" t="e">
        <f t="shared" si="46"/>
        <v>#N/A</v>
      </c>
      <c r="AD136" s="65">
        <f t="shared" si="44"/>
        <v>0</v>
      </c>
      <c r="AE136" s="66" t="e">
        <f t="shared" si="45"/>
        <v>#N/A</v>
      </c>
    </row>
    <row r="137" spans="1:31">
      <c r="A137" s="105" t="s">
        <v>320</v>
      </c>
      <c r="B137" s="232">
        <f>【２】結果!T9</f>
        <v>0</v>
      </c>
      <c r="C137" s="115"/>
      <c r="D137" s="55"/>
      <c r="E137" s="45"/>
      <c r="F137" s="21"/>
      <c r="G137" s="21"/>
      <c r="H137" s="42"/>
      <c r="I137" s="42"/>
      <c r="J137" s="42"/>
      <c r="K137" s="42"/>
      <c r="L137" s="42"/>
      <c r="M137" s="31"/>
      <c r="N137" s="108"/>
      <c r="O137" s="30"/>
      <c r="P137" s="30"/>
      <c r="Q137" s="30"/>
      <c r="R137" s="30"/>
      <c r="S137" s="30"/>
      <c r="T137" s="53">
        <f t="shared" si="37"/>
        <v>0</v>
      </c>
      <c r="U137" s="53">
        <f t="shared" si="38"/>
        <v>0</v>
      </c>
      <c r="V137" s="53">
        <f t="shared" si="39"/>
        <v>0</v>
      </c>
      <c r="W137" s="54">
        <f t="shared" si="40"/>
        <v>0</v>
      </c>
      <c r="X137" s="51" t="e">
        <f>VLOOKUP(W137,送料!$J$3:$K$42,2,FALSE)</f>
        <v>#N/A</v>
      </c>
      <c r="Y137" s="51" t="e">
        <f>VLOOKUP(X137,送料!$A$1:$B$40,2,FALSE)</f>
        <v>#N/A</v>
      </c>
      <c r="Z137" s="59">
        <f t="shared" si="41"/>
        <v>0</v>
      </c>
      <c r="AA137" s="62">
        <f t="shared" si="42"/>
        <v>4.5</v>
      </c>
      <c r="AB137" s="62">
        <f t="shared" si="43"/>
        <v>0</v>
      </c>
      <c r="AC137" s="65" t="e">
        <f t="shared" si="46"/>
        <v>#N/A</v>
      </c>
      <c r="AD137" s="65">
        <f t="shared" si="44"/>
        <v>0</v>
      </c>
      <c r="AE137" s="66" t="e">
        <f t="shared" si="45"/>
        <v>#N/A</v>
      </c>
    </row>
    <row r="138" spans="1:31">
      <c r="A138" s="105" t="s">
        <v>321</v>
      </c>
      <c r="B138" s="232">
        <f>【２】結果!U9</f>
        <v>0</v>
      </c>
      <c r="C138" s="115"/>
      <c r="D138" s="55"/>
      <c r="E138" s="45"/>
      <c r="F138" s="21"/>
      <c r="G138" s="21"/>
      <c r="H138" s="42"/>
      <c r="I138" s="42"/>
      <c r="J138" s="42"/>
      <c r="K138" s="42"/>
      <c r="L138" s="42"/>
      <c r="M138" s="31"/>
      <c r="N138" s="108"/>
      <c r="O138" s="30"/>
      <c r="P138" s="30"/>
      <c r="Q138" s="30"/>
      <c r="R138" s="30"/>
      <c r="S138" s="30"/>
      <c r="T138" s="53">
        <f t="shared" si="37"/>
        <v>0</v>
      </c>
      <c r="U138" s="53">
        <f t="shared" si="38"/>
        <v>0</v>
      </c>
      <c r="V138" s="53">
        <f t="shared" si="39"/>
        <v>0</v>
      </c>
      <c r="W138" s="54">
        <f t="shared" si="40"/>
        <v>0</v>
      </c>
      <c r="X138" s="51" t="e">
        <f>VLOOKUP(W138,送料!$J$3:$K$42,2,FALSE)</f>
        <v>#N/A</v>
      </c>
      <c r="Y138" s="51" t="e">
        <f>VLOOKUP(X138,送料!$A$1:$B$40,2,FALSE)</f>
        <v>#N/A</v>
      </c>
      <c r="Z138" s="59">
        <f t="shared" si="41"/>
        <v>0</v>
      </c>
      <c r="AA138" s="62">
        <f t="shared" si="42"/>
        <v>4.5</v>
      </c>
      <c r="AB138" s="62">
        <f t="shared" si="43"/>
        <v>0</v>
      </c>
      <c r="AC138" s="65" t="e">
        <f t="shared" si="46"/>
        <v>#N/A</v>
      </c>
      <c r="AD138" s="65">
        <f t="shared" si="44"/>
        <v>0</v>
      </c>
      <c r="AE138" s="66" t="e">
        <f t="shared" si="45"/>
        <v>#N/A</v>
      </c>
    </row>
    <row r="139" spans="1:31">
      <c r="A139" s="105" t="s">
        <v>322</v>
      </c>
      <c r="B139" s="232">
        <f>【２】結果!V9</f>
        <v>0</v>
      </c>
      <c r="C139" s="115"/>
      <c r="D139" s="55"/>
      <c r="E139" s="45"/>
      <c r="F139" s="21"/>
      <c r="G139" s="21"/>
      <c r="H139" s="42"/>
      <c r="I139" s="42"/>
      <c r="J139" s="42"/>
      <c r="K139" s="42"/>
      <c r="L139" s="42"/>
      <c r="M139" s="31"/>
      <c r="N139" s="108"/>
      <c r="O139" s="30"/>
      <c r="P139" s="30"/>
      <c r="Q139" s="30"/>
      <c r="R139" s="30"/>
      <c r="S139" s="30"/>
      <c r="T139" s="53">
        <f t="shared" si="37"/>
        <v>0</v>
      </c>
      <c r="U139" s="53">
        <f t="shared" si="38"/>
        <v>0</v>
      </c>
      <c r="V139" s="53">
        <f t="shared" si="39"/>
        <v>0</v>
      </c>
      <c r="W139" s="54">
        <f t="shared" si="40"/>
        <v>0</v>
      </c>
      <c r="X139" s="51" t="e">
        <f>VLOOKUP(W139,送料!$J$3:$K$42,2,FALSE)</f>
        <v>#N/A</v>
      </c>
      <c r="Y139" s="51" t="e">
        <f>VLOOKUP(X139,送料!$A$1:$B$40,2,FALSE)</f>
        <v>#N/A</v>
      </c>
      <c r="Z139" s="59">
        <f t="shared" si="41"/>
        <v>0</v>
      </c>
      <c r="AA139" s="62">
        <f t="shared" si="42"/>
        <v>4.5</v>
      </c>
      <c r="AB139" s="62">
        <f t="shared" si="43"/>
        <v>0</v>
      </c>
      <c r="AC139" s="65" t="e">
        <f t="shared" si="46"/>
        <v>#N/A</v>
      </c>
      <c r="AD139" s="65">
        <f t="shared" si="44"/>
        <v>0</v>
      </c>
      <c r="AE139" s="66" t="e">
        <f t="shared" si="45"/>
        <v>#N/A</v>
      </c>
    </row>
    <row r="140" spans="1:31">
      <c r="A140" s="105" t="s">
        <v>323</v>
      </c>
      <c r="B140" s="232">
        <f>【２】結果!W9</f>
        <v>0</v>
      </c>
      <c r="C140" s="115"/>
      <c r="D140" s="55"/>
      <c r="E140" s="45"/>
      <c r="F140" s="21"/>
      <c r="G140" s="21"/>
      <c r="H140" s="42"/>
      <c r="I140" s="42"/>
      <c r="J140" s="42"/>
      <c r="K140" s="42"/>
      <c r="L140" s="42"/>
      <c r="M140" s="31"/>
      <c r="N140" s="108"/>
      <c r="O140" s="30"/>
      <c r="P140" s="30"/>
      <c r="Q140" s="30"/>
      <c r="R140" s="30"/>
      <c r="S140" s="30"/>
      <c r="T140" s="53">
        <f t="shared" si="37"/>
        <v>0</v>
      </c>
      <c r="U140" s="53">
        <f t="shared" si="38"/>
        <v>0</v>
      </c>
      <c r="V140" s="53">
        <f t="shared" si="39"/>
        <v>0</v>
      </c>
      <c r="W140" s="54">
        <f t="shared" si="40"/>
        <v>0</v>
      </c>
      <c r="X140" s="51" t="e">
        <f>VLOOKUP(W140,送料!$J$3:$K$42,2,FALSE)</f>
        <v>#N/A</v>
      </c>
      <c r="Y140" s="51" t="e">
        <f>VLOOKUP(X140,送料!$A$1:$B$40,2,FALSE)</f>
        <v>#N/A</v>
      </c>
      <c r="Z140" s="59">
        <f t="shared" si="41"/>
        <v>0</v>
      </c>
      <c r="AA140" s="62">
        <f t="shared" si="42"/>
        <v>4.5</v>
      </c>
      <c r="AB140" s="62">
        <f t="shared" si="43"/>
        <v>0</v>
      </c>
      <c r="AC140" s="65" t="e">
        <f t="shared" si="46"/>
        <v>#N/A</v>
      </c>
      <c r="AD140" s="65">
        <f t="shared" si="44"/>
        <v>0</v>
      </c>
      <c r="AE140" s="66" t="e">
        <f t="shared" si="45"/>
        <v>#N/A</v>
      </c>
    </row>
    <row r="141" spans="1:31">
      <c r="A141" s="105" t="s">
        <v>324</v>
      </c>
      <c r="B141" s="232">
        <f>【２】結果!X9</f>
        <v>0</v>
      </c>
      <c r="C141" s="115"/>
      <c r="D141" s="55"/>
      <c r="E141" s="45"/>
      <c r="F141" s="21"/>
      <c r="G141" s="21"/>
      <c r="H141" s="42"/>
      <c r="I141" s="42"/>
      <c r="J141" s="42"/>
      <c r="K141" s="42"/>
      <c r="L141" s="42"/>
      <c r="M141" s="31"/>
      <c r="N141" s="108"/>
      <c r="O141" s="30"/>
      <c r="P141" s="30"/>
      <c r="Q141" s="30"/>
      <c r="R141" s="30"/>
      <c r="S141" s="30"/>
      <c r="T141" s="53">
        <f t="shared" si="37"/>
        <v>0</v>
      </c>
      <c r="U141" s="53">
        <f t="shared" si="38"/>
        <v>0</v>
      </c>
      <c r="V141" s="53">
        <f t="shared" si="39"/>
        <v>0</v>
      </c>
      <c r="W141" s="54">
        <f t="shared" si="40"/>
        <v>0</v>
      </c>
      <c r="X141" s="51" t="e">
        <f>VLOOKUP(W141,送料!$J$3:$K$42,2,FALSE)</f>
        <v>#N/A</v>
      </c>
      <c r="Y141" s="51" t="e">
        <f>VLOOKUP(X141,送料!$A$1:$B$40,2,FALSE)</f>
        <v>#N/A</v>
      </c>
      <c r="Z141" s="59">
        <f t="shared" si="41"/>
        <v>0</v>
      </c>
      <c r="AA141" s="62">
        <f t="shared" si="42"/>
        <v>4.5</v>
      </c>
      <c r="AB141" s="62">
        <f t="shared" si="43"/>
        <v>0</v>
      </c>
      <c r="AC141" s="65" t="e">
        <f t="shared" si="46"/>
        <v>#N/A</v>
      </c>
      <c r="AD141" s="65">
        <f t="shared" si="44"/>
        <v>0</v>
      </c>
      <c r="AE141" s="66" t="e">
        <f t="shared" si="45"/>
        <v>#N/A</v>
      </c>
    </row>
    <row r="142" spans="1:31">
      <c r="A142" s="105" t="s">
        <v>325</v>
      </c>
      <c r="B142" s="231">
        <f>【２】結果!E10</f>
        <v>0</v>
      </c>
      <c r="C142" s="115"/>
      <c r="D142" s="55"/>
      <c r="E142" s="45"/>
      <c r="F142" s="21"/>
      <c r="G142" s="21"/>
      <c r="H142" s="42"/>
      <c r="I142" s="42"/>
      <c r="J142" s="42"/>
      <c r="K142" s="42"/>
      <c r="L142" s="42"/>
      <c r="M142" s="31"/>
      <c r="N142" s="108"/>
      <c r="O142" s="30"/>
      <c r="P142" s="30"/>
      <c r="Q142" s="30"/>
      <c r="R142" s="30"/>
      <c r="S142" s="30"/>
      <c r="T142" s="53">
        <f t="shared" si="37"/>
        <v>0</v>
      </c>
      <c r="U142" s="53">
        <f t="shared" si="38"/>
        <v>0</v>
      </c>
      <c r="V142" s="53">
        <f t="shared" si="39"/>
        <v>0</v>
      </c>
      <c r="W142" s="54">
        <f t="shared" si="40"/>
        <v>0</v>
      </c>
      <c r="X142" s="51" t="e">
        <f>VLOOKUP(W142,送料!$J$3:$K$42,2,FALSE)</f>
        <v>#N/A</v>
      </c>
      <c r="Y142" s="51" t="e">
        <f>VLOOKUP(X142,送料!$A$1:$B$40,2,FALSE)</f>
        <v>#N/A</v>
      </c>
      <c r="Z142" s="59">
        <f t="shared" si="41"/>
        <v>0</v>
      </c>
      <c r="AA142" s="62">
        <f t="shared" si="42"/>
        <v>4.5</v>
      </c>
      <c r="AB142" s="62">
        <f t="shared" si="43"/>
        <v>0</v>
      </c>
      <c r="AC142" s="65" t="e">
        <f t="shared" si="46"/>
        <v>#N/A</v>
      </c>
      <c r="AD142" s="65">
        <f t="shared" si="44"/>
        <v>0</v>
      </c>
      <c r="AE142" s="66" t="e">
        <f t="shared" si="45"/>
        <v>#N/A</v>
      </c>
    </row>
    <row r="143" spans="1:31">
      <c r="A143" s="105" t="s">
        <v>326</v>
      </c>
      <c r="B143" s="232">
        <f>【２】結果!F10</f>
        <v>0</v>
      </c>
      <c r="C143" s="115"/>
      <c r="D143" s="55"/>
      <c r="E143" s="45"/>
      <c r="F143" s="21"/>
      <c r="G143" s="21"/>
      <c r="H143" s="42"/>
      <c r="I143" s="42"/>
      <c r="J143" s="42"/>
      <c r="K143" s="42"/>
      <c r="L143" s="42"/>
      <c r="M143" s="31"/>
      <c r="N143" s="108"/>
      <c r="O143" s="30"/>
      <c r="P143" s="30"/>
      <c r="Q143" s="30"/>
      <c r="R143" s="30"/>
      <c r="S143" s="30"/>
      <c r="T143" s="53">
        <f t="shared" si="37"/>
        <v>0</v>
      </c>
      <c r="U143" s="53">
        <f t="shared" si="38"/>
        <v>0</v>
      </c>
      <c r="V143" s="53">
        <f t="shared" si="39"/>
        <v>0</v>
      </c>
      <c r="W143" s="54">
        <f t="shared" si="40"/>
        <v>0</v>
      </c>
      <c r="X143" s="51" t="e">
        <f>VLOOKUP(W143,送料!$J$3:$K$42,2,FALSE)</f>
        <v>#N/A</v>
      </c>
      <c r="Y143" s="51" t="e">
        <f>VLOOKUP(X143,送料!$A$1:$B$40,2,FALSE)</f>
        <v>#N/A</v>
      </c>
      <c r="Z143" s="59">
        <f t="shared" si="41"/>
        <v>0</v>
      </c>
      <c r="AA143" s="62">
        <f t="shared" si="42"/>
        <v>4.5</v>
      </c>
      <c r="AB143" s="62">
        <f t="shared" si="43"/>
        <v>0</v>
      </c>
      <c r="AC143" s="65" t="e">
        <f t="shared" si="46"/>
        <v>#N/A</v>
      </c>
      <c r="AD143" s="65">
        <f t="shared" si="44"/>
        <v>0</v>
      </c>
      <c r="AE143" s="66" t="e">
        <f t="shared" si="45"/>
        <v>#N/A</v>
      </c>
    </row>
    <row r="144" spans="1:31">
      <c r="A144" s="105" t="s">
        <v>327</v>
      </c>
      <c r="B144" s="232">
        <f>【２】結果!G10</f>
        <v>0</v>
      </c>
      <c r="C144" s="115"/>
      <c r="D144" s="55"/>
      <c r="E144" s="45"/>
      <c r="F144" s="21"/>
      <c r="G144" s="21"/>
      <c r="H144" s="42"/>
      <c r="I144" s="42"/>
      <c r="J144" s="42"/>
      <c r="K144" s="42"/>
      <c r="L144" s="42"/>
      <c r="M144" s="31"/>
      <c r="N144" s="108"/>
      <c r="O144" s="30"/>
      <c r="P144" s="30"/>
      <c r="Q144" s="30"/>
      <c r="R144" s="30"/>
      <c r="S144" s="30"/>
      <c r="T144" s="53">
        <f t="shared" si="37"/>
        <v>0</v>
      </c>
      <c r="U144" s="53">
        <f t="shared" si="38"/>
        <v>0</v>
      </c>
      <c r="V144" s="53">
        <f t="shared" si="39"/>
        <v>0</v>
      </c>
      <c r="W144" s="54">
        <f t="shared" si="40"/>
        <v>0</v>
      </c>
      <c r="X144" s="51" t="e">
        <f>VLOOKUP(W144,送料!$J$3:$K$42,2,FALSE)</f>
        <v>#N/A</v>
      </c>
      <c r="Y144" s="51" t="e">
        <f>VLOOKUP(X144,送料!$A$1:$B$40,2,FALSE)</f>
        <v>#N/A</v>
      </c>
      <c r="Z144" s="59">
        <f t="shared" si="41"/>
        <v>0</v>
      </c>
      <c r="AA144" s="62">
        <f t="shared" si="42"/>
        <v>4.5</v>
      </c>
      <c r="AB144" s="62">
        <f t="shared" si="43"/>
        <v>0</v>
      </c>
      <c r="AC144" s="65" t="e">
        <f t="shared" si="46"/>
        <v>#N/A</v>
      </c>
      <c r="AD144" s="65">
        <f t="shared" si="44"/>
        <v>0</v>
      </c>
      <c r="AE144" s="66" t="e">
        <f t="shared" si="45"/>
        <v>#N/A</v>
      </c>
    </row>
    <row r="145" spans="1:31">
      <c r="A145" s="105" t="s">
        <v>328</v>
      </c>
      <c r="B145" s="232">
        <f>【２】結果!H10</f>
        <v>0</v>
      </c>
      <c r="C145" s="115"/>
      <c r="D145" s="55"/>
      <c r="E145" s="45"/>
      <c r="F145" s="21"/>
      <c r="G145" s="21"/>
      <c r="H145" s="42"/>
      <c r="I145" s="42"/>
      <c r="J145" s="42"/>
      <c r="K145" s="42"/>
      <c r="L145" s="42"/>
      <c r="M145" s="31"/>
      <c r="N145" s="108"/>
      <c r="O145" s="30"/>
      <c r="P145" s="30"/>
      <c r="Q145" s="30"/>
      <c r="R145" s="30"/>
      <c r="S145" s="30"/>
      <c r="T145" s="53">
        <f t="shared" si="37"/>
        <v>0</v>
      </c>
      <c r="U145" s="53">
        <f t="shared" si="38"/>
        <v>0</v>
      </c>
      <c r="V145" s="53">
        <f t="shared" si="39"/>
        <v>0</v>
      </c>
      <c r="W145" s="54">
        <f t="shared" si="40"/>
        <v>0</v>
      </c>
      <c r="X145" s="51" t="e">
        <f>VLOOKUP(W145,送料!$J$3:$K$42,2,FALSE)</f>
        <v>#N/A</v>
      </c>
      <c r="Y145" s="51" t="e">
        <f>VLOOKUP(X145,送料!$A$1:$B$40,2,FALSE)</f>
        <v>#N/A</v>
      </c>
      <c r="Z145" s="59">
        <f t="shared" si="41"/>
        <v>0</v>
      </c>
      <c r="AA145" s="62">
        <f t="shared" si="42"/>
        <v>4.5</v>
      </c>
      <c r="AB145" s="62">
        <f t="shared" si="43"/>
        <v>0</v>
      </c>
      <c r="AC145" s="65" t="e">
        <f t="shared" si="46"/>
        <v>#N/A</v>
      </c>
      <c r="AD145" s="65">
        <f t="shared" si="44"/>
        <v>0</v>
      </c>
      <c r="AE145" s="66" t="e">
        <f t="shared" si="45"/>
        <v>#N/A</v>
      </c>
    </row>
    <row r="146" spans="1:31">
      <c r="A146" s="105" t="s">
        <v>329</v>
      </c>
      <c r="B146" s="232">
        <f>【２】結果!I10</f>
        <v>0</v>
      </c>
      <c r="C146" s="115"/>
      <c r="D146" s="55"/>
      <c r="E146" s="45"/>
      <c r="F146" s="21"/>
      <c r="G146" s="21"/>
      <c r="H146" s="42"/>
      <c r="I146" s="42"/>
      <c r="J146" s="42"/>
      <c r="K146" s="42"/>
      <c r="L146" s="42"/>
      <c r="M146" s="31"/>
      <c r="N146" s="108"/>
      <c r="O146" s="30"/>
      <c r="P146" s="30"/>
      <c r="Q146" s="30"/>
      <c r="R146" s="30"/>
      <c r="S146" s="30"/>
      <c r="T146" s="53">
        <f t="shared" si="37"/>
        <v>0</v>
      </c>
      <c r="U146" s="53">
        <f t="shared" si="38"/>
        <v>0</v>
      </c>
      <c r="V146" s="53">
        <f t="shared" si="39"/>
        <v>0</v>
      </c>
      <c r="W146" s="54">
        <f t="shared" si="40"/>
        <v>0</v>
      </c>
      <c r="X146" s="51" t="e">
        <f>VLOOKUP(W146,送料!$J$3:$K$42,2,FALSE)</f>
        <v>#N/A</v>
      </c>
      <c r="Y146" s="51" t="e">
        <f>VLOOKUP(X146,送料!$A$1:$B$40,2,FALSE)</f>
        <v>#N/A</v>
      </c>
      <c r="Z146" s="59">
        <f t="shared" si="41"/>
        <v>0</v>
      </c>
      <c r="AA146" s="62">
        <f t="shared" si="42"/>
        <v>4.5</v>
      </c>
      <c r="AB146" s="62">
        <f t="shared" si="43"/>
        <v>0</v>
      </c>
      <c r="AC146" s="65" t="e">
        <f t="shared" si="46"/>
        <v>#N/A</v>
      </c>
      <c r="AD146" s="65">
        <f t="shared" si="44"/>
        <v>0</v>
      </c>
      <c r="AE146" s="66" t="e">
        <f t="shared" si="45"/>
        <v>#N/A</v>
      </c>
    </row>
    <row r="147" spans="1:31">
      <c r="A147" s="105" t="s">
        <v>330</v>
      </c>
      <c r="B147" s="232">
        <f>【２】結果!J10</f>
        <v>0</v>
      </c>
      <c r="C147" s="115"/>
      <c r="D147" s="55"/>
      <c r="E147" s="45"/>
      <c r="F147" s="21"/>
      <c r="G147" s="21"/>
      <c r="H147" s="42"/>
      <c r="I147" s="42"/>
      <c r="J147" s="42"/>
      <c r="K147" s="42"/>
      <c r="L147" s="42"/>
      <c r="M147" s="31"/>
      <c r="N147" s="108"/>
      <c r="O147" s="30"/>
      <c r="P147" s="30"/>
      <c r="Q147" s="30"/>
      <c r="R147" s="30"/>
      <c r="S147" s="30"/>
      <c r="T147" s="53">
        <f t="shared" si="37"/>
        <v>0</v>
      </c>
      <c r="U147" s="53">
        <f t="shared" si="38"/>
        <v>0</v>
      </c>
      <c r="V147" s="53">
        <f t="shared" si="39"/>
        <v>0</v>
      </c>
      <c r="W147" s="54">
        <f t="shared" si="40"/>
        <v>0</v>
      </c>
      <c r="X147" s="51" t="e">
        <f>VLOOKUP(W147,送料!$J$3:$K$42,2,FALSE)</f>
        <v>#N/A</v>
      </c>
      <c r="Y147" s="51" t="e">
        <f>VLOOKUP(X147,送料!$A$1:$B$40,2,FALSE)</f>
        <v>#N/A</v>
      </c>
      <c r="Z147" s="59">
        <f t="shared" si="41"/>
        <v>0</v>
      </c>
      <c r="AA147" s="62">
        <f t="shared" si="42"/>
        <v>4.5</v>
      </c>
      <c r="AB147" s="62">
        <f t="shared" si="43"/>
        <v>0</v>
      </c>
      <c r="AC147" s="65" t="e">
        <f t="shared" si="46"/>
        <v>#N/A</v>
      </c>
      <c r="AD147" s="65">
        <f t="shared" si="44"/>
        <v>0</v>
      </c>
      <c r="AE147" s="66" t="e">
        <f t="shared" si="45"/>
        <v>#N/A</v>
      </c>
    </row>
    <row r="148" spans="1:31">
      <c r="A148" s="105" t="s">
        <v>331</v>
      </c>
      <c r="B148" s="232">
        <f>【２】結果!K10</f>
        <v>0</v>
      </c>
      <c r="C148" s="115"/>
      <c r="D148" s="55"/>
      <c r="E148" s="45"/>
      <c r="F148" s="21"/>
      <c r="G148" s="21"/>
      <c r="H148" s="42"/>
      <c r="I148" s="42"/>
      <c r="J148" s="42"/>
      <c r="K148" s="42"/>
      <c r="L148" s="42"/>
      <c r="M148" s="31"/>
      <c r="N148" s="108"/>
      <c r="O148" s="30"/>
      <c r="P148" s="30"/>
      <c r="Q148" s="30"/>
      <c r="R148" s="30"/>
      <c r="S148" s="30"/>
      <c r="T148" s="53">
        <f t="shared" si="37"/>
        <v>0</v>
      </c>
      <c r="U148" s="53">
        <f t="shared" si="38"/>
        <v>0</v>
      </c>
      <c r="V148" s="53">
        <f t="shared" si="39"/>
        <v>0</v>
      </c>
      <c r="W148" s="54">
        <f t="shared" si="40"/>
        <v>0</v>
      </c>
      <c r="X148" s="51" t="e">
        <f>VLOOKUP(W148,送料!$J$3:$K$42,2,FALSE)</f>
        <v>#N/A</v>
      </c>
      <c r="Y148" s="51" t="e">
        <f>VLOOKUP(X148,送料!$A$1:$B$40,2,FALSE)</f>
        <v>#N/A</v>
      </c>
      <c r="Z148" s="59">
        <f t="shared" si="41"/>
        <v>0</v>
      </c>
      <c r="AA148" s="62">
        <f t="shared" si="42"/>
        <v>4.5</v>
      </c>
      <c r="AB148" s="62">
        <f t="shared" si="43"/>
        <v>0</v>
      </c>
      <c r="AC148" s="65" t="e">
        <f t="shared" si="46"/>
        <v>#N/A</v>
      </c>
      <c r="AD148" s="65">
        <f t="shared" si="44"/>
        <v>0</v>
      </c>
      <c r="AE148" s="66" t="e">
        <f t="shared" si="45"/>
        <v>#N/A</v>
      </c>
    </row>
    <row r="149" spans="1:31">
      <c r="A149" s="105" t="s">
        <v>332</v>
      </c>
      <c r="B149" s="232">
        <f>【２】結果!L10</f>
        <v>0</v>
      </c>
      <c r="C149" s="115"/>
      <c r="D149" s="55"/>
      <c r="E149" s="45"/>
      <c r="F149" s="21"/>
      <c r="G149" s="21"/>
      <c r="H149" s="42"/>
      <c r="I149" s="42"/>
      <c r="J149" s="42"/>
      <c r="K149" s="42"/>
      <c r="L149" s="42"/>
      <c r="M149" s="31"/>
      <c r="N149" s="108"/>
      <c r="O149" s="30"/>
      <c r="P149" s="30"/>
      <c r="Q149" s="30"/>
      <c r="R149" s="30"/>
      <c r="S149" s="30"/>
      <c r="T149" s="53">
        <f t="shared" si="37"/>
        <v>0</v>
      </c>
      <c r="U149" s="53">
        <f t="shared" si="38"/>
        <v>0</v>
      </c>
      <c r="V149" s="53">
        <f t="shared" si="39"/>
        <v>0</v>
      </c>
      <c r="W149" s="54">
        <f t="shared" si="40"/>
        <v>0</v>
      </c>
      <c r="X149" s="51" t="e">
        <f>VLOOKUP(W149,送料!$J$3:$K$42,2,FALSE)</f>
        <v>#N/A</v>
      </c>
      <c r="Y149" s="51" t="e">
        <f>VLOOKUP(X149,送料!$A$1:$B$40,2,FALSE)</f>
        <v>#N/A</v>
      </c>
      <c r="Z149" s="59">
        <f t="shared" si="41"/>
        <v>0</v>
      </c>
      <c r="AA149" s="62">
        <f t="shared" si="42"/>
        <v>4.5</v>
      </c>
      <c r="AB149" s="62">
        <f t="shared" si="43"/>
        <v>0</v>
      </c>
      <c r="AC149" s="65" t="e">
        <f t="shared" si="46"/>
        <v>#N/A</v>
      </c>
      <c r="AD149" s="65">
        <f t="shared" si="44"/>
        <v>0</v>
      </c>
      <c r="AE149" s="66" t="e">
        <f t="shared" si="45"/>
        <v>#N/A</v>
      </c>
    </row>
    <row r="150" spans="1:31">
      <c r="A150" s="105" t="s">
        <v>333</v>
      </c>
      <c r="B150" s="232">
        <f>【２】結果!M10</f>
        <v>0</v>
      </c>
      <c r="C150" s="115"/>
      <c r="D150" s="55"/>
      <c r="E150" s="45"/>
      <c r="F150" s="21"/>
      <c r="G150" s="21"/>
      <c r="H150" s="42"/>
      <c r="I150" s="42"/>
      <c r="J150" s="42"/>
      <c r="K150" s="42"/>
      <c r="L150" s="42"/>
      <c r="M150" s="31"/>
      <c r="N150" s="108"/>
      <c r="O150" s="30"/>
      <c r="P150" s="30"/>
      <c r="Q150" s="30"/>
      <c r="R150" s="30"/>
      <c r="S150" s="30"/>
      <c r="T150" s="53">
        <f t="shared" si="37"/>
        <v>0</v>
      </c>
      <c r="U150" s="53">
        <f t="shared" si="38"/>
        <v>0</v>
      </c>
      <c r="V150" s="53">
        <f t="shared" si="39"/>
        <v>0</v>
      </c>
      <c r="W150" s="54">
        <f t="shared" si="40"/>
        <v>0</v>
      </c>
      <c r="X150" s="51" t="e">
        <f>VLOOKUP(W150,送料!$J$3:$K$42,2,FALSE)</f>
        <v>#N/A</v>
      </c>
      <c r="Y150" s="51" t="e">
        <f>VLOOKUP(X150,送料!$A$1:$B$40,2,FALSE)</f>
        <v>#N/A</v>
      </c>
      <c r="Z150" s="59">
        <f t="shared" si="41"/>
        <v>0</v>
      </c>
      <c r="AA150" s="62">
        <f t="shared" si="42"/>
        <v>4.5</v>
      </c>
      <c r="AB150" s="62">
        <f t="shared" si="43"/>
        <v>0</v>
      </c>
      <c r="AC150" s="65" t="e">
        <f t="shared" si="46"/>
        <v>#N/A</v>
      </c>
      <c r="AD150" s="65">
        <f t="shared" si="44"/>
        <v>0</v>
      </c>
      <c r="AE150" s="66" t="e">
        <f t="shared" si="45"/>
        <v>#N/A</v>
      </c>
    </row>
    <row r="151" spans="1:31">
      <c r="A151" s="105" t="s">
        <v>334</v>
      </c>
      <c r="B151" s="232">
        <f>【２】結果!N10</f>
        <v>0</v>
      </c>
      <c r="C151" s="115"/>
      <c r="D151" s="55"/>
      <c r="E151" s="45"/>
      <c r="F151" s="21"/>
      <c r="G151" s="21"/>
      <c r="H151" s="42"/>
      <c r="I151" s="42"/>
      <c r="J151" s="42"/>
      <c r="K151" s="42"/>
      <c r="L151" s="42"/>
      <c r="M151" s="31"/>
      <c r="N151" s="108"/>
      <c r="O151" s="30"/>
      <c r="P151" s="30"/>
      <c r="Q151" s="30"/>
      <c r="R151" s="30"/>
      <c r="S151" s="30"/>
      <c r="T151" s="53">
        <f t="shared" si="37"/>
        <v>0</v>
      </c>
      <c r="U151" s="53">
        <f t="shared" si="38"/>
        <v>0</v>
      </c>
      <c r="V151" s="53">
        <f t="shared" si="39"/>
        <v>0</v>
      </c>
      <c r="W151" s="54">
        <f t="shared" si="40"/>
        <v>0</v>
      </c>
      <c r="X151" s="51" t="e">
        <f>VLOOKUP(W151,送料!$J$3:$K$42,2,FALSE)</f>
        <v>#N/A</v>
      </c>
      <c r="Y151" s="51" t="e">
        <f>VLOOKUP(X151,送料!$A$1:$B$40,2,FALSE)</f>
        <v>#N/A</v>
      </c>
      <c r="Z151" s="59">
        <f t="shared" si="41"/>
        <v>0</v>
      </c>
      <c r="AA151" s="62">
        <f t="shared" si="42"/>
        <v>4.5</v>
      </c>
      <c r="AB151" s="62">
        <f t="shared" si="43"/>
        <v>0</v>
      </c>
      <c r="AC151" s="65" t="e">
        <f t="shared" si="46"/>
        <v>#N/A</v>
      </c>
      <c r="AD151" s="65">
        <f t="shared" si="44"/>
        <v>0</v>
      </c>
      <c r="AE151" s="66" t="e">
        <f t="shared" si="45"/>
        <v>#N/A</v>
      </c>
    </row>
    <row r="152" spans="1:31">
      <c r="A152" s="105" t="s">
        <v>335</v>
      </c>
      <c r="B152" s="232">
        <f>【２】結果!O10</f>
        <v>0</v>
      </c>
      <c r="C152" s="115"/>
      <c r="D152" s="55"/>
      <c r="E152" s="45"/>
      <c r="F152" s="21"/>
      <c r="G152" s="21"/>
      <c r="H152" s="42"/>
      <c r="I152" s="42"/>
      <c r="J152" s="42"/>
      <c r="K152" s="42"/>
      <c r="L152" s="42"/>
      <c r="M152" s="31"/>
      <c r="N152" s="108"/>
      <c r="O152" s="30"/>
      <c r="P152" s="30"/>
      <c r="Q152" s="30"/>
      <c r="R152" s="30"/>
      <c r="S152" s="30"/>
      <c r="T152" s="53">
        <f t="shared" si="37"/>
        <v>0</v>
      </c>
      <c r="U152" s="53">
        <f t="shared" si="38"/>
        <v>0</v>
      </c>
      <c r="V152" s="53">
        <f t="shared" si="39"/>
        <v>0</v>
      </c>
      <c r="W152" s="54">
        <f t="shared" si="40"/>
        <v>0</v>
      </c>
      <c r="X152" s="51" t="e">
        <f>VLOOKUP(W152,送料!$J$3:$K$42,2,FALSE)</f>
        <v>#N/A</v>
      </c>
      <c r="Y152" s="51" t="e">
        <f>VLOOKUP(X152,送料!$A$1:$B$40,2,FALSE)</f>
        <v>#N/A</v>
      </c>
      <c r="Z152" s="59">
        <f t="shared" si="41"/>
        <v>0</v>
      </c>
      <c r="AA152" s="62">
        <f t="shared" si="42"/>
        <v>4.5</v>
      </c>
      <c r="AB152" s="62">
        <f t="shared" si="43"/>
        <v>0</v>
      </c>
      <c r="AC152" s="65" t="e">
        <f t="shared" si="46"/>
        <v>#N/A</v>
      </c>
      <c r="AD152" s="65">
        <f t="shared" si="44"/>
        <v>0</v>
      </c>
      <c r="AE152" s="66" t="e">
        <f t="shared" si="45"/>
        <v>#N/A</v>
      </c>
    </row>
    <row r="153" spans="1:31">
      <c r="A153" s="105" t="s">
        <v>336</v>
      </c>
      <c r="B153" s="232">
        <f>【２】結果!P10</f>
        <v>0</v>
      </c>
      <c r="C153" s="115"/>
      <c r="D153" s="55"/>
      <c r="E153" s="45"/>
      <c r="F153" s="21"/>
      <c r="G153" s="21"/>
      <c r="H153" s="42"/>
      <c r="I153" s="42"/>
      <c r="J153" s="42"/>
      <c r="K153" s="42"/>
      <c r="L153" s="42"/>
      <c r="M153" s="31"/>
      <c r="N153" s="108"/>
      <c r="O153" s="30"/>
      <c r="P153" s="30"/>
      <c r="Q153" s="30"/>
      <c r="R153" s="30"/>
      <c r="S153" s="30"/>
      <c r="T153" s="53">
        <f t="shared" si="37"/>
        <v>0</v>
      </c>
      <c r="U153" s="53">
        <f t="shared" si="38"/>
        <v>0</v>
      </c>
      <c r="V153" s="53">
        <f t="shared" si="39"/>
        <v>0</v>
      </c>
      <c r="W153" s="54">
        <f t="shared" si="40"/>
        <v>0</v>
      </c>
      <c r="X153" s="51" t="e">
        <f>VLOOKUP(W153,送料!$J$3:$K$42,2,FALSE)</f>
        <v>#N/A</v>
      </c>
      <c r="Y153" s="51" t="e">
        <f>VLOOKUP(X153,送料!$A$1:$B$40,2,FALSE)</f>
        <v>#N/A</v>
      </c>
      <c r="Z153" s="59">
        <f t="shared" si="41"/>
        <v>0</v>
      </c>
      <c r="AA153" s="62">
        <f t="shared" si="42"/>
        <v>4.5</v>
      </c>
      <c r="AB153" s="62">
        <f t="shared" si="43"/>
        <v>0</v>
      </c>
      <c r="AC153" s="65" t="e">
        <f t="shared" si="46"/>
        <v>#N/A</v>
      </c>
      <c r="AD153" s="65">
        <f t="shared" si="44"/>
        <v>0</v>
      </c>
      <c r="AE153" s="66" t="e">
        <f t="shared" si="45"/>
        <v>#N/A</v>
      </c>
    </row>
    <row r="154" spans="1:31">
      <c r="A154" s="105" t="s">
        <v>337</v>
      </c>
      <c r="B154" s="232">
        <f>【２】結果!Q10</f>
        <v>0</v>
      </c>
      <c r="C154" s="115"/>
      <c r="D154" s="55"/>
      <c r="E154" s="45"/>
      <c r="F154" s="21"/>
      <c r="G154" s="21"/>
      <c r="H154" s="42"/>
      <c r="I154" s="42"/>
      <c r="J154" s="42"/>
      <c r="K154" s="42"/>
      <c r="L154" s="42"/>
      <c r="M154" s="31"/>
      <c r="N154" s="108"/>
      <c r="O154" s="30"/>
      <c r="P154" s="30"/>
      <c r="Q154" s="30"/>
      <c r="R154" s="30"/>
      <c r="S154" s="30"/>
      <c r="T154" s="53">
        <f t="shared" si="37"/>
        <v>0</v>
      </c>
      <c r="U154" s="53">
        <f t="shared" si="38"/>
        <v>0</v>
      </c>
      <c r="V154" s="53">
        <f t="shared" si="39"/>
        <v>0</v>
      </c>
      <c r="W154" s="54">
        <f t="shared" si="40"/>
        <v>0</v>
      </c>
      <c r="X154" s="51" t="e">
        <f>VLOOKUP(W154,送料!$J$3:$K$42,2,FALSE)</f>
        <v>#N/A</v>
      </c>
      <c r="Y154" s="51" t="e">
        <f>VLOOKUP(X154,送料!$A$1:$B$40,2,FALSE)</f>
        <v>#N/A</v>
      </c>
      <c r="Z154" s="59">
        <f t="shared" si="41"/>
        <v>0</v>
      </c>
      <c r="AA154" s="62">
        <f t="shared" si="42"/>
        <v>4.5</v>
      </c>
      <c r="AB154" s="62">
        <f t="shared" si="43"/>
        <v>0</v>
      </c>
      <c r="AC154" s="65" t="e">
        <f t="shared" si="46"/>
        <v>#N/A</v>
      </c>
      <c r="AD154" s="65">
        <f t="shared" si="44"/>
        <v>0</v>
      </c>
      <c r="AE154" s="66" t="e">
        <f t="shared" si="45"/>
        <v>#N/A</v>
      </c>
    </row>
    <row r="155" spans="1:31">
      <c r="A155" s="105" t="s">
        <v>338</v>
      </c>
      <c r="B155" s="232">
        <f>【２】結果!R10</f>
        <v>0</v>
      </c>
      <c r="C155" s="115"/>
      <c r="D155" s="55"/>
      <c r="E155" s="45"/>
      <c r="F155" s="21"/>
      <c r="G155" s="21"/>
      <c r="H155" s="42"/>
      <c r="I155" s="42"/>
      <c r="J155" s="42"/>
      <c r="K155" s="42"/>
      <c r="L155" s="42"/>
      <c r="M155" s="31"/>
      <c r="N155" s="108"/>
      <c r="O155" s="30"/>
      <c r="P155" s="30"/>
      <c r="Q155" s="30"/>
      <c r="R155" s="30"/>
      <c r="S155" s="30"/>
      <c r="T155" s="53">
        <f t="shared" si="37"/>
        <v>0</v>
      </c>
      <c r="U155" s="53">
        <f t="shared" si="38"/>
        <v>0</v>
      </c>
      <c r="V155" s="53">
        <f t="shared" si="39"/>
        <v>0</v>
      </c>
      <c r="W155" s="54">
        <f t="shared" si="40"/>
        <v>0</v>
      </c>
      <c r="X155" s="51" t="e">
        <f>VLOOKUP(W155,送料!$J$3:$K$42,2,FALSE)</f>
        <v>#N/A</v>
      </c>
      <c r="Y155" s="51" t="e">
        <f>VLOOKUP(X155,送料!$A$1:$B$40,2,FALSE)</f>
        <v>#N/A</v>
      </c>
      <c r="Z155" s="59">
        <f t="shared" si="41"/>
        <v>0</v>
      </c>
      <c r="AA155" s="62">
        <f t="shared" si="42"/>
        <v>4.5</v>
      </c>
      <c r="AB155" s="62">
        <f t="shared" si="43"/>
        <v>0</v>
      </c>
      <c r="AC155" s="65" t="e">
        <f t="shared" si="46"/>
        <v>#N/A</v>
      </c>
      <c r="AD155" s="65">
        <f t="shared" si="44"/>
        <v>0</v>
      </c>
      <c r="AE155" s="66" t="e">
        <f t="shared" si="45"/>
        <v>#N/A</v>
      </c>
    </row>
    <row r="156" spans="1:31">
      <c r="A156" s="105" t="s">
        <v>339</v>
      </c>
      <c r="B156" s="232">
        <f>【２】結果!S10</f>
        <v>0</v>
      </c>
      <c r="C156" s="115"/>
      <c r="D156" s="55"/>
      <c r="E156" s="45"/>
      <c r="F156" s="21"/>
      <c r="G156" s="21"/>
      <c r="H156" s="42"/>
      <c r="I156" s="42"/>
      <c r="J156" s="42"/>
      <c r="K156" s="42"/>
      <c r="L156" s="42"/>
      <c r="M156" s="31"/>
      <c r="N156" s="108"/>
      <c r="O156" s="30"/>
      <c r="P156" s="30"/>
      <c r="Q156" s="30"/>
      <c r="R156" s="30"/>
      <c r="S156" s="30"/>
      <c r="T156" s="53">
        <f t="shared" si="37"/>
        <v>0</v>
      </c>
      <c r="U156" s="53">
        <f t="shared" si="38"/>
        <v>0</v>
      </c>
      <c r="V156" s="53">
        <f t="shared" si="39"/>
        <v>0</v>
      </c>
      <c r="W156" s="54">
        <f t="shared" si="40"/>
        <v>0</v>
      </c>
      <c r="X156" s="51" t="e">
        <f>VLOOKUP(W156,送料!$J$3:$K$42,2,FALSE)</f>
        <v>#N/A</v>
      </c>
      <c r="Y156" s="51" t="e">
        <f>VLOOKUP(X156,送料!$A$1:$B$40,2,FALSE)</f>
        <v>#N/A</v>
      </c>
      <c r="Z156" s="59">
        <f t="shared" si="41"/>
        <v>0</v>
      </c>
      <c r="AA156" s="62">
        <f t="shared" si="42"/>
        <v>4.5</v>
      </c>
      <c r="AB156" s="62">
        <f t="shared" si="43"/>
        <v>0</v>
      </c>
      <c r="AC156" s="65" t="e">
        <f t="shared" si="46"/>
        <v>#N/A</v>
      </c>
      <c r="AD156" s="65">
        <f t="shared" si="44"/>
        <v>0</v>
      </c>
      <c r="AE156" s="66" t="e">
        <f t="shared" si="45"/>
        <v>#N/A</v>
      </c>
    </row>
    <row r="157" spans="1:31">
      <c r="A157" s="105" t="s">
        <v>340</v>
      </c>
      <c r="B157" s="232">
        <f>【２】結果!T10</f>
        <v>0</v>
      </c>
      <c r="C157" s="115"/>
      <c r="D157" s="55"/>
      <c r="E157" s="45"/>
      <c r="F157" s="21"/>
      <c r="G157" s="21"/>
      <c r="H157" s="42"/>
      <c r="I157" s="42"/>
      <c r="J157" s="42"/>
      <c r="K157" s="42"/>
      <c r="L157" s="42"/>
      <c r="M157" s="31"/>
      <c r="N157" s="108"/>
      <c r="O157" s="30"/>
      <c r="P157" s="30"/>
      <c r="Q157" s="30"/>
      <c r="R157" s="30"/>
      <c r="S157" s="30"/>
      <c r="T157" s="53">
        <f t="shared" si="37"/>
        <v>0</v>
      </c>
      <c r="U157" s="53">
        <f t="shared" si="38"/>
        <v>0</v>
      </c>
      <c r="V157" s="53">
        <f t="shared" si="39"/>
        <v>0</v>
      </c>
      <c r="W157" s="54">
        <f t="shared" si="40"/>
        <v>0</v>
      </c>
      <c r="X157" s="51" t="e">
        <f>VLOOKUP(W157,送料!$J$3:$K$42,2,FALSE)</f>
        <v>#N/A</v>
      </c>
      <c r="Y157" s="51" t="e">
        <f>VLOOKUP(X157,送料!$A$1:$B$40,2,FALSE)</f>
        <v>#N/A</v>
      </c>
      <c r="Z157" s="59">
        <f t="shared" si="41"/>
        <v>0</v>
      </c>
      <c r="AA157" s="62">
        <f t="shared" si="42"/>
        <v>4.5</v>
      </c>
      <c r="AB157" s="62">
        <f t="shared" si="43"/>
        <v>0</v>
      </c>
      <c r="AC157" s="65" t="e">
        <f t="shared" si="46"/>
        <v>#N/A</v>
      </c>
      <c r="AD157" s="65">
        <f t="shared" si="44"/>
        <v>0</v>
      </c>
      <c r="AE157" s="66" t="e">
        <f t="shared" si="45"/>
        <v>#N/A</v>
      </c>
    </row>
    <row r="158" spans="1:31">
      <c r="A158" s="105" t="s">
        <v>341</v>
      </c>
      <c r="B158" s="232">
        <f>【２】結果!U10</f>
        <v>0</v>
      </c>
      <c r="C158" s="115"/>
      <c r="D158" s="55"/>
      <c r="E158" s="45"/>
      <c r="F158" s="21"/>
      <c r="G158" s="21"/>
      <c r="H158" s="42"/>
      <c r="I158" s="42"/>
      <c r="J158" s="42"/>
      <c r="K158" s="42"/>
      <c r="L158" s="42"/>
      <c r="M158" s="31"/>
      <c r="N158" s="108"/>
      <c r="O158" s="30"/>
      <c r="P158" s="30"/>
      <c r="Q158" s="30"/>
      <c r="R158" s="30"/>
      <c r="S158" s="30"/>
      <c r="T158" s="53">
        <f t="shared" si="37"/>
        <v>0</v>
      </c>
      <c r="U158" s="53">
        <f t="shared" si="38"/>
        <v>0</v>
      </c>
      <c r="V158" s="53">
        <f t="shared" si="39"/>
        <v>0</v>
      </c>
      <c r="W158" s="54">
        <f t="shared" si="40"/>
        <v>0</v>
      </c>
      <c r="X158" s="51" t="e">
        <f>VLOOKUP(W158,送料!$J$3:$K$42,2,FALSE)</f>
        <v>#N/A</v>
      </c>
      <c r="Y158" s="51" t="e">
        <f>VLOOKUP(X158,送料!$A$1:$B$40,2,FALSE)</f>
        <v>#N/A</v>
      </c>
      <c r="Z158" s="59">
        <f t="shared" si="41"/>
        <v>0</v>
      </c>
      <c r="AA158" s="62">
        <f t="shared" si="42"/>
        <v>4.5</v>
      </c>
      <c r="AB158" s="62">
        <f t="shared" si="43"/>
        <v>0</v>
      </c>
      <c r="AC158" s="65" t="e">
        <f t="shared" si="46"/>
        <v>#N/A</v>
      </c>
      <c r="AD158" s="65">
        <f t="shared" si="44"/>
        <v>0</v>
      </c>
      <c r="AE158" s="66" t="e">
        <f t="shared" si="45"/>
        <v>#N/A</v>
      </c>
    </row>
    <row r="159" spans="1:31">
      <c r="A159" s="105" t="s">
        <v>342</v>
      </c>
      <c r="B159" s="232">
        <f>【２】結果!V10</f>
        <v>0</v>
      </c>
      <c r="C159" s="115"/>
      <c r="D159" s="55"/>
      <c r="E159" s="45"/>
      <c r="F159" s="21"/>
      <c r="G159" s="21"/>
      <c r="H159" s="42"/>
      <c r="I159" s="42"/>
      <c r="J159" s="42"/>
      <c r="K159" s="42"/>
      <c r="L159" s="42"/>
      <c r="M159" s="31"/>
      <c r="N159" s="108"/>
      <c r="O159" s="30"/>
      <c r="P159" s="30"/>
      <c r="Q159" s="30"/>
      <c r="R159" s="30"/>
      <c r="S159" s="30"/>
      <c r="T159" s="53">
        <f t="shared" si="37"/>
        <v>0</v>
      </c>
      <c r="U159" s="53">
        <f t="shared" si="38"/>
        <v>0</v>
      </c>
      <c r="V159" s="53">
        <f t="shared" si="39"/>
        <v>0</v>
      </c>
      <c r="W159" s="54">
        <f t="shared" si="40"/>
        <v>0</v>
      </c>
      <c r="X159" s="51" t="e">
        <f>VLOOKUP(W159,送料!$J$3:$K$42,2,FALSE)</f>
        <v>#N/A</v>
      </c>
      <c r="Y159" s="51" t="e">
        <f>VLOOKUP(X159,送料!$A$1:$B$40,2,FALSE)</f>
        <v>#N/A</v>
      </c>
      <c r="Z159" s="59">
        <f t="shared" si="41"/>
        <v>0</v>
      </c>
      <c r="AA159" s="62">
        <f t="shared" si="42"/>
        <v>4.5</v>
      </c>
      <c r="AB159" s="62">
        <f t="shared" si="43"/>
        <v>0</v>
      </c>
      <c r="AC159" s="65" t="e">
        <f t="shared" si="46"/>
        <v>#N/A</v>
      </c>
      <c r="AD159" s="65">
        <f t="shared" si="44"/>
        <v>0</v>
      </c>
      <c r="AE159" s="66" t="e">
        <f t="shared" si="45"/>
        <v>#N/A</v>
      </c>
    </row>
    <row r="160" spans="1:31">
      <c r="A160" s="105" t="s">
        <v>343</v>
      </c>
      <c r="B160" s="232">
        <f>【２】結果!W10</f>
        <v>0</v>
      </c>
      <c r="C160" s="115"/>
      <c r="D160" s="55"/>
      <c r="E160" s="45"/>
      <c r="F160" s="21"/>
      <c r="G160" s="21"/>
      <c r="H160" s="42"/>
      <c r="I160" s="42"/>
      <c r="J160" s="42"/>
      <c r="K160" s="42"/>
      <c r="L160" s="42"/>
      <c r="M160" s="31"/>
      <c r="N160" s="108"/>
      <c r="O160" s="30"/>
      <c r="P160" s="30"/>
      <c r="Q160" s="30"/>
      <c r="R160" s="30"/>
      <c r="S160" s="30"/>
      <c r="T160" s="53">
        <f t="shared" si="37"/>
        <v>0</v>
      </c>
      <c r="U160" s="53">
        <f t="shared" si="38"/>
        <v>0</v>
      </c>
      <c r="V160" s="53">
        <f t="shared" si="39"/>
        <v>0</v>
      </c>
      <c r="W160" s="54">
        <f t="shared" si="40"/>
        <v>0</v>
      </c>
      <c r="X160" s="51" t="e">
        <f>VLOOKUP(W160,送料!$J$3:$K$42,2,FALSE)</f>
        <v>#N/A</v>
      </c>
      <c r="Y160" s="51" t="e">
        <f>VLOOKUP(X160,送料!$A$1:$B$40,2,FALSE)</f>
        <v>#N/A</v>
      </c>
      <c r="Z160" s="59">
        <f t="shared" si="41"/>
        <v>0</v>
      </c>
      <c r="AA160" s="62">
        <f t="shared" si="42"/>
        <v>4.5</v>
      </c>
      <c r="AB160" s="62">
        <f t="shared" si="43"/>
        <v>0</v>
      </c>
      <c r="AC160" s="65" t="e">
        <f t="shared" si="46"/>
        <v>#N/A</v>
      </c>
      <c r="AD160" s="65">
        <f t="shared" si="44"/>
        <v>0</v>
      </c>
      <c r="AE160" s="66" t="e">
        <f t="shared" si="45"/>
        <v>#N/A</v>
      </c>
    </row>
    <row r="161" spans="1:31">
      <c r="A161" s="105" t="s">
        <v>344</v>
      </c>
      <c r="B161" s="232">
        <f>【２】結果!X10</f>
        <v>0</v>
      </c>
      <c r="C161" s="115"/>
      <c r="D161" s="55"/>
      <c r="E161" s="45"/>
      <c r="F161" s="21"/>
      <c r="G161" s="21"/>
      <c r="H161" s="42"/>
      <c r="I161" s="42"/>
      <c r="J161" s="42"/>
      <c r="K161" s="42"/>
      <c r="L161" s="42"/>
      <c r="M161" s="31"/>
      <c r="N161" s="108"/>
      <c r="O161" s="30"/>
      <c r="P161" s="30"/>
      <c r="Q161" s="30"/>
      <c r="R161" s="30"/>
      <c r="S161" s="30"/>
      <c r="T161" s="53">
        <f t="shared" si="37"/>
        <v>0</v>
      </c>
      <c r="U161" s="53">
        <f t="shared" si="38"/>
        <v>0</v>
      </c>
      <c r="V161" s="53">
        <f t="shared" si="39"/>
        <v>0</v>
      </c>
      <c r="W161" s="54">
        <f t="shared" si="40"/>
        <v>0</v>
      </c>
      <c r="X161" s="51" t="e">
        <f>VLOOKUP(W161,送料!$J$3:$K$42,2,FALSE)</f>
        <v>#N/A</v>
      </c>
      <c r="Y161" s="51" t="e">
        <f>VLOOKUP(X161,送料!$A$1:$B$40,2,FALSE)</f>
        <v>#N/A</v>
      </c>
      <c r="Z161" s="59">
        <f t="shared" si="41"/>
        <v>0</v>
      </c>
      <c r="AA161" s="62">
        <f t="shared" si="42"/>
        <v>4.5</v>
      </c>
      <c r="AB161" s="62">
        <f t="shared" si="43"/>
        <v>0</v>
      </c>
      <c r="AC161" s="65" t="e">
        <f t="shared" si="46"/>
        <v>#N/A</v>
      </c>
      <c r="AD161" s="65">
        <f t="shared" si="44"/>
        <v>0</v>
      </c>
      <c r="AE161" s="66" t="e">
        <f t="shared" si="45"/>
        <v>#N/A</v>
      </c>
    </row>
    <row r="162" spans="1:31">
      <c r="A162" s="105" t="s">
        <v>345</v>
      </c>
      <c r="B162" s="232">
        <f>【２】結果!E11</f>
        <v>0</v>
      </c>
      <c r="C162" s="115"/>
      <c r="D162" s="55"/>
      <c r="E162" s="45"/>
      <c r="F162" s="21"/>
      <c r="G162" s="21"/>
      <c r="H162" s="42"/>
      <c r="I162" s="42"/>
      <c r="J162" s="42"/>
      <c r="K162" s="42"/>
      <c r="L162" s="42"/>
      <c r="M162" s="31"/>
      <c r="N162" s="108"/>
      <c r="O162" s="30"/>
      <c r="P162" s="30"/>
      <c r="Q162" s="30"/>
      <c r="R162" s="30"/>
      <c r="S162" s="30"/>
      <c r="T162" s="53">
        <f t="shared" si="37"/>
        <v>0</v>
      </c>
      <c r="U162" s="53">
        <f t="shared" si="38"/>
        <v>0</v>
      </c>
      <c r="V162" s="53">
        <f t="shared" si="39"/>
        <v>0</v>
      </c>
      <c r="W162" s="54">
        <f t="shared" si="40"/>
        <v>0</v>
      </c>
      <c r="X162" s="51" t="e">
        <f>VLOOKUP(W162,送料!$J$3:$K$42,2,FALSE)</f>
        <v>#N/A</v>
      </c>
      <c r="Y162" s="51" t="e">
        <f>VLOOKUP(X162,送料!$A$1:$B$40,2,FALSE)</f>
        <v>#N/A</v>
      </c>
      <c r="Z162" s="59">
        <f t="shared" si="41"/>
        <v>0</v>
      </c>
      <c r="AA162" s="62">
        <f t="shared" si="42"/>
        <v>4.5</v>
      </c>
      <c r="AB162" s="62">
        <f t="shared" si="43"/>
        <v>0</v>
      </c>
      <c r="AC162" s="65" t="e">
        <f t="shared" si="46"/>
        <v>#N/A</v>
      </c>
      <c r="AD162" s="65">
        <f t="shared" si="44"/>
        <v>0</v>
      </c>
      <c r="AE162" s="66" t="e">
        <f t="shared" si="45"/>
        <v>#N/A</v>
      </c>
    </row>
    <row r="163" spans="1:31">
      <c r="A163" s="105" t="s">
        <v>346</v>
      </c>
      <c r="B163" s="232">
        <f>【２】結果!F11</f>
        <v>0</v>
      </c>
      <c r="C163" s="115"/>
      <c r="D163" s="55"/>
      <c r="E163" s="45"/>
      <c r="F163" s="21"/>
      <c r="G163" s="21"/>
      <c r="H163" s="42"/>
      <c r="I163" s="42"/>
      <c r="J163" s="42"/>
      <c r="K163" s="42"/>
      <c r="L163" s="42"/>
      <c r="M163" s="31"/>
      <c r="N163" s="108"/>
      <c r="O163" s="30"/>
      <c r="P163" s="30"/>
      <c r="Q163" s="30"/>
      <c r="R163" s="30"/>
      <c r="S163" s="30"/>
      <c r="T163" s="53">
        <f t="shared" si="37"/>
        <v>0</v>
      </c>
      <c r="U163" s="53">
        <f t="shared" si="38"/>
        <v>0</v>
      </c>
      <c r="V163" s="53">
        <f t="shared" si="39"/>
        <v>0</v>
      </c>
      <c r="W163" s="54">
        <f t="shared" si="40"/>
        <v>0</v>
      </c>
      <c r="X163" s="51" t="e">
        <f>VLOOKUP(W163,送料!$J$3:$K$42,2,FALSE)</f>
        <v>#N/A</v>
      </c>
      <c r="Y163" s="51" t="e">
        <f>VLOOKUP(X163,送料!$A$1:$B$40,2,FALSE)</f>
        <v>#N/A</v>
      </c>
      <c r="Z163" s="59">
        <f t="shared" si="41"/>
        <v>0</v>
      </c>
      <c r="AA163" s="62">
        <f t="shared" si="42"/>
        <v>4.5</v>
      </c>
      <c r="AB163" s="62">
        <f t="shared" si="43"/>
        <v>0</v>
      </c>
      <c r="AC163" s="65" t="e">
        <f t="shared" si="46"/>
        <v>#N/A</v>
      </c>
      <c r="AD163" s="65">
        <f t="shared" si="44"/>
        <v>0</v>
      </c>
      <c r="AE163" s="66" t="e">
        <f t="shared" si="45"/>
        <v>#N/A</v>
      </c>
    </row>
    <row r="164" spans="1:31">
      <c r="A164" s="105" t="s">
        <v>347</v>
      </c>
      <c r="B164" s="232">
        <f>【２】結果!G11</f>
        <v>0</v>
      </c>
      <c r="C164" s="115"/>
      <c r="D164" s="55"/>
      <c r="E164" s="45"/>
      <c r="F164" s="21"/>
      <c r="G164" s="21"/>
      <c r="H164" s="42"/>
      <c r="I164" s="42"/>
      <c r="J164" s="42"/>
      <c r="K164" s="42"/>
      <c r="L164" s="42"/>
      <c r="M164" s="31"/>
      <c r="N164" s="108"/>
      <c r="O164" s="30"/>
      <c r="P164" s="30"/>
      <c r="Q164" s="30"/>
      <c r="R164" s="30"/>
      <c r="S164" s="30"/>
      <c r="T164" s="53">
        <f t="shared" si="37"/>
        <v>0</v>
      </c>
      <c r="U164" s="53">
        <f t="shared" si="38"/>
        <v>0</v>
      </c>
      <c r="V164" s="53">
        <f t="shared" si="39"/>
        <v>0</v>
      </c>
      <c r="W164" s="54">
        <f t="shared" si="40"/>
        <v>0</v>
      </c>
      <c r="X164" s="51" t="e">
        <f>VLOOKUP(W164,送料!$J$3:$K$42,2,FALSE)</f>
        <v>#N/A</v>
      </c>
      <c r="Y164" s="51" t="e">
        <f>VLOOKUP(X164,送料!$A$1:$B$40,2,FALSE)</f>
        <v>#N/A</v>
      </c>
      <c r="Z164" s="59">
        <f t="shared" si="41"/>
        <v>0</v>
      </c>
      <c r="AA164" s="62">
        <f t="shared" si="42"/>
        <v>4.5</v>
      </c>
      <c r="AB164" s="62">
        <f t="shared" si="43"/>
        <v>0</v>
      </c>
      <c r="AC164" s="65" t="e">
        <f t="shared" si="46"/>
        <v>#N/A</v>
      </c>
      <c r="AD164" s="65">
        <f t="shared" si="44"/>
        <v>0</v>
      </c>
      <c r="AE164" s="66" t="e">
        <f t="shared" si="45"/>
        <v>#N/A</v>
      </c>
    </row>
    <row r="165" spans="1:31">
      <c r="A165" s="105" t="s">
        <v>348</v>
      </c>
      <c r="B165" s="232">
        <f>【２】結果!H11</f>
        <v>0</v>
      </c>
      <c r="C165" s="115"/>
      <c r="D165" s="55"/>
      <c r="E165" s="45"/>
      <c r="F165" s="21"/>
      <c r="G165" s="21"/>
      <c r="H165" s="42"/>
      <c r="I165" s="42"/>
      <c r="J165" s="42"/>
      <c r="K165" s="42"/>
      <c r="L165" s="42"/>
      <c r="M165" s="31"/>
      <c r="N165" s="108"/>
      <c r="O165" s="30"/>
      <c r="P165" s="30"/>
      <c r="Q165" s="30"/>
      <c r="R165" s="30"/>
      <c r="S165" s="30"/>
      <c r="T165" s="53">
        <f t="shared" si="37"/>
        <v>0</v>
      </c>
      <c r="U165" s="53">
        <f t="shared" si="38"/>
        <v>0</v>
      </c>
      <c r="V165" s="53">
        <f t="shared" si="39"/>
        <v>0</v>
      </c>
      <c r="W165" s="54">
        <f t="shared" si="40"/>
        <v>0</v>
      </c>
      <c r="X165" s="51" t="e">
        <f>VLOOKUP(W165,送料!$J$3:$K$42,2,FALSE)</f>
        <v>#N/A</v>
      </c>
      <c r="Y165" s="51" t="e">
        <f>VLOOKUP(X165,送料!$A$1:$B$40,2,FALSE)</f>
        <v>#N/A</v>
      </c>
      <c r="Z165" s="59">
        <f t="shared" si="41"/>
        <v>0</v>
      </c>
      <c r="AA165" s="62">
        <f t="shared" si="42"/>
        <v>4.5</v>
      </c>
      <c r="AB165" s="62">
        <f t="shared" si="43"/>
        <v>0</v>
      </c>
      <c r="AC165" s="65" t="e">
        <f t="shared" si="46"/>
        <v>#N/A</v>
      </c>
      <c r="AD165" s="65">
        <f t="shared" si="44"/>
        <v>0</v>
      </c>
      <c r="AE165" s="66" t="e">
        <f t="shared" si="45"/>
        <v>#N/A</v>
      </c>
    </row>
    <row r="166" spans="1:31">
      <c r="A166" s="105" t="s">
        <v>349</v>
      </c>
      <c r="B166" s="232">
        <f>【２】結果!I11</f>
        <v>0</v>
      </c>
      <c r="C166" s="115"/>
      <c r="D166" s="55"/>
      <c r="E166" s="45"/>
      <c r="F166" s="21"/>
      <c r="G166" s="21"/>
      <c r="H166" s="42"/>
      <c r="I166" s="42"/>
      <c r="J166" s="42"/>
      <c r="K166" s="42"/>
      <c r="L166" s="42"/>
      <c r="M166" s="31"/>
      <c r="N166" s="108"/>
      <c r="O166" s="30"/>
      <c r="P166" s="30"/>
      <c r="Q166" s="30"/>
      <c r="R166" s="30"/>
      <c r="S166" s="30"/>
      <c r="T166" s="53">
        <f t="shared" si="37"/>
        <v>0</v>
      </c>
      <c r="U166" s="53">
        <f t="shared" si="38"/>
        <v>0</v>
      </c>
      <c r="V166" s="53">
        <f t="shared" si="39"/>
        <v>0</v>
      </c>
      <c r="W166" s="54">
        <f t="shared" si="40"/>
        <v>0</v>
      </c>
      <c r="X166" s="51" t="e">
        <f>VLOOKUP(W166,送料!$J$3:$K$42,2,FALSE)</f>
        <v>#N/A</v>
      </c>
      <c r="Y166" s="51" t="e">
        <f>VLOOKUP(X166,送料!$A$1:$B$40,2,FALSE)</f>
        <v>#N/A</v>
      </c>
      <c r="Z166" s="59">
        <f t="shared" si="41"/>
        <v>0</v>
      </c>
      <c r="AA166" s="62">
        <f t="shared" si="42"/>
        <v>4.5</v>
      </c>
      <c r="AB166" s="62">
        <f t="shared" si="43"/>
        <v>0</v>
      </c>
      <c r="AC166" s="65" t="e">
        <f t="shared" si="46"/>
        <v>#N/A</v>
      </c>
      <c r="AD166" s="65">
        <f t="shared" si="44"/>
        <v>0</v>
      </c>
      <c r="AE166" s="66" t="e">
        <f t="shared" si="45"/>
        <v>#N/A</v>
      </c>
    </row>
    <row r="167" spans="1:31">
      <c r="A167" s="105" t="s">
        <v>350</v>
      </c>
      <c r="B167" s="232">
        <f>【２】結果!J11</f>
        <v>0</v>
      </c>
      <c r="C167" s="115"/>
      <c r="D167" s="55"/>
      <c r="E167" s="45"/>
      <c r="F167" s="21"/>
      <c r="G167" s="21"/>
      <c r="H167" s="42"/>
      <c r="I167" s="42"/>
      <c r="J167" s="42"/>
      <c r="K167" s="42"/>
      <c r="L167" s="42"/>
      <c r="M167" s="31"/>
      <c r="N167" s="108"/>
      <c r="O167" s="30"/>
      <c r="P167" s="30"/>
      <c r="Q167" s="30"/>
      <c r="R167" s="30"/>
      <c r="S167" s="30"/>
      <c r="T167" s="53">
        <f t="shared" si="37"/>
        <v>0</v>
      </c>
      <c r="U167" s="53">
        <f t="shared" si="38"/>
        <v>0</v>
      </c>
      <c r="V167" s="53">
        <f t="shared" si="39"/>
        <v>0</v>
      </c>
      <c r="W167" s="54">
        <f t="shared" si="40"/>
        <v>0</v>
      </c>
      <c r="X167" s="51" t="e">
        <f>VLOOKUP(W167,送料!$J$3:$K$42,2,FALSE)</f>
        <v>#N/A</v>
      </c>
      <c r="Y167" s="51" t="e">
        <f>VLOOKUP(X167,送料!$A$1:$B$40,2,FALSE)</f>
        <v>#N/A</v>
      </c>
      <c r="Z167" s="59">
        <f t="shared" si="41"/>
        <v>0</v>
      </c>
      <c r="AA167" s="62">
        <f t="shared" si="42"/>
        <v>4.5</v>
      </c>
      <c r="AB167" s="62">
        <f t="shared" si="43"/>
        <v>0</v>
      </c>
      <c r="AC167" s="65" t="e">
        <f t="shared" si="46"/>
        <v>#N/A</v>
      </c>
      <c r="AD167" s="65">
        <f t="shared" si="44"/>
        <v>0</v>
      </c>
      <c r="AE167" s="66" t="e">
        <f t="shared" si="45"/>
        <v>#N/A</v>
      </c>
    </row>
    <row r="168" spans="1:31">
      <c r="A168" s="105" t="s">
        <v>351</v>
      </c>
      <c r="B168" s="232">
        <f>【２】結果!K11</f>
        <v>0</v>
      </c>
      <c r="C168" s="115"/>
      <c r="D168" s="55"/>
      <c r="E168" s="45"/>
      <c r="F168" s="21"/>
      <c r="G168" s="21"/>
      <c r="H168" s="42"/>
      <c r="I168" s="42"/>
      <c r="J168" s="42"/>
      <c r="K168" s="42"/>
      <c r="L168" s="42"/>
      <c r="M168" s="31"/>
      <c r="N168" s="108"/>
      <c r="O168" s="30"/>
      <c r="P168" s="30"/>
      <c r="Q168" s="30"/>
      <c r="R168" s="30"/>
      <c r="S168" s="30"/>
      <c r="T168" s="53">
        <f t="shared" si="37"/>
        <v>0</v>
      </c>
      <c r="U168" s="53">
        <f t="shared" si="38"/>
        <v>0</v>
      </c>
      <c r="V168" s="53">
        <f t="shared" si="39"/>
        <v>0</v>
      </c>
      <c r="W168" s="54">
        <f t="shared" si="40"/>
        <v>0</v>
      </c>
      <c r="X168" s="51" t="e">
        <f>VLOOKUP(W168,送料!$J$3:$K$42,2,FALSE)</f>
        <v>#N/A</v>
      </c>
      <c r="Y168" s="51" t="e">
        <f>VLOOKUP(X168,送料!$A$1:$B$40,2,FALSE)</f>
        <v>#N/A</v>
      </c>
      <c r="Z168" s="59">
        <f t="shared" si="41"/>
        <v>0</v>
      </c>
      <c r="AA168" s="62">
        <f t="shared" si="42"/>
        <v>4.5</v>
      </c>
      <c r="AB168" s="62">
        <f t="shared" si="43"/>
        <v>0</v>
      </c>
      <c r="AC168" s="65" t="e">
        <f t="shared" si="46"/>
        <v>#N/A</v>
      </c>
      <c r="AD168" s="65">
        <f t="shared" si="44"/>
        <v>0</v>
      </c>
      <c r="AE168" s="66" t="e">
        <f t="shared" si="45"/>
        <v>#N/A</v>
      </c>
    </row>
    <row r="169" spans="1:31">
      <c r="A169" s="105" t="s">
        <v>352</v>
      </c>
      <c r="B169" s="232">
        <f>【２】結果!L11</f>
        <v>0</v>
      </c>
      <c r="C169" s="115"/>
      <c r="D169" s="55"/>
      <c r="E169" s="45"/>
      <c r="F169" s="21"/>
      <c r="G169" s="21"/>
      <c r="H169" s="42"/>
      <c r="I169" s="42"/>
      <c r="J169" s="42"/>
      <c r="K169" s="42"/>
      <c r="L169" s="42"/>
      <c r="M169" s="31"/>
      <c r="N169" s="108"/>
      <c r="O169" s="30"/>
      <c r="P169" s="30"/>
      <c r="Q169" s="30"/>
      <c r="R169" s="30"/>
      <c r="S169" s="30"/>
      <c r="T169" s="53">
        <f t="shared" si="37"/>
        <v>0</v>
      </c>
      <c r="U169" s="53">
        <f t="shared" si="38"/>
        <v>0</v>
      </c>
      <c r="V169" s="53">
        <f t="shared" si="39"/>
        <v>0</v>
      </c>
      <c r="W169" s="54">
        <f t="shared" si="40"/>
        <v>0</v>
      </c>
      <c r="X169" s="51" t="e">
        <f>VLOOKUP(W169,送料!$J$3:$K$42,2,FALSE)</f>
        <v>#N/A</v>
      </c>
      <c r="Y169" s="51" t="e">
        <f>VLOOKUP(X169,送料!$A$1:$B$40,2,FALSE)</f>
        <v>#N/A</v>
      </c>
      <c r="Z169" s="59">
        <f t="shared" si="41"/>
        <v>0</v>
      </c>
      <c r="AA169" s="62">
        <f t="shared" si="42"/>
        <v>4.5</v>
      </c>
      <c r="AB169" s="62">
        <f t="shared" si="43"/>
        <v>0</v>
      </c>
      <c r="AC169" s="65" t="e">
        <f t="shared" si="46"/>
        <v>#N/A</v>
      </c>
      <c r="AD169" s="65">
        <f t="shared" si="44"/>
        <v>0</v>
      </c>
      <c r="AE169" s="66" t="e">
        <f t="shared" si="45"/>
        <v>#N/A</v>
      </c>
    </row>
    <row r="170" spans="1:31">
      <c r="A170" s="105" t="s">
        <v>353</v>
      </c>
      <c r="B170" s="232">
        <f>【２】結果!M11</f>
        <v>0</v>
      </c>
      <c r="C170" s="115"/>
      <c r="D170" s="55"/>
      <c r="E170" s="45"/>
      <c r="F170" s="21"/>
      <c r="G170" s="21"/>
      <c r="H170" s="42"/>
      <c r="I170" s="42"/>
      <c r="J170" s="42"/>
      <c r="K170" s="42"/>
      <c r="L170" s="42"/>
      <c r="M170" s="31"/>
      <c r="N170" s="108"/>
      <c r="O170" s="30"/>
      <c r="P170" s="30"/>
      <c r="Q170" s="30"/>
      <c r="R170" s="30"/>
      <c r="S170" s="30"/>
      <c r="T170" s="53">
        <f t="shared" si="37"/>
        <v>0</v>
      </c>
      <c r="U170" s="53">
        <f t="shared" si="38"/>
        <v>0</v>
      </c>
      <c r="V170" s="53">
        <f t="shared" si="39"/>
        <v>0</v>
      </c>
      <c r="W170" s="54">
        <f t="shared" si="40"/>
        <v>0</v>
      </c>
      <c r="X170" s="51" t="e">
        <f>VLOOKUP(W170,送料!$J$3:$K$42,2,FALSE)</f>
        <v>#N/A</v>
      </c>
      <c r="Y170" s="51" t="e">
        <f>VLOOKUP(X170,送料!$A$1:$B$40,2,FALSE)</f>
        <v>#N/A</v>
      </c>
      <c r="Z170" s="59">
        <f t="shared" si="41"/>
        <v>0</v>
      </c>
      <c r="AA170" s="62">
        <f t="shared" si="42"/>
        <v>4.5</v>
      </c>
      <c r="AB170" s="62">
        <f t="shared" si="43"/>
        <v>0</v>
      </c>
      <c r="AC170" s="65" t="e">
        <f t="shared" si="46"/>
        <v>#N/A</v>
      </c>
      <c r="AD170" s="65">
        <f t="shared" si="44"/>
        <v>0</v>
      </c>
      <c r="AE170" s="66" t="e">
        <f t="shared" si="45"/>
        <v>#N/A</v>
      </c>
    </row>
    <row r="171" spans="1:31">
      <c r="A171" s="105" t="s">
        <v>354</v>
      </c>
      <c r="B171" s="232">
        <f>【２】結果!N11</f>
        <v>0</v>
      </c>
      <c r="C171" s="115"/>
      <c r="D171" s="55"/>
      <c r="E171" s="45"/>
      <c r="F171" s="21"/>
      <c r="G171" s="21"/>
      <c r="H171" s="42"/>
      <c r="I171" s="42"/>
      <c r="J171" s="42"/>
      <c r="K171" s="42"/>
      <c r="L171" s="42"/>
      <c r="M171" s="31"/>
      <c r="N171" s="108"/>
      <c r="O171" s="30"/>
      <c r="P171" s="30"/>
      <c r="Q171" s="30"/>
      <c r="R171" s="30"/>
      <c r="S171" s="30"/>
      <c r="T171" s="53">
        <f t="shared" si="37"/>
        <v>0</v>
      </c>
      <c r="U171" s="53">
        <f t="shared" si="38"/>
        <v>0</v>
      </c>
      <c r="V171" s="53">
        <f t="shared" si="39"/>
        <v>0</v>
      </c>
      <c r="W171" s="54">
        <f t="shared" si="40"/>
        <v>0</v>
      </c>
      <c r="X171" s="51" t="e">
        <f>VLOOKUP(W171,送料!$J$3:$K$42,2,FALSE)</f>
        <v>#N/A</v>
      </c>
      <c r="Y171" s="51" t="e">
        <f>VLOOKUP(X171,送料!$A$1:$B$40,2,FALSE)</f>
        <v>#N/A</v>
      </c>
      <c r="Z171" s="59">
        <f t="shared" si="41"/>
        <v>0</v>
      </c>
      <c r="AA171" s="62">
        <f t="shared" si="42"/>
        <v>4.5</v>
      </c>
      <c r="AB171" s="62">
        <f t="shared" si="43"/>
        <v>0</v>
      </c>
      <c r="AC171" s="65" t="e">
        <f t="shared" si="46"/>
        <v>#N/A</v>
      </c>
      <c r="AD171" s="65">
        <f t="shared" si="44"/>
        <v>0</v>
      </c>
      <c r="AE171" s="66" t="e">
        <f t="shared" si="45"/>
        <v>#N/A</v>
      </c>
    </row>
    <row r="172" spans="1:31">
      <c r="A172" s="105" t="s">
        <v>355</v>
      </c>
      <c r="B172" s="232">
        <f>【２】結果!O11</f>
        <v>0</v>
      </c>
      <c r="C172" s="115"/>
      <c r="D172" s="55"/>
      <c r="E172" s="45"/>
      <c r="F172" s="21"/>
      <c r="G172" s="21"/>
      <c r="H172" s="42"/>
      <c r="I172" s="42"/>
      <c r="J172" s="42"/>
      <c r="K172" s="42"/>
      <c r="L172" s="42"/>
      <c r="M172" s="31"/>
      <c r="N172" s="108"/>
      <c r="O172" s="30"/>
      <c r="P172" s="30"/>
      <c r="Q172" s="30"/>
      <c r="R172" s="30"/>
      <c r="S172" s="30"/>
      <c r="T172" s="53">
        <f t="shared" si="37"/>
        <v>0</v>
      </c>
      <c r="U172" s="53">
        <f t="shared" si="38"/>
        <v>0</v>
      </c>
      <c r="V172" s="53">
        <f t="shared" si="39"/>
        <v>0</v>
      </c>
      <c r="W172" s="54">
        <f t="shared" si="40"/>
        <v>0</v>
      </c>
      <c r="X172" s="51" t="e">
        <f>VLOOKUP(W172,送料!$J$3:$K$42,2,FALSE)</f>
        <v>#N/A</v>
      </c>
      <c r="Y172" s="51" t="e">
        <f>VLOOKUP(X172,送料!$A$1:$B$40,2,FALSE)</f>
        <v>#N/A</v>
      </c>
      <c r="Z172" s="59">
        <f t="shared" si="41"/>
        <v>0</v>
      </c>
      <c r="AA172" s="62">
        <f t="shared" si="42"/>
        <v>4.5</v>
      </c>
      <c r="AB172" s="62">
        <f t="shared" si="43"/>
        <v>0</v>
      </c>
      <c r="AC172" s="65" t="e">
        <f t="shared" si="46"/>
        <v>#N/A</v>
      </c>
      <c r="AD172" s="65">
        <f t="shared" si="44"/>
        <v>0</v>
      </c>
      <c r="AE172" s="66" t="e">
        <f t="shared" si="45"/>
        <v>#N/A</v>
      </c>
    </row>
    <row r="173" spans="1:31">
      <c r="A173" s="105" t="s">
        <v>356</v>
      </c>
      <c r="B173" s="232">
        <f>【２】結果!P11</f>
        <v>0</v>
      </c>
      <c r="C173" s="115"/>
      <c r="D173" s="55"/>
      <c r="E173" s="45"/>
      <c r="F173" s="21"/>
      <c r="G173" s="21"/>
      <c r="H173" s="42"/>
      <c r="I173" s="42"/>
      <c r="J173" s="42"/>
      <c r="K173" s="42"/>
      <c r="L173" s="42"/>
      <c r="M173" s="31"/>
      <c r="N173" s="108"/>
      <c r="O173" s="30"/>
      <c r="P173" s="30"/>
      <c r="Q173" s="30"/>
      <c r="R173" s="30"/>
      <c r="S173" s="30"/>
      <c r="T173" s="53">
        <f t="shared" si="37"/>
        <v>0</v>
      </c>
      <c r="U173" s="53">
        <f t="shared" si="38"/>
        <v>0</v>
      </c>
      <c r="V173" s="53">
        <f t="shared" si="39"/>
        <v>0</v>
      </c>
      <c r="W173" s="54">
        <f t="shared" si="40"/>
        <v>0</v>
      </c>
      <c r="X173" s="51" t="e">
        <f>VLOOKUP(W173,送料!$J$3:$K$42,2,FALSE)</f>
        <v>#N/A</v>
      </c>
      <c r="Y173" s="51" t="e">
        <f>VLOOKUP(X173,送料!$A$1:$B$40,2,FALSE)</f>
        <v>#N/A</v>
      </c>
      <c r="Z173" s="59">
        <f t="shared" si="41"/>
        <v>0</v>
      </c>
      <c r="AA173" s="62">
        <f t="shared" si="42"/>
        <v>4.5</v>
      </c>
      <c r="AB173" s="62">
        <f t="shared" si="43"/>
        <v>0</v>
      </c>
      <c r="AC173" s="65" t="e">
        <f t="shared" si="46"/>
        <v>#N/A</v>
      </c>
      <c r="AD173" s="65">
        <f t="shared" si="44"/>
        <v>0</v>
      </c>
      <c r="AE173" s="66" t="e">
        <f t="shared" si="45"/>
        <v>#N/A</v>
      </c>
    </row>
    <row r="174" spans="1:31">
      <c r="A174" s="105" t="s">
        <v>357</v>
      </c>
      <c r="B174" s="232">
        <f>【２】結果!Q11</f>
        <v>0</v>
      </c>
      <c r="C174" s="115"/>
      <c r="D174" s="55"/>
      <c r="E174" s="45"/>
      <c r="F174" s="21"/>
      <c r="G174" s="21"/>
      <c r="H174" s="42"/>
      <c r="I174" s="42"/>
      <c r="J174" s="42"/>
      <c r="K174" s="42"/>
      <c r="L174" s="42"/>
      <c r="M174" s="31"/>
      <c r="N174" s="108"/>
      <c r="O174" s="30"/>
      <c r="P174" s="30"/>
      <c r="Q174" s="30"/>
      <c r="R174" s="30"/>
      <c r="S174" s="30"/>
      <c r="T174" s="53">
        <f t="shared" si="37"/>
        <v>0</v>
      </c>
      <c r="U174" s="53">
        <f t="shared" si="38"/>
        <v>0</v>
      </c>
      <c r="V174" s="53">
        <f t="shared" si="39"/>
        <v>0</v>
      </c>
      <c r="W174" s="54">
        <f t="shared" si="40"/>
        <v>0</v>
      </c>
      <c r="X174" s="51" t="e">
        <f>VLOOKUP(W174,送料!$J$3:$K$42,2,FALSE)</f>
        <v>#N/A</v>
      </c>
      <c r="Y174" s="51" t="e">
        <f>VLOOKUP(X174,送料!$A$1:$B$40,2,FALSE)</f>
        <v>#N/A</v>
      </c>
      <c r="Z174" s="59">
        <f t="shared" si="41"/>
        <v>0</v>
      </c>
      <c r="AA174" s="62">
        <f t="shared" si="42"/>
        <v>4.5</v>
      </c>
      <c r="AB174" s="62">
        <f t="shared" si="43"/>
        <v>0</v>
      </c>
      <c r="AC174" s="65" t="e">
        <f t="shared" si="46"/>
        <v>#N/A</v>
      </c>
      <c r="AD174" s="65">
        <f t="shared" si="44"/>
        <v>0</v>
      </c>
      <c r="AE174" s="66" t="e">
        <f t="shared" si="45"/>
        <v>#N/A</v>
      </c>
    </row>
    <row r="175" spans="1:31">
      <c r="A175" s="105" t="s">
        <v>358</v>
      </c>
      <c r="B175" s="232">
        <f>【２】結果!R11</f>
        <v>0</v>
      </c>
      <c r="C175" s="115"/>
      <c r="D175" s="55"/>
      <c r="E175" s="45"/>
      <c r="F175" s="21"/>
      <c r="G175" s="21"/>
      <c r="H175" s="42"/>
      <c r="I175" s="42"/>
      <c r="J175" s="42"/>
      <c r="K175" s="42"/>
      <c r="L175" s="42"/>
      <c r="M175" s="31"/>
      <c r="N175" s="108"/>
      <c r="O175" s="30"/>
      <c r="P175" s="30"/>
      <c r="Q175" s="30"/>
      <c r="R175" s="30"/>
      <c r="S175" s="30"/>
      <c r="T175" s="53">
        <f t="shared" si="37"/>
        <v>0</v>
      </c>
      <c r="U175" s="53">
        <f t="shared" si="38"/>
        <v>0</v>
      </c>
      <c r="V175" s="53">
        <f t="shared" si="39"/>
        <v>0</v>
      </c>
      <c r="W175" s="54">
        <f t="shared" si="40"/>
        <v>0</v>
      </c>
      <c r="X175" s="51" t="e">
        <f>VLOOKUP(W175,送料!$J$3:$K$42,2,FALSE)</f>
        <v>#N/A</v>
      </c>
      <c r="Y175" s="51" t="e">
        <f>VLOOKUP(X175,送料!$A$1:$B$40,2,FALSE)</f>
        <v>#N/A</v>
      </c>
      <c r="Z175" s="59">
        <f t="shared" si="41"/>
        <v>0</v>
      </c>
      <c r="AA175" s="62">
        <f t="shared" si="42"/>
        <v>4.5</v>
      </c>
      <c r="AB175" s="62">
        <f t="shared" si="43"/>
        <v>0</v>
      </c>
      <c r="AC175" s="65" t="e">
        <f t="shared" si="46"/>
        <v>#N/A</v>
      </c>
      <c r="AD175" s="65">
        <f t="shared" si="44"/>
        <v>0</v>
      </c>
      <c r="AE175" s="66" t="e">
        <f t="shared" si="45"/>
        <v>#N/A</v>
      </c>
    </row>
    <row r="176" spans="1:31">
      <c r="A176" s="105" t="s">
        <v>359</v>
      </c>
      <c r="B176" s="232">
        <f>【２】結果!S11</f>
        <v>0</v>
      </c>
      <c r="C176" s="115"/>
      <c r="D176" s="55"/>
      <c r="E176" s="45"/>
      <c r="F176" s="21"/>
      <c r="G176" s="21"/>
      <c r="H176" s="42"/>
      <c r="I176" s="42"/>
      <c r="J176" s="42"/>
      <c r="K176" s="42"/>
      <c r="L176" s="42"/>
      <c r="M176" s="31"/>
      <c r="N176" s="108"/>
      <c r="O176" s="30"/>
      <c r="P176" s="30"/>
      <c r="Q176" s="30"/>
      <c r="R176" s="30"/>
      <c r="S176" s="30"/>
      <c r="T176" s="53">
        <f t="shared" si="37"/>
        <v>0</v>
      </c>
      <c r="U176" s="53">
        <f t="shared" si="38"/>
        <v>0</v>
      </c>
      <c r="V176" s="53">
        <f t="shared" si="39"/>
        <v>0</v>
      </c>
      <c r="W176" s="54">
        <f t="shared" si="40"/>
        <v>0</v>
      </c>
      <c r="X176" s="51" t="e">
        <f>VLOOKUP(W176,送料!$J$3:$K$42,2,FALSE)</f>
        <v>#N/A</v>
      </c>
      <c r="Y176" s="51" t="e">
        <f>VLOOKUP(X176,送料!$A$1:$B$40,2,FALSE)</f>
        <v>#N/A</v>
      </c>
      <c r="Z176" s="59">
        <f t="shared" si="41"/>
        <v>0</v>
      </c>
      <c r="AA176" s="62">
        <f t="shared" si="42"/>
        <v>4.5</v>
      </c>
      <c r="AB176" s="62">
        <f t="shared" si="43"/>
        <v>0</v>
      </c>
      <c r="AC176" s="65" t="e">
        <f t="shared" si="46"/>
        <v>#N/A</v>
      </c>
      <c r="AD176" s="65">
        <f t="shared" si="44"/>
        <v>0</v>
      </c>
      <c r="AE176" s="66" t="e">
        <f t="shared" si="45"/>
        <v>#N/A</v>
      </c>
    </row>
    <row r="177" spans="1:31">
      <c r="A177" s="105" t="s">
        <v>360</v>
      </c>
      <c r="B177" s="232">
        <f>【２】結果!T11</f>
        <v>0</v>
      </c>
      <c r="C177" s="115"/>
      <c r="D177" s="55"/>
      <c r="E177" s="45"/>
      <c r="F177" s="21"/>
      <c r="G177" s="21"/>
      <c r="H177" s="42"/>
      <c r="I177" s="42"/>
      <c r="J177" s="42"/>
      <c r="K177" s="42"/>
      <c r="L177" s="42"/>
      <c r="M177" s="31"/>
      <c r="N177" s="108"/>
      <c r="O177" s="30"/>
      <c r="P177" s="30"/>
      <c r="Q177" s="30"/>
      <c r="R177" s="30"/>
      <c r="S177" s="30"/>
      <c r="T177" s="53">
        <f t="shared" si="37"/>
        <v>0</v>
      </c>
      <c r="U177" s="53">
        <f t="shared" si="38"/>
        <v>0</v>
      </c>
      <c r="V177" s="53">
        <f t="shared" si="39"/>
        <v>0</v>
      </c>
      <c r="W177" s="54">
        <f t="shared" si="40"/>
        <v>0</v>
      </c>
      <c r="X177" s="51" t="e">
        <f>VLOOKUP(W177,送料!$J$3:$K$42,2,FALSE)</f>
        <v>#N/A</v>
      </c>
      <c r="Y177" s="51" t="e">
        <f>VLOOKUP(X177,送料!$A$1:$B$40,2,FALSE)</f>
        <v>#N/A</v>
      </c>
      <c r="Z177" s="59">
        <f t="shared" si="41"/>
        <v>0</v>
      </c>
      <c r="AA177" s="62">
        <f t="shared" si="42"/>
        <v>4.5</v>
      </c>
      <c r="AB177" s="62">
        <f t="shared" si="43"/>
        <v>0</v>
      </c>
      <c r="AC177" s="65" t="e">
        <f t="shared" si="46"/>
        <v>#N/A</v>
      </c>
      <c r="AD177" s="65">
        <f t="shared" si="44"/>
        <v>0</v>
      </c>
      <c r="AE177" s="66" t="e">
        <f t="shared" si="45"/>
        <v>#N/A</v>
      </c>
    </row>
    <row r="178" spans="1:31">
      <c r="A178" s="105" t="s">
        <v>361</v>
      </c>
      <c r="B178" s="232">
        <f>【２】結果!U11</f>
        <v>0</v>
      </c>
      <c r="C178" s="115"/>
      <c r="D178" s="55"/>
      <c r="E178" s="45"/>
      <c r="F178" s="21"/>
      <c r="G178" s="21"/>
      <c r="H178" s="42"/>
      <c r="I178" s="42"/>
      <c r="J178" s="42"/>
      <c r="K178" s="42"/>
      <c r="L178" s="42"/>
      <c r="M178" s="31"/>
      <c r="N178" s="108"/>
      <c r="O178" s="30"/>
      <c r="P178" s="30"/>
      <c r="Q178" s="30"/>
      <c r="R178" s="30"/>
      <c r="S178" s="30"/>
      <c r="T178" s="53">
        <f t="shared" ref="T178:T241" si="47">O178</f>
        <v>0</v>
      </c>
      <c r="U178" s="53">
        <f t="shared" ref="U178:U241" si="48">(P178*Q178*R178)/5000</f>
        <v>0</v>
      </c>
      <c r="V178" s="53">
        <f t="shared" ref="V178:V241" si="49">MAX(T178,U178)</f>
        <v>0</v>
      </c>
      <c r="W178" s="54">
        <f t="shared" ref="W178:W241" si="50">CEILING(ROUNDDOWN(V178,2),0.5)</f>
        <v>0</v>
      </c>
      <c r="X178" s="51" t="e">
        <f>VLOOKUP(W178,送料!$J$3:$K$42,2,FALSE)</f>
        <v>#N/A</v>
      </c>
      <c r="Y178" s="51" t="e">
        <f>VLOOKUP(X178,送料!$A$1:$B$40,2,FALSE)</f>
        <v>#N/A</v>
      </c>
      <c r="Z178" s="59">
        <f t="shared" ref="Z178:Z241" si="51">(N178*S178)*0.16</f>
        <v>0</v>
      </c>
      <c r="AA178" s="62">
        <f t="shared" ref="AA178:AA241" si="52">(N178*0.15)+4.5</f>
        <v>4.5</v>
      </c>
      <c r="AB178" s="62">
        <f t="shared" ref="AB178:AB241" si="53">S178*AA178</f>
        <v>0</v>
      </c>
      <c r="AC178" s="65" t="e">
        <f t="shared" si="46"/>
        <v>#N/A</v>
      </c>
      <c r="AD178" s="65">
        <f t="shared" ref="AD178:AD241" si="54">N178*S178</f>
        <v>0</v>
      </c>
      <c r="AE178" s="66" t="e">
        <f t="shared" ref="AE178:AE241" si="55">AD178-AC178</f>
        <v>#N/A</v>
      </c>
    </row>
    <row r="179" spans="1:31">
      <c r="A179" s="105" t="s">
        <v>362</v>
      </c>
      <c r="B179" s="232">
        <f>【２】結果!V11</f>
        <v>0</v>
      </c>
      <c r="C179" s="115"/>
      <c r="D179" s="55"/>
      <c r="E179" s="45"/>
      <c r="F179" s="21"/>
      <c r="G179" s="21"/>
      <c r="H179" s="42"/>
      <c r="I179" s="42"/>
      <c r="J179" s="42"/>
      <c r="K179" s="42"/>
      <c r="L179" s="42"/>
      <c r="M179" s="31"/>
      <c r="N179" s="108"/>
      <c r="O179" s="30"/>
      <c r="P179" s="30"/>
      <c r="Q179" s="30"/>
      <c r="R179" s="30"/>
      <c r="S179" s="30"/>
      <c r="T179" s="53">
        <f t="shared" si="47"/>
        <v>0</v>
      </c>
      <c r="U179" s="53">
        <f t="shared" si="48"/>
        <v>0</v>
      </c>
      <c r="V179" s="53">
        <f t="shared" si="49"/>
        <v>0</v>
      </c>
      <c r="W179" s="54">
        <f t="shared" si="50"/>
        <v>0</v>
      </c>
      <c r="X179" s="51" t="e">
        <f>VLOOKUP(W179,送料!$J$3:$K$42,2,FALSE)</f>
        <v>#N/A</v>
      </c>
      <c r="Y179" s="51" t="e">
        <f>VLOOKUP(X179,送料!$A$1:$B$40,2,FALSE)</f>
        <v>#N/A</v>
      </c>
      <c r="Z179" s="59">
        <f t="shared" si="51"/>
        <v>0</v>
      </c>
      <c r="AA179" s="62">
        <f t="shared" si="52"/>
        <v>4.5</v>
      </c>
      <c r="AB179" s="62">
        <f t="shared" si="53"/>
        <v>0</v>
      </c>
      <c r="AC179" s="65" t="e">
        <f t="shared" si="46"/>
        <v>#N/A</v>
      </c>
      <c r="AD179" s="65">
        <f t="shared" si="54"/>
        <v>0</v>
      </c>
      <c r="AE179" s="66" t="e">
        <f t="shared" si="55"/>
        <v>#N/A</v>
      </c>
    </row>
    <row r="180" spans="1:31">
      <c r="A180" s="105" t="s">
        <v>363</v>
      </c>
      <c r="B180" s="232">
        <f>【２】結果!W11</f>
        <v>0</v>
      </c>
      <c r="C180" s="115"/>
      <c r="D180" s="55"/>
      <c r="E180" s="45"/>
      <c r="F180" s="21"/>
      <c r="G180" s="21"/>
      <c r="H180" s="42"/>
      <c r="I180" s="42"/>
      <c r="J180" s="42"/>
      <c r="K180" s="42"/>
      <c r="L180" s="42"/>
      <c r="M180" s="31"/>
      <c r="N180" s="108"/>
      <c r="O180" s="30"/>
      <c r="P180" s="30"/>
      <c r="Q180" s="30"/>
      <c r="R180" s="30"/>
      <c r="S180" s="30"/>
      <c r="T180" s="53">
        <f t="shared" si="47"/>
        <v>0</v>
      </c>
      <c r="U180" s="53">
        <f t="shared" si="48"/>
        <v>0</v>
      </c>
      <c r="V180" s="53">
        <f t="shared" si="49"/>
        <v>0</v>
      </c>
      <c r="W180" s="54">
        <f t="shared" si="50"/>
        <v>0</v>
      </c>
      <c r="X180" s="51" t="e">
        <f>VLOOKUP(W180,送料!$J$3:$K$42,2,FALSE)</f>
        <v>#N/A</v>
      </c>
      <c r="Y180" s="51" t="e">
        <f>VLOOKUP(X180,送料!$A$1:$B$40,2,FALSE)</f>
        <v>#N/A</v>
      </c>
      <c r="Z180" s="59">
        <f t="shared" si="51"/>
        <v>0</v>
      </c>
      <c r="AA180" s="62">
        <f t="shared" si="52"/>
        <v>4.5</v>
      </c>
      <c r="AB180" s="62">
        <f t="shared" si="53"/>
        <v>0</v>
      </c>
      <c r="AC180" s="65" t="e">
        <f t="shared" si="46"/>
        <v>#N/A</v>
      </c>
      <c r="AD180" s="65">
        <f t="shared" si="54"/>
        <v>0</v>
      </c>
      <c r="AE180" s="66" t="e">
        <f t="shared" si="55"/>
        <v>#N/A</v>
      </c>
    </row>
    <row r="181" spans="1:31">
      <c r="A181" s="105" t="s">
        <v>364</v>
      </c>
      <c r="B181" s="232">
        <f>【２】結果!X11</f>
        <v>0</v>
      </c>
      <c r="C181" s="115"/>
      <c r="D181" s="55"/>
      <c r="E181" s="45"/>
      <c r="F181" s="21"/>
      <c r="G181" s="21"/>
      <c r="H181" s="42"/>
      <c r="I181" s="42"/>
      <c r="J181" s="42"/>
      <c r="K181" s="42"/>
      <c r="L181" s="42"/>
      <c r="M181" s="31"/>
      <c r="N181" s="108"/>
      <c r="O181" s="30"/>
      <c r="P181" s="30"/>
      <c r="Q181" s="30"/>
      <c r="R181" s="30"/>
      <c r="S181" s="30"/>
      <c r="T181" s="53">
        <f t="shared" si="47"/>
        <v>0</v>
      </c>
      <c r="U181" s="53">
        <f t="shared" si="48"/>
        <v>0</v>
      </c>
      <c r="V181" s="53">
        <f t="shared" si="49"/>
        <v>0</v>
      </c>
      <c r="W181" s="54">
        <f t="shared" si="50"/>
        <v>0</v>
      </c>
      <c r="X181" s="51" t="e">
        <f>VLOOKUP(W181,送料!$J$3:$K$42,2,FALSE)</f>
        <v>#N/A</v>
      </c>
      <c r="Y181" s="51" t="e">
        <f>VLOOKUP(X181,送料!$A$1:$B$40,2,FALSE)</f>
        <v>#N/A</v>
      </c>
      <c r="Z181" s="59">
        <f t="shared" si="51"/>
        <v>0</v>
      </c>
      <c r="AA181" s="62">
        <f t="shared" si="52"/>
        <v>4.5</v>
      </c>
      <c r="AB181" s="62">
        <f t="shared" si="53"/>
        <v>0</v>
      </c>
      <c r="AC181" s="65" t="e">
        <f t="shared" si="46"/>
        <v>#N/A</v>
      </c>
      <c r="AD181" s="65">
        <f t="shared" si="54"/>
        <v>0</v>
      </c>
      <c r="AE181" s="66" t="e">
        <f t="shared" si="55"/>
        <v>#N/A</v>
      </c>
    </row>
    <row r="182" spans="1:31">
      <c r="A182" s="105" t="s">
        <v>365</v>
      </c>
      <c r="B182" s="232">
        <f>【２】結果!E12</f>
        <v>0</v>
      </c>
      <c r="C182" s="115"/>
      <c r="D182" s="55"/>
      <c r="E182" s="45"/>
      <c r="F182" s="21"/>
      <c r="G182" s="21"/>
      <c r="H182" s="42"/>
      <c r="I182" s="42"/>
      <c r="J182" s="42"/>
      <c r="K182" s="42"/>
      <c r="L182" s="42"/>
      <c r="M182" s="31"/>
      <c r="N182" s="108"/>
      <c r="O182" s="30"/>
      <c r="P182" s="30"/>
      <c r="Q182" s="30"/>
      <c r="R182" s="30"/>
      <c r="S182" s="30"/>
      <c r="T182" s="53">
        <f t="shared" si="47"/>
        <v>0</v>
      </c>
      <c r="U182" s="53">
        <f t="shared" si="48"/>
        <v>0</v>
      </c>
      <c r="V182" s="53">
        <f t="shared" si="49"/>
        <v>0</v>
      </c>
      <c r="W182" s="54">
        <f t="shared" si="50"/>
        <v>0</v>
      </c>
      <c r="X182" s="51" t="e">
        <f>VLOOKUP(W182,送料!$J$3:$K$42,2,FALSE)</f>
        <v>#N/A</v>
      </c>
      <c r="Y182" s="51" t="e">
        <f>VLOOKUP(X182,送料!$A$1:$B$40,2,FALSE)</f>
        <v>#N/A</v>
      </c>
      <c r="Z182" s="59">
        <f t="shared" si="51"/>
        <v>0</v>
      </c>
      <c r="AA182" s="62">
        <f t="shared" si="52"/>
        <v>4.5</v>
      </c>
      <c r="AB182" s="62">
        <f t="shared" si="53"/>
        <v>0</v>
      </c>
      <c r="AC182" s="65" t="e">
        <f t="shared" si="46"/>
        <v>#N/A</v>
      </c>
      <c r="AD182" s="65">
        <f t="shared" si="54"/>
        <v>0</v>
      </c>
      <c r="AE182" s="66" t="e">
        <f t="shared" si="55"/>
        <v>#N/A</v>
      </c>
    </row>
    <row r="183" spans="1:31">
      <c r="A183" s="105" t="s">
        <v>366</v>
      </c>
      <c r="B183" s="232">
        <f>【２】結果!F12</f>
        <v>0</v>
      </c>
      <c r="C183" s="115"/>
      <c r="D183" s="55"/>
      <c r="E183" s="45"/>
      <c r="F183" s="21"/>
      <c r="G183" s="21"/>
      <c r="H183" s="42"/>
      <c r="I183" s="42"/>
      <c r="J183" s="42"/>
      <c r="K183" s="42"/>
      <c r="L183" s="42"/>
      <c r="M183" s="31"/>
      <c r="N183" s="108"/>
      <c r="O183" s="30"/>
      <c r="P183" s="30"/>
      <c r="Q183" s="30"/>
      <c r="R183" s="30"/>
      <c r="S183" s="30"/>
      <c r="T183" s="53">
        <f t="shared" si="47"/>
        <v>0</v>
      </c>
      <c r="U183" s="53">
        <f t="shared" si="48"/>
        <v>0</v>
      </c>
      <c r="V183" s="53">
        <f t="shared" si="49"/>
        <v>0</v>
      </c>
      <c r="W183" s="54">
        <f t="shared" si="50"/>
        <v>0</v>
      </c>
      <c r="X183" s="51" t="e">
        <f>VLOOKUP(W183,送料!$J$3:$K$42,2,FALSE)</f>
        <v>#N/A</v>
      </c>
      <c r="Y183" s="51" t="e">
        <f>VLOOKUP(X183,送料!$A$1:$B$40,2,FALSE)</f>
        <v>#N/A</v>
      </c>
      <c r="Z183" s="59">
        <f t="shared" si="51"/>
        <v>0</v>
      </c>
      <c r="AA183" s="62">
        <f t="shared" si="52"/>
        <v>4.5</v>
      </c>
      <c r="AB183" s="62">
        <f t="shared" si="53"/>
        <v>0</v>
      </c>
      <c r="AC183" s="65" t="e">
        <f t="shared" si="46"/>
        <v>#N/A</v>
      </c>
      <c r="AD183" s="65">
        <f t="shared" si="54"/>
        <v>0</v>
      </c>
      <c r="AE183" s="66" t="e">
        <f t="shared" si="55"/>
        <v>#N/A</v>
      </c>
    </row>
    <row r="184" spans="1:31">
      <c r="A184" s="105" t="s">
        <v>367</v>
      </c>
      <c r="B184" s="232">
        <f>【２】結果!G12</f>
        <v>0</v>
      </c>
      <c r="C184" s="115"/>
      <c r="D184" s="55"/>
      <c r="E184" s="45"/>
      <c r="F184" s="21"/>
      <c r="G184" s="21"/>
      <c r="H184" s="42"/>
      <c r="I184" s="42"/>
      <c r="J184" s="42"/>
      <c r="K184" s="42"/>
      <c r="L184" s="42"/>
      <c r="M184" s="31"/>
      <c r="N184" s="108"/>
      <c r="O184" s="30"/>
      <c r="P184" s="30"/>
      <c r="Q184" s="30"/>
      <c r="R184" s="30"/>
      <c r="S184" s="30"/>
      <c r="T184" s="53">
        <f t="shared" si="47"/>
        <v>0</v>
      </c>
      <c r="U184" s="53">
        <f t="shared" si="48"/>
        <v>0</v>
      </c>
      <c r="V184" s="53">
        <f t="shared" si="49"/>
        <v>0</v>
      </c>
      <c r="W184" s="54">
        <f t="shared" si="50"/>
        <v>0</v>
      </c>
      <c r="X184" s="51" t="e">
        <f>VLOOKUP(W184,送料!$J$3:$K$42,2,FALSE)</f>
        <v>#N/A</v>
      </c>
      <c r="Y184" s="51" t="e">
        <f>VLOOKUP(X184,送料!$A$1:$B$40,2,FALSE)</f>
        <v>#N/A</v>
      </c>
      <c r="Z184" s="59">
        <f t="shared" si="51"/>
        <v>0</v>
      </c>
      <c r="AA184" s="62">
        <f t="shared" si="52"/>
        <v>4.5</v>
      </c>
      <c r="AB184" s="62">
        <f t="shared" si="53"/>
        <v>0</v>
      </c>
      <c r="AC184" s="65" t="e">
        <f t="shared" si="46"/>
        <v>#N/A</v>
      </c>
      <c r="AD184" s="65">
        <f t="shared" si="54"/>
        <v>0</v>
      </c>
      <c r="AE184" s="66" t="e">
        <f t="shared" si="55"/>
        <v>#N/A</v>
      </c>
    </row>
    <row r="185" spans="1:31">
      <c r="A185" s="105" t="s">
        <v>368</v>
      </c>
      <c r="B185" s="232">
        <f>【２】結果!H12</f>
        <v>0</v>
      </c>
      <c r="C185" s="115"/>
      <c r="D185" s="55"/>
      <c r="E185" s="45"/>
      <c r="F185" s="21"/>
      <c r="G185" s="21"/>
      <c r="H185" s="42"/>
      <c r="I185" s="42"/>
      <c r="J185" s="42"/>
      <c r="K185" s="42"/>
      <c r="L185" s="42"/>
      <c r="M185" s="31"/>
      <c r="N185" s="108"/>
      <c r="O185" s="30"/>
      <c r="P185" s="30"/>
      <c r="Q185" s="30"/>
      <c r="R185" s="30"/>
      <c r="S185" s="30"/>
      <c r="T185" s="53">
        <f t="shared" si="47"/>
        <v>0</v>
      </c>
      <c r="U185" s="53">
        <f t="shared" si="48"/>
        <v>0</v>
      </c>
      <c r="V185" s="53">
        <f t="shared" si="49"/>
        <v>0</v>
      </c>
      <c r="W185" s="54">
        <f t="shared" si="50"/>
        <v>0</v>
      </c>
      <c r="X185" s="51" t="e">
        <f>VLOOKUP(W185,送料!$J$3:$K$42,2,FALSE)</f>
        <v>#N/A</v>
      </c>
      <c r="Y185" s="51" t="e">
        <f>VLOOKUP(X185,送料!$A$1:$B$40,2,FALSE)</f>
        <v>#N/A</v>
      </c>
      <c r="Z185" s="59">
        <f t="shared" si="51"/>
        <v>0</v>
      </c>
      <c r="AA185" s="62">
        <f t="shared" si="52"/>
        <v>4.5</v>
      </c>
      <c r="AB185" s="62">
        <f t="shared" si="53"/>
        <v>0</v>
      </c>
      <c r="AC185" s="65" t="e">
        <f t="shared" si="46"/>
        <v>#N/A</v>
      </c>
      <c r="AD185" s="65">
        <f t="shared" si="54"/>
        <v>0</v>
      </c>
      <c r="AE185" s="66" t="e">
        <f t="shared" si="55"/>
        <v>#N/A</v>
      </c>
    </row>
    <row r="186" spans="1:31">
      <c r="A186" s="105" t="s">
        <v>369</v>
      </c>
      <c r="B186" s="232">
        <f>【２】結果!I12</f>
        <v>0</v>
      </c>
      <c r="C186" s="115"/>
      <c r="D186" s="55"/>
      <c r="E186" s="45"/>
      <c r="F186" s="21"/>
      <c r="G186" s="21"/>
      <c r="H186" s="42"/>
      <c r="I186" s="42"/>
      <c r="J186" s="42"/>
      <c r="K186" s="42"/>
      <c r="L186" s="42"/>
      <c r="M186" s="31"/>
      <c r="N186" s="108"/>
      <c r="O186" s="30"/>
      <c r="P186" s="30"/>
      <c r="Q186" s="30"/>
      <c r="R186" s="30"/>
      <c r="S186" s="30"/>
      <c r="T186" s="53">
        <f t="shared" si="47"/>
        <v>0</v>
      </c>
      <c r="U186" s="53">
        <f t="shared" si="48"/>
        <v>0</v>
      </c>
      <c r="V186" s="53">
        <f t="shared" si="49"/>
        <v>0</v>
      </c>
      <c r="W186" s="54">
        <f t="shared" si="50"/>
        <v>0</v>
      </c>
      <c r="X186" s="51" t="e">
        <f>VLOOKUP(W186,送料!$J$3:$K$42,2,FALSE)</f>
        <v>#N/A</v>
      </c>
      <c r="Y186" s="51" t="e">
        <f>VLOOKUP(X186,送料!$A$1:$B$40,2,FALSE)</f>
        <v>#N/A</v>
      </c>
      <c r="Z186" s="59">
        <f t="shared" si="51"/>
        <v>0</v>
      </c>
      <c r="AA186" s="62">
        <f t="shared" si="52"/>
        <v>4.5</v>
      </c>
      <c r="AB186" s="62">
        <f t="shared" si="53"/>
        <v>0</v>
      </c>
      <c r="AC186" s="65" t="e">
        <f t="shared" si="46"/>
        <v>#N/A</v>
      </c>
      <c r="AD186" s="65">
        <f t="shared" si="54"/>
        <v>0</v>
      </c>
      <c r="AE186" s="66" t="e">
        <f t="shared" si="55"/>
        <v>#N/A</v>
      </c>
    </row>
    <row r="187" spans="1:31">
      <c r="A187" s="105" t="s">
        <v>370</v>
      </c>
      <c r="B187" s="232">
        <f>【２】結果!J12</f>
        <v>0</v>
      </c>
      <c r="C187" s="115"/>
      <c r="D187" s="55"/>
      <c r="E187" s="45"/>
      <c r="F187" s="21"/>
      <c r="G187" s="21"/>
      <c r="H187" s="42"/>
      <c r="I187" s="42"/>
      <c r="J187" s="42"/>
      <c r="K187" s="42"/>
      <c r="L187" s="42"/>
      <c r="M187" s="31"/>
      <c r="N187" s="108"/>
      <c r="O187" s="30"/>
      <c r="P187" s="30"/>
      <c r="Q187" s="30"/>
      <c r="R187" s="30"/>
      <c r="S187" s="30"/>
      <c r="T187" s="53">
        <f t="shared" si="47"/>
        <v>0</v>
      </c>
      <c r="U187" s="53">
        <f t="shared" si="48"/>
        <v>0</v>
      </c>
      <c r="V187" s="53">
        <f t="shared" si="49"/>
        <v>0</v>
      </c>
      <c r="W187" s="54">
        <f t="shared" si="50"/>
        <v>0</v>
      </c>
      <c r="X187" s="51" t="e">
        <f>VLOOKUP(W187,送料!$J$3:$K$42,2,FALSE)</f>
        <v>#N/A</v>
      </c>
      <c r="Y187" s="51" t="e">
        <f>VLOOKUP(X187,送料!$A$1:$B$40,2,FALSE)</f>
        <v>#N/A</v>
      </c>
      <c r="Z187" s="59">
        <f t="shared" si="51"/>
        <v>0</v>
      </c>
      <c r="AA187" s="62">
        <f t="shared" si="52"/>
        <v>4.5</v>
      </c>
      <c r="AB187" s="62">
        <f t="shared" si="53"/>
        <v>0</v>
      </c>
      <c r="AC187" s="65" t="e">
        <f t="shared" si="46"/>
        <v>#N/A</v>
      </c>
      <c r="AD187" s="65">
        <f t="shared" si="54"/>
        <v>0</v>
      </c>
      <c r="AE187" s="66" t="e">
        <f t="shared" si="55"/>
        <v>#N/A</v>
      </c>
    </row>
    <row r="188" spans="1:31">
      <c r="A188" s="105" t="s">
        <v>371</v>
      </c>
      <c r="B188" s="232">
        <f>【２】結果!K12</f>
        <v>0</v>
      </c>
      <c r="C188" s="115"/>
      <c r="D188" s="55"/>
      <c r="E188" s="45"/>
      <c r="F188" s="21"/>
      <c r="G188" s="21"/>
      <c r="H188" s="42"/>
      <c r="I188" s="42"/>
      <c r="J188" s="42"/>
      <c r="K188" s="42"/>
      <c r="L188" s="42"/>
      <c r="M188" s="31"/>
      <c r="N188" s="108"/>
      <c r="O188" s="30"/>
      <c r="P188" s="30"/>
      <c r="Q188" s="30"/>
      <c r="R188" s="30"/>
      <c r="S188" s="30"/>
      <c r="T188" s="53">
        <f t="shared" si="47"/>
        <v>0</v>
      </c>
      <c r="U188" s="53">
        <f t="shared" si="48"/>
        <v>0</v>
      </c>
      <c r="V188" s="53">
        <f t="shared" si="49"/>
        <v>0</v>
      </c>
      <c r="W188" s="54">
        <f t="shared" si="50"/>
        <v>0</v>
      </c>
      <c r="X188" s="51" t="e">
        <f>VLOOKUP(W188,送料!$J$3:$K$42,2,FALSE)</f>
        <v>#N/A</v>
      </c>
      <c r="Y188" s="51" t="e">
        <f>VLOOKUP(X188,送料!$A$1:$B$40,2,FALSE)</f>
        <v>#N/A</v>
      </c>
      <c r="Z188" s="59">
        <f t="shared" si="51"/>
        <v>0</v>
      </c>
      <c r="AA188" s="62">
        <f t="shared" si="52"/>
        <v>4.5</v>
      </c>
      <c r="AB188" s="62">
        <f t="shared" si="53"/>
        <v>0</v>
      </c>
      <c r="AC188" s="65" t="e">
        <f t="shared" si="46"/>
        <v>#N/A</v>
      </c>
      <c r="AD188" s="65">
        <f t="shared" si="54"/>
        <v>0</v>
      </c>
      <c r="AE188" s="66" t="e">
        <f t="shared" si="55"/>
        <v>#N/A</v>
      </c>
    </row>
    <row r="189" spans="1:31">
      <c r="A189" s="105" t="s">
        <v>372</v>
      </c>
      <c r="B189" s="232">
        <f>【２】結果!L12</f>
        <v>0</v>
      </c>
      <c r="C189" s="115"/>
      <c r="D189" s="55"/>
      <c r="E189" s="45"/>
      <c r="F189" s="21"/>
      <c r="G189" s="21"/>
      <c r="H189" s="42"/>
      <c r="I189" s="42"/>
      <c r="J189" s="42"/>
      <c r="K189" s="42"/>
      <c r="L189" s="42"/>
      <c r="M189" s="31"/>
      <c r="N189" s="108"/>
      <c r="O189" s="30"/>
      <c r="P189" s="30"/>
      <c r="Q189" s="30"/>
      <c r="R189" s="30"/>
      <c r="S189" s="30"/>
      <c r="T189" s="53">
        <f t="shared" si="47"/>
        <v>0</v>
      </c>
      <c r="U189" s="53">
        <f t="shared" si="48"/>
        <v>0</v>
      </c>
      <c r="V189" s="53">
        <f t="shared" si="49"/>
        <v>0</v>
      </c>
      <c r="W189" s="54">
        <f t="shared" si="50"/>
        <v>0</v>
      </c>
      <c r="X189" s="51" t="e">
        <f>VLOOKUP(W189,送料!$J$3:$K$42,2,FALSE)</f>
        <v>#N/A</v>
      </c>
      <c r="Y189" s="51" t="e">
        <f>VLOOKUP(X189,送料!$A$1:$B$40,2,FALSE)</f>
        <v>#N/A</v>
      </c>
      <c r="Z189" s="59">
        <f t="shared" si="51"/>
        <v>0</v>
      </c>
      <c r="AA189" s="62">
        <f t="shared" si="52"/>
        <v>4.5</v>
      </c>
      <c r="AB189" s="62">
        <f t="shared" si="53"/>
        <v>0</v>
      </c>
      <c r="AC189" s="65" t="e">
        <f t="shared" si="46"/>
        <v>#N/A</v>
      </c>
      <c r="AD189" s="65">
        <f t="shared" si="54"/>
        <v>0</v>
      </c>
      <c r="AE189" s="66" t="e">
        <f t="shared" si="55"/>
        <v>#N/A</v>
      </c>
    </row>
    <row r="190" spans="1:31">
      <c r="A190" s="105" t="s">
        <v>373</v>
      </c>
      <c r="B190" s="232">
        <f>【２】結果!M12</f>
        <v>0</v>
      </c>
      <c r="C190" s="115"/>
      <c r="D190" s="55"/>
      <c r="E190" s="45"/>
      <c r="F190" s="21"/>
      <c r="G190" s="21"/>
      <c r="H190" s="42"/>
      <c r="I190" s="42"/>
      <c r="J190" s="42"/>
      <c r="K190" s="42"/>
      <c r="L190" s="42"/>
      <c r="M190" s="31"/>
      <c r="N190" s="108"/>
      <c r="O190" s="30"/>
      <c r="P190" s="30"/>
      <c r="Q190" s="30"/>
      <c r="R190" s="30"/>
      <c r="S190" s="30"/>
      <c r="T190" s="53">
        <f t="shared" si="47"/>
        <v>0</v>
      </c>
      <c r="U190" s="53">
        <f t="shared" si="48"/>
        <v>0</v>
      </c>
      <c r="V190" s="53">
        <f t="shared" si="49"/>
        <v>0</v>
      </c>
      <c r="W190" s="54">
        <f t="shared" si="50"/>
        <v>0</v>
      </c>
      <c r="X190" s="51" t="e">
        <f>VLOOKUP(W190,送料!$J$3:$K$42,2,FALSE)</f>
        <v>#N/A</v>
      </c>
      <c r="Y190" s="51" t="e">
        <f>VLOOKUP(X190,送料!$A$1:$B$40,2,FALSE)</f>
        <v>#N/A</v>
      </c>
      <c r="Z190" s="59">
        <f t="shared" si="51"/>
        <v>0</v>
      </c>
      <c r="AA190" s="62">
        <f t="shared" si="52"/>
        <v>4.5</v>
      </c>
      <c r="AB190" s="62">
        <f t="shared" si="53"/>
        <v>0</v>
      </c>
      <c r="AC190" s="65" t="e">
        <f t="shared" si="46"/>
        <v>#N/A</v>
      </c>
      <c r="AD190" s="65">
        <f t="shared" si="54"/>
        <v>0</v>
      </c>
      <c r="AE190" s="66" t="e">
        <f t="shared" si="55"/>
        <v>#N/A</v>
      </c>
    </row>
    <row r="191" spans="1:31">
      <c r="A191" s="105" t="s">
        <v>374</v>
      </c>
      <c r="B191" s="232">
        <f>【２】結果!N12</f>
        <v>0</v>
      </c>
      <c r="C191" s="115"/>
      <c r="D191" s="55"/>
      <c r="E191" s="45"/>
      <c r="F191" s="21"/>
      <c r="G191" s="21"/>
      <c r="H191" s="42"/>
      <c r="I191" s="42"/>
      <c r="J191" s="42"/>
      <c r="K191" s="42"/>
      <c r="L191" s="42"/>
      <c r="M191" s="31"/>
      <c r="N191" s="108"/>
      <c r="O191" s="30"/>
      <c r="P191" s="30"/>
      <c r="Q191" s="30"/>
      <c r="R191" s="30"/>
      <c r="S191" s="30"/>
      <c r="T191" s="53">
        <f t="shared" si="47"/>
        <v>0</v>
      </c>
      <c r="U191" s="53">
        <f t="shared" si="48"/>
        <v>0</v>
      </c>
      <c r="V191" s="53">
        <f t="shared" si="49"/>
        <v>0</v>
      </c>
      <c r="W191" s="54">
        <f t="shared" si="50"/>
        <v>0</v>
      </c>
      <c r="X191" s="51" t="e">
        <f>VLOOKUP(W191,送料!$J$3:$K$42,2,FALSE)</f>
        <v>#N/A</v>
      </c>
      <c r="Y191" s="51" t="e">
        <f>VLOOKUP(X191,送料!$A$1:$B$40,2,FALSE)</f>
        <v>#N/A</v>
      </c>
      <c r="Z191" s="59">
        <f t="shared" si="51"/>
        <v>0</v>
      </c>
      <c r="AA191" s="62">
        <f t="shared" si="52"/>
        <v>4.5</v>
      </c>
      <c r="AB191" s="62">
        <f t="shared" si="53"/>
        <v>0</v>
      </c>
      <c r="AC191" s="65" t="e">
        <f t="shared" si="46"/>
        <v>#N/A</v>
      </c>
      <c r="AD191" s="65">
        <f t="shared" si="54"/>
        <v>0</v>
      </c>
      <c r="AE191" s="66" t="e">
        <f t="shared" si="55"/>
        <v>#N/A</v>
      </c>
    </row>
    <row r="192" spans="1:31">
      <c r="A192" s="105" t="s">
        <v>375</v>
      </c>
      <c r="B192" s="232">
        <f>【２】結果!O12</f>
        <v>0</v>
      </c>
      <c r="C192" s="115"/>
      <c r="D192" s="55"/>
      <c r="E192" s="45"/>
      <c r="F192" s="21"/>
      <c r="G192" s="21"/>
      <c r="H192" s="42"/>
      <c r="I192" s="42"/>
      <c r="J192" s="42"/>
      <c r="K192" s="42"/>
      <c r="L192" s="42"/>
      <c r="M192" s="31"/>
      <c r="N192" s="108"/>
      <c r="O192" s="30"/>
      <c r="P192" s="30"/>
      <c r="Q192" s="30"/>
      <c r="R192" s="30"/>
      <c r="S192" s="30"/>
      <c r="T192" s="53">
        <f t="shared" si="47"/>
        <v>0</v>
      </c>
      <c r="U192" s="53">
        <f t="shared" si="48"/>
        <v>0</v>
      </c>
      <c r="V192" s="53">
        <f t="shared" si="49"/>
        <v>0</v>
      </c>
      <c r="W192" s="54">
        <f t="shared" si="50"/>
        <v>0</v>
      </c>
      <c r="X192" s="51" t="e">
        <f>VLOOKUP(W192,送料!$J$3:$K$42,2,FALSE)</f>
        <v>#N/A</v>
      </c>
      <c r="Y192" s="51" t="e">
        <f>VLOOKUP(X192,送料!$A$1:$B$40,2,FALSE)</f>
        <v>#N/A</v>
      </c>
      <c r="Z192" s="59">
        <f t="shared" si="51"/>
        <v>0</v>
      </c>
      <c r="AA192" s="62">
        <f t="shared" si="52"/>
        <v>4.5</v>
      </c>
      <c r="AB192" s="62">
        <f t="shared" si="53"/>
        <v>0</v>
      </c>
      <c r="AC192" s="65" t="e">
        <f t="shared" si="46"/>
        <v>#N/A</v>
      </c>
      <c r="AD192" s="65">
        <f t="shared" si="54"/>
        <v>0</v>
      </c>
      <c r="AE192" s="66" t="e">
        <f t="shared" si="55"/>
        <v>#N/A</v>
      </c>
    </row>
    <row r="193" spans="1:31">
      <c r="A193" s="105" t="s">
        <v>376</v>
      </c>
      <c r="B193" s="232">
        <f>【２】結果!P12</f>
        <v>0</v>
      </c>
      <c r="C193" s="115"/>
      <c r="D193" s="55"/>
      <c r="E193" s="45"/>
      <c r="F193" s="21"/>
      <c r="G193" s="21"/>
      <c r="H193" s="42"/>
      <c r="I193" s="42"/>
      <c r="J193" s="42"/>
      <c r="K193" s="42"/>
      <c r="L193" s="42"/>
      <c r="M193" s="31"/>
      <c r="N193" s="108"/>
      <c r="O193" s="30"/>
      <c r="P193" s="30"/>
      <c r="Q193" s="30"/>
      <c r="R193" s="30"/>
      <c r="S193" s="30"/>
      <c r="T193" s="53">
        <f t="shared" si="47"/>
        <v>0</v>
      </c>
      <c r="U193" s="53">
        <f t="shared" si="48"/>
        <v>0</v>
      </c>
      <c r="V193" s="53">
        <f t="shared" si="49"/>
        <v>0</v>
      </c>
      <c r="W193" s="54">
        <f t="shared" si="50"/>
        <v>0</v>
      </c>
      <c r="X193" s="51" t="e">
        <f>VLOOKUP(W193,送料!$J$3:$K$42,2,FALSE)</f>
        <v>#N/A</v>
      </c>
      <c r="Y193" s="51" t="e">
        <f>VLOOKUP(X193,送料!$A$1:$B$40,2,FALSE)</f>
        <v>#N/A</v>
      </c>
      <c r="Z193" s="59">
        <f t="shared" si="51"/>
        <v>0</v>
      </c>
      <c r="AA193" s="62">
        <f t="shared" si="52"/>
        <v>4.5</v>
      </c>
      <c r="AB193" s="62">
        <f t="shared" si="53"/>
        <v>0</v>
      </c>
      <c r="AC193" s="65" t="e">
        <f t="shared" si="46"/>
        <v>#N/A</v>
      </c>
      <c r="AD193" s="65">
        <f t="shared" si="54"/>
        <v>0</v>
      </c>
      <c r="AE193" s="66" t="e">
        <f t="shared" si="55"/>
        <v>#N/A</v>
      </c>
    </row>
    <row r="194" spans="1:31">
      <c r="A194" s="105" t="s">
        <v>377</v>
      </c>
      <c r="B194" s="232">
        <f>【２】結果!Q12</f>
        <v>0</v>
      </c>
      <c r="C194" s="115"/>
      <c r="D194" s="55"/>
      <c r="E194" s="45"/>
      <c r="F194" s="21"/>
      <c r="G194" s="21"/>
      <c r="H194" s="42"/>
      <c r="I194" s="42"/>
      <c r="J194" s="42"/>
      <c r="K194" s="42"/>
      <c r="L194" s="42"/>
      <c r="M194" s="31"/>
      <c r="N194" s="108"/>
      <c r="O194" s="30"/>
      <c r="P194" s="30"/>
      <c r="Q194" s="30"/>
      <c r="R194" s="30"/>
      <c r="S194" s="30"/>
      <c r="T194" s="53">
        <f t="shared" si="47"/>
        <v>0</v>
      </c>
      <c r="U194" s="53">
        <f t="shared" si="48"/>
        <v>0</v>
      </c>
      <c r="V194" s="53">
        <f t="shared" si="49"/>
        <v>0</v>
      </c>
      <c r="W194" s="54">
        <f t="shared" si="50"/>
        <v>0</v>
      </c>
      <c r="X194" s="51" t="e">
        <f>VLOOKUP(W194,送料!$J$3:$K$42,2,FALSE)</f>
        <v>#N/A</v>
      </c>
      <c r="Y194" s="51" t="e">
        <f>VLOOKUP(X194,送料!$A$1:$B$40,2,FALSE)</f>
        <v>#N/A</v>
      </c>
      <c r="Z194" s="59">
        <f t="shared" si="51"/>
        <v>0</v>
      </c>
      <c r="AA194" s="62">
        <f t="shared" si="52"/>
        <v>4.5</v>
      </c>
      <c r="AB194" s="62">
        <f t="shared" si="53"/>
        <v>0</v>
      </c>
      <c r="AC194" s="65" t="e">
        <f t="shared" ref="AC194:AC257" si="56">Y194+Z194+AB194+D194</f>
        <v>#N/A</v>
      </c>
      <c r="AD194" s="65">
        <f t="shared" si="54"/>
        <v>0</v>
      </c>
      <c r="AE194" s="66" t="e">
        <f t="shared" si="55"/>
        <v>#N/A</v>
      </c>
    </row>
    <row r="195" spans="1:31">
      <c r="A195" s="105" t="s">
        <v>378</v>
      </c>
      <c r="B195" s="232">
        <f>【２】結果!R12</f>
        <v>0</v>
      </c>
      <c r="C195" s="115"/>
      <c r="D195" s="55"/>
      <c r="E195" s="45"/>
      <c r="F195" s="21"/>
      <c r="G195" s="21"/>
      <c r="H195" s="42"/>
      <c r="I195" s="42"/>
      <c r="J195" s="42"/>
      <c r="K195" s="42"/>
      <c r="L195" s="42"/>
      <c r="M195" s="31"/>
      <c r="N195" s="108"/>
      <c r="O195" s="30"/>
      <c r="P195" s="30"/>
      <c r="Q195" s="30"/>
      <c r="R195" s="30"/>
      <c r="S195" s="30"/>
      <c r="T195" s="53">
        <f t="shared" si="47"/>
        <v>0</v>
      </c>
      <c r="U195" s="53">
        <f t="shared" si="48"/>
        <v>0</v>
      </c>
      <c r="V195" s="53">
        <f t="shared" si="49"/>
        <v>0</v>
      </c>
      <c r="W195" s="54">
        <f t="shared" si="50"/>
        <v>0</v>
      </c>
      <c r="X195" s="51" t="e">
        <f>VLOOKUP(W195,送料!$J$3:$K$42,2,FALSE)</f>
        <v>#N/A</v>
      </c>
      <c r="Y195" s="51" t="e">
        <f>VLOOKUP(X195,送料!$A$1:$B$40,2,FALSE)</f>
        <v>#N/A</v>
      </c>
      <c r="Z195" s="59">
        <f t="shared" si="51"/>
        <v>0</v>
      </c>
      <c r="AA195" s="62">
        <f t="shared" si="52"/>
        <v>4.5</v>
      </c>
      <c r="AB195" s="62">
        <f t="shared" si="53"/>
        <v>0</v>
      </c>
      <c r="AC195" s="65" t="e">
        <f t="shared" si="56"/>
        <v>#N/A</v>
      </c>
      <c r="AD195" s="65">
        <f t="shared" si="54"/>
        <v>0</v>
      </c>
      <c r="AE195" s="66" t="e">
        <f t="shared" si="55"/>
        <v>#N/A</v>
      </c>
    </row>
    <row r="196" spans="1:31">
      <c r="A196" s="105" t="s">
        <v>379</v>
      </c>
      <c r="B196" s="232">
        <f>【２】結果!S12</f>
        <v>0</v>
      </c>
      <c r="C196" s="115"/>
      <c r="D196" s="55"/>
      <c r="E196" s="45"/>
      <c r="F196" s="21"/>
      <c r="G196" s="21"/>
      <c r="H196" s="42"/>
      <c r="I196" s="42"/>
      <c r="J196" s="42"/>
      <c r="K196" s="42"/>
      <c r="L196" s="42"/>
      <c r="M196" s="31"/>
      <c r="N196" s="108"/>
      <c r="O196" s="30"/>
      <c r="P196" s="30"/>
      <c r="Q196" s="30"/>
      <c r="R196" s="30"/>
      <c r="S196" s="30"/>
      <c r="T196" s="53">
        <f t="shared" si="47"/>
        <v>0</v>
      </c>
      <c r="U196" s="53">
        <f t="shared" si="48"/>
        <v>0</v>
      </c>
      <c r="V196" s="53">
        <f t="shared" si="49"/>
        <v>0</v>
      </c>
      <c r="W196" s="54">
        <f t="shared" si="50"/>
        <v>0</v>
      </c>
      <c r="X196" s="51" t="e">
        <f>VLOOKUP(W196,送料!$J$3:$K$42,2,FALSE)</f>
        <v>#N/A</v>
      </c>
      <c r="Y196" s="51" t="e">
        <f>VLOOKUP(X196,送料!$A$1:$B$40,2,FALSE)</f>
        <v>#N/A</v>
      </c>
      <c r="Z196" s="59">
        <f t="shared" si="51"/>
        <v>0</v>
      </c>
      <c r="AA196" s="62">
        <f t="shared" si="52"/>
        <v>4.5</v>
      </c>
      <c r="AB196" s="62">
        <f t="shared" si="53"/>
        <v>0</v>
      </c>
      <c r="AC196" s="65" t="e">
        <f t="shared" si="56"/>
        <v>#N/A</v>
      </c>
      <c r="AD196" s="65">
        <f t="shared" si="54"/>
        <v>0</v>
      </c>
      <c r="AE196" s="66" t="e">
        <f t="shared" si="55"/>
        <v>#N/A</v>
      </c>
    </row>
    <row r="197" spans="1:31">
      <c r="A197" s="105" t="s">
        <v>380</v>
      </c>
      <c r="B197" s="232">
        <f>【２】結果!T12</f>
        <v>0</v>
      </c>
      <c r="C197" s="115"/>
      <c r="D197" s="55"/>
      <c r="E197" s="45"/>
      <c r="F197" s="21"/>
      <c r="G197" s="21"/>
      <c r="H197" s="42"/>
      <c r="I197" s="42"/>
      <c r="J197" s="42"/>
      <c r="K197" s="42"/>
      <c r="L197" s="42"/>
      <c r="M197" s="31"/>
      <c r="N197" s="108"/>
      <c r="O197" s="30"/>
      <c r="P197" s="30"/>
      <c r="Q197" s="30"/>
      <c r="R197" s="30"/>
      <c r="S197" s="30"/>
      <c r="T197" s="53">
        <f t="shared" si="47"/>
        <v>0</v>
      </c>
      <c r="U197" s="53">
        <f t="shared" si="48"/>
        <v>0</v>
      </c>
      <c r="V197" s="53">
        <f t="shared" si="49"/>
        <v>0</v>
      </c>
      <c r="W197" s="54">
        <f t="shared" si="50"/>
        <v>0</v>
      </c>
      <c r="X197" s="51" t="e">
        <f>VLOOKUP(W197,送料!$J$3:$K$42,2,FALSE)</f>
        <v>#N/A</v>
      </c>
      <c r="Y197" s="51" t="e">
        <f>VLOOKUP(X197,送料!$A$1:$B$40,2,FALSE)</f>
        <v>#N/A</v>
      </c>
      <c r="Z197" s="59">
        <f t="shared" si="51"/>
        <v>0</v>
      </c>
      <c r="AA197" s="62">
        <f t="shared" si="52"/>
        <v>4.5</v>
      </c>
      <c r="AB197" s="62">
        <f t="shared" si="53"/>
        <v>0</v>
      </c>
      <c r="AC197" s="65" t="e">
        <f t="shared" si="56"/>
        <v>#N/A</v>
      </c>
      <c r="AD197" s="65">
        <f t="shared" si="54"/>
        <v>0</v>
      </c>
      <c r="AE197" s="66" t="e">
        <f t="shared" si="55"/>
        <v>#N/A</v>
      </c>
    </row>
    <row r="198" spans="1:31">
      <c r="A198" s="105" t="s">
        <v>381</v>
      </c>
      <c r="B198" s="232">
        <f>【２】結果!U12</f>
        <v>0</v>
      </c>
      <c r="C198" s="115"/>
      <c r="D198" s="55"/>
      <c r="E198" s="45"/>
      <c r="F198" s="21"/>
      <c r="G198" s="21"/>
      <c r="H198" s="42"/>
      <c r="I198" s="42"/>
      <c r="J198" s="42"/>
      <c r="K198" s="42"/>
      <c r="L198" s="42"/>
      <c r="M198" s="31"/>
      <c r="N198" s="108"/>
      <c r="O198" s="30"/>
      <c r="P198" s="30"/>
      <c r="Q198" s="30"/>
      <c r="R198" s="30"/>
      <c r="S198" s="30"/>
      <c r="T198" s="53">
        <f t="shared" si="47"/>
        <v>0</v>
      </c>
      <c r="U198" s="53">
        <f t="shared" si="48"/>
        <v>0</v>
      </c>
      <c r="V198" s="53">
        <f t="shared" si="49"/>
        <v>0</v>
      </c>
      <c r="W198" s="54">
        <f t="shared" si="50"/>
        <v>0</v>
      </c>
      <c r="X198" s="51" t="e">
        <f>VLOOKUP(W198,送料!$J$3:$K$42,2,FALSE)</f>
        <v>#N/A</v>
      </c>
      <c r="Y198" s="51" t="e">
        <f>VLOOKUP(X198,送料!$A$1:$B$40,2,FALSE)</f>
        <v>#N/A</v>
      </c>
      <c r="Z198" s="59">
        <f t="shared" si="51"/>
        <v>0</v>
      </c>
      <c r="AA198" s="62">
        <f t="shared" si="52"/>
        <v>4.5</v>
      </c>
      <c r="AB198" s="62">
        <f t="shared" si="53"/>
        <v>0</v>
      </c>
      <c r="AC198" s="65" t="e">
        <f t="shared" si="56"/>
        <v>#N/A</v>
      </c>
      <c r="AD198" s="65">
        <f t="shared" si="54"/>
        <v>0</v>
      </c>
      <c r="AE198" s="66" t="e">
        <f t="shared" si="55"/>
        <v>#N/A</v>
      </c>
    </row>
    <row r="199" spans="1:31">
      <c r="A199" s="105" t="s">
        <v>382</v>
      </c>
      <c r="B199" s="232">
        <f>【２】結果!V12</f>
        <v>0</v>
      </c>
      <c r="C199" s="115"/>
      <c r="D199" s="55"/>
      <c r="E199" s="45"/>
      <c r="F199" s="21"/>
      <c r="G199" s="21"/>
      <c r="H199" s="42"/>
      <c r="I199" s="42"/>
      <c r="J199" s="42"/>
      <c r="K199" s="42"/>
      <c r="L199" s="42"/>
      <c r="M199" s="31"/>
      <c r="N199" s="108"/>
      <c r="O199" s="30"/>
      <c r="P199" s="30"/>
      <c r="Q199" s="30"/>
      <c r="R199" s="30"/>
      <c r="S199" s="30"/>
      <c r="T199" s="53">
        <f t="shared" si="47"/>
        <v>0</v>
      </c>
      <c r="U199" s="53">
        <f t="shared" si="48"/>
        <v>0</v>
      </c>
      <c r="V199" s="53">
        <f t="shared" si="49"/>
        <v>0</v>
      </c>
      <c r="W199" s="54">
        <f t="shared" si="50"/>
        <v>0</v>
      </c>
      <c r="X199" s="51" t="e">
        <f>VLOOKUP(W199,送料!$J$3:$K$42,2,FALSE)</f>
        <v>#N/A</v>
      </c>
      <c r="Y199" s="51" t="e">
        <f>VLOOKUP(X199,送料!$A$1:$B$40,2,FALSE)</f>
        <v>#N/A</v>
      </c>
      <c r="Z199" s="59">
        <f t="shared" si="51"/>
        <v>0</v>
      </c>
      <c r="AA199" s="62">
        <f t="shared" si="52"/>
        <v>4.5</v>
      </c>
      <c r="AB199" s="62">
        <f t="shared" si="53"/>
        <v>0</v>
      </c>
      <c r="AC199" s="65" t="e">
        <f t="shared" si="56"/>
        <v>#N/A</v>
      </c>
      <c r="AD199" s="65">
        <f t="shared" si="54"/>
        <v>0</v>
      </c>
      <c r="AE199" s="66" t="e">
        <f t="shared" si="55"/>
        <v>#N/A</v>
      </c>
    </row>
    <row r="200" spans="1:31">
      <c r="A200" s="105" t="s">
        <v>383</v>
      </c>
      <c r="B200" s="232">
        <f>【２】結果!W12</f>
        <v>0</v>
      </c>
      <c r="C200" s="115"/>
      <c r="D200" s="55"/>
      <c r="E200" s="45"/>
      <c r="F200" s="21"/>
      <c r="G200" s="21"/>
      <c r="H200" s="42"/>
      <c r="I200" s="42"/>
      <c r="J200" s="42"/>
      <c r="K200" s="42"/>
      <c r="L200" s="42"/>
      <c r="M200" s="31"/>
      <c r="N200" s="108"/>
      <c r="O200" s="30"/>
      <c r="P200" s="30"/>
      <c r="Q200" s="30"/>
      <c r="R200" s="30"/>
      <c r="S200" s="30"/>
      <c r="T200" s="53">
        <f t="shared" si="47"/>
        <v>0</v>
      </c>
      <c r="U200" s="53">
        <f t="shared" si="48"/>
        <v>0</v>
      </c>
      <c r="V200" s="53">
        <f t="shared" si="49"/>
        <v>0</v>
      </c>
      <c r="W200" s="54">
        <f t="shared" si="50"/>
        <v>0</v>
      </c>
      <c r="X200" s="51" t="e">
        <f>VLOOKUP(W200,送料!$J$3:$K$42,2,FALSE)</f>
        <v>#N/A</v>
      </c>
      <c r="Y200" s="51" t="e">
        <f>VLOOKUP(X200,送料!$A$1:$B$40,2,FALSE)</f>
        <v>#N/A</v>
      </c>
      <c r="Z200" s="59">
        <f t="shared" si="51"/>
        <v>0</v>
      </c>
      <c r="AA200" s="62">
        <f t="shared" si="52"/>
        <v>4.5</v>
      </c>
      <c r="AB200" s="62">
        <f t="shared" si="53"/>
        <v>0</v>
      </c>
      <c r="AC200" s="65" t="e">
        <f t="shared" si="56"/>
        <v>#N/A</v>
      </c>
      <c r="AD200" s="65">
        <f t="shared" si="54"/>
        <v>0</v>
      </c>
      <c r="AE200" s="66" t="e">
        <f t="shared" si="55"/>
        <v>#N/A</v>
      </c>
    </row>
    <row r="201" spans="1:31">
      <c r="A201" s="105" t="s">
        <v>384</v>
      </c>
      <c r="B201" s="232">
        <f>【２】結果!X12</f>
        <v>0</v>
      </c>
      <c r="C201" s="115"/>
      <c r="D201" s="55"/>
      <c r="E201" s="45"/>
      <c r="F201" s="21"/>
      <c r="G201" s="21"/>
      <c r="H201" s="42"/>
      <c r="I201" s="42"/>
      <c r="J201" s="42"/>
      <c r="K201" s="42"/>
      <c r="L201" s="42"/>
      <c r="M201" s="31"/>
      <c r="N201" s="108"/>
      <c r="O201" s="30"/>
      <c r="P201" s="30"/>
      <c r="Q201" s="30"/>
      <c r="R201" s="30"/>
      <c r="S201" s="30"/>
      <c r="T201" s="53">
        <f t="shared" si="47"/>
        <v>0</v>
      </c>
      <c r="U201" s="53">
        <f t="shared" si="48"/>
        <v>0</v>
      </c>
      <c r="V201" s="53">
        <f t="shared" si="49"/>
        <v>0</v>
      </c>
      <c r="W201" s="54">
        <f t="shared" si="50"/>
        <v>0</v>
      </c>
      <c r="X201" s="51" t="e">
        <f>VLOOKUP(W201,送料!$J$3:$K$42,2,FALSE)</f>
        <v>#N/A</v>
      </c>
      <c r="Y201" s="51" t="e">
        <f>VLOOKUP(X201,送料!$A$1:$B$40,2,FALSE)</f>
        <v>#N/A</v>
      </c>
      <c r="Z201" s="59">
        <f t="shared" si="51"/>
        <v>0</v>
      </c>
      <c r="AA201" s="62">
        <f t="shared" si="52"/>
        <v>4.5</v>
      </c>
      <c r="AB201" s="62">
        <f t="shared" si="53"/>
        <v>0</v>
      </c>
      <c r="AC201" s="65" t="e">
        <f t="shared" si="56"/>
        <v>#N/A</v>
      </c>
      <c r="AD201" s="65">
        <f t="shared" si="54"/>
        <v>0</v>
      </c>
      <c r="AE201" s="66" t="e">
        <f t="shared" si="55"/>
        <v>#N/A</v>
      </c>
    </row>
    <row r="202" spans="1:31">
      <c r="A202" s="105" t="s">
        <v>385</v>
      </c>
      <c r="B202" s="33"/>
      <c r="C202" s="115"/>
      <c r="D202" s="55"/>
      <c r="E202" s="45"/>
      <c r="F202" s="21"/>
      <c r="G202" s="21"/>
      <c r="H202" s="42"/>
      <c r="I202" s="42"/>
      <c r="J202" s="42"/>
      <c r="K202" s="42"/>
      <c r="L202" s="42"/>
      <c r="M202" s="31"/>
      <c r="N202" s="108"/>
      <c r="O202" s="30"/>
      <c r="P202" s="30"/>
      <c r="Q202" s="30"/>
      <c r="R202" s="30"/>
      <c r="S202" s="30"/>
      <c r="T202" s="53">
        <f t="shared" si="47"/>
        <v>0</v>
      </c>
      <c r="U202" s="53">
        <f t="shared" si="48"/>
        <v>0</v>
      </c>
      <c r="V202" s="53">
        <f t="shared" si="49"/>
        <v>0</v>
      </c>
      <c r="W202" s="54">
        <f t="shared" si="50"/>
        <v>0</v>
      </c>
      <c r="X202" s="51" t="e">
        <f>VLOOKUP(W202,送料!$J$3:$K$42,2,FALSE)</f>
        <v>#N/A</v>
      </c>
      <c r="Y202" s="51" t="e">
        <f>VLOOKUP(X202,送料!$A$1:$B$40,2,FALSE)</f>
        <v>#N/A</v>
      </c>
      <c r="Z202" s="59">
        <f t="shared" si="51"/>
        <v>0</v>
      </c>
      <c r="AA202" s="62">
        <f t="shared" si="52"/>
        <v>4.5</v>
      </c>
      <c r="AB202" s="62">
        <f t="shared" si="53"/>
        <v>0</v>
      </c>
      <c r="AC202" s="65" t="e">
        <f t="shared" si="56"/>
        <v>#N/A</v>
      </c>
      <c r="AD202" s="65">
        <f t="shared" si="54"/>
        <v>0</v>
      </c>
      <c r="AE202" s="66" t="e">
        <f t="shared" si="55"/>
        <v>#N/A</v>
      </c>
    </row>
    <row r="203" spans="1:31">
      <c r="A203" s="105" t="s">
        <v>386</v>
      </c>
      <c r="B203" s="33"/>
      <c r="C203" s="115"/>
      <c r="D203" s="55"/>
      <c r="E203" s="45"/>
      <c r="F203" s="21"/>
      <c r="G203" s="21"/>
      <c r="H203" s="42"/>
      <c r="I203" s="42"/>
      <c r="J203" s="42"/>
      <c r="K203" s="42"/>
      <c r="L203" s="42"/>
      <c r="M203" s="31"/>
      <c r="N203" s="108"/>
      <c r="O203" s="30"/>
      <c r="P203" s="30"/>
      <c r="Q203" s="30"/>
      <c r="R203" s="30"/>
      <c r="S203" s="30"/>
      <c r="T203" s="53">
        <f t="shared" si="47"/>
        <v>0</v>
      </c>
      <c r="U203" s="53">
        <f t="shared" si="48"/>
        <v>0</v>
      </c>
      <c r="V203" s="53">
        <f t="shared" si="49"/>
        <v>0</v>
      </c>
      <c r="W203" s="54">
        <f t="shared" si="50"/>
        <v>0</v>
      </c>
      <c r="X203" s="51" t="e">
        <f>VLOOKUP(W203,送料!$J$3:$K$42,2,FALSE)</f>
        <v>#N/A</v>
      </c>
      <c r="Y203" s="51" t="e">
        <f>VLOOKUP(X203,送料!$A$1:$B$40,2,FALSE)</f>
        <v>#N/A</v>
      </c>
      <c r="Z203" s="59">
        <f t="shared" si="51"/>
        <v>0</v>
      </c>
      <c r="AA203" s="62">
        <f t="shared" si="52"/>
        <v>4.5</v>
      </c>
      <c r="AB203" s="62">
        <f t="shared" si="53"/>
        <v>0</v>
      </c>
      <c r="AC203" s="65" t="e">
        <f t="shared" si="56"/>
        <v>#N/A</v>
      </c>
      <c r="AD203" s="65">
        <f t="shared" si="54"/>
        <v>0</v>
      </c>
      <c r="AE203" s="66" t="e">
        <f t="shared" si="55"/>
        <v>#N/A</v>
      </c>
    </row>
    <row r="204" spans="1:31">
      <c r="A204" s="105" t="s">
        <v>387</v>
      </c>
      <c r="B204" s="33"/>
      <c r="C204" s="115"/>
      <c r="D204" s="55"/>
      <c r="E204" s="45"/>
      <c r="F204" s="21"/>
      <c r="G204" s="21"/>
      <c r="H204" s="42"/>
      <c r="I204" s="42"/>
      <c r="J204" s="42"/>
      <c r="K204" s="42"/>
      <c r="L204" s="42"/>
      <c r="M204" s="31"/>
      <c r="N204" s="108"/>
      <c r="O204" s="30"/>
      <c r="P204" s="30"/>
      <c r="Q204" s="30"/>
      <c r="R204" s="30"/>
      <c r="S204" s="30"/>
      <c r="T204" s="53">
        <f t="shared" si="47"/>
        <v>0</v>
      </c>
      <c r="U204" s="53">
        <f t="shared" si="48"/>
        <v>0</v>
      </c>
      <c r="V204" s="53">
        <f t="shared" si="49"/>
        <v>0</v>
      </c>
      <c r="W204" s="54">
        <f t="shared" si="50"/>
        <v>0</v>
      </c>
      <c r="X204" s="51" t="e">
        <f>VLOOKUP(W204,送料!$J$3:$K$42,2,FALSE)</f>
        <v>#N/A</v>
      </c>
      <c r="Y204" s="51" t="e">
        <f>VLOOKUP(X204,送料!$A$1:$B$40,2,FALSE)</f>
        <v>#N/A</v>
      </c>
      <c r="Z204" s="59">
        <f t="shared" si="51"/>
        <v>0</v>
      </c>
      <c r="AA204" s="62">
        <f t="shared" si="52"/>
        <v>4.5</v>
      </c>
      <c r="AB204" s="62">
        <f t="shared" si="53"/>
        <v>0</v>
      </c>
      <c r="AC204" s="65" t="e">
        <f t="shared" si="56"/>
        <v>#N/A</v>
      </c>
      <c r="AD204" s="65">
        <f t="shared" si="54"/>
        <v>0</v>
      </c>
      <c r="AE204" s="66" t="e">
        <f t="shared" si="55"/>
        <v>#N/A</v>
      </c>
    </row>
    <row r="205" spans="1:31">
      <c r="A205" s="105" t="s">
        <v>388</v>
      </c>
      <c r="B205" s="33"/>
      <c r="C205" s="115"/>
      <c r="D205" s="55"/>
      <c r="E205" s="45"/>
      <c r="F205" s="21"/>
      <c r="G205" s="21"/>
      <c r="H205" s="42"/>
      <c r="I205" s="42"/>
      <c r="J205" s="42"/>
      <c r="K205" s="42"/>
      <c r="L205" s="42"/>
      <c r="M205" s="31"/>
      <c r="N205" s="108"/>
      <c r="O205" s="30"/>
      <c r="P205" s="30"/>
      <c r="Q205" s="30"/>
      <c r="R205" s="30"/>
      <c r="S205" s="30"/>
      <c r="T205" s="53">
        <f t="shared" si="47"/>
        <v>0</v>
      </c>
      <c r="U205" s="53">
        <f t="shared" si="48"/>
        <v>0</v>
      </c>
      <c r="V205" s="53">
        <f t="shared" si="49"/>
        <v>0</v>
      </c>
      <c r="W205" s="54">
        <f t="shared" si="50"/>
        <v>0</v>
      </c>
      <c r="X205" s="51" t="e">
        <f>VLOOKUP(W205,送料!$J$3:$K$42,2,FALSE)</f>
        <v>#N/A</v>
      </c>
      <c r="Y205" s="51" t="e">
        <f>VLOOKUP(X205,送料!$A$1:$B$40,2,FALSE)</f>
        <v>#N/A</v>
      </c>
      <c r="Z205" s="59">
        <f t="shared" si="51"/>
        <v>0</v>
      </c>
      <c r="AA205" s="62">
        <f t="shared" si="52"/>
        <v>4.5</v>
      </c>
      <c r="AB205" s="62">
        <f t="shared" si="53"/>
        <v>0</v>
      </c>
      <c r="AC205" s="65" t="e">
        <f t="shared" si="56"/>
        <v>#N/A</v>
      </c>
      <c r="AD205" s="65">
        <f t="shared" si="54"/>
        <v>0</v>
      </c>
      <c r="AE205" s="66" t="e">
        <f t="shared" si="55"/>
        <v>#N/A</v>
      </c>
    </row>
    <row r="206" spans="1:31">
      <c r="A206" s="105" t="s">
        <v>389</v>
      </c>
      <c r="B206" s="33"/>
      <c r="C206" s="115"/>
      <c r="D206" s="55"/>
      <c r="E206" s="45"/>
      <c r="F206" s="21"/>
      <c r="G206" s="21"/>
      <c r="H206" s="42"/>
      <c r="I206" s="42"/>
      <c r="J206" s="42"/>
      <c r="K206" s="42"/>
      <c r="L206" s="42"/>
      <c r="M206" s="31"/>
      <c r="N206" s="108"/>
      <c r="O206" s="30"/>
      <c r="P206" s="30"/>
      <c r="Q206" s="30"/>
      <c r="R206" s="30"/>
      <c r="S206" s="30"/>
      <c r="T206" s="53">
        <f t="shared" si="47"/>
        <v>0</v>
      </c>
      <c r="U206" s="53">
        <f t="shared" si="48"/>
        <v>0</v>
      </c>
      <c r="V206" s="53">
        <f t="shared" si="49"/>
        <v>0</v>
      </c>
      <c r="W206" s="54">
        <f t="shared" si="50"/>
        <v>0</v>
      </c>
      <c r="X206" s="51" t="e">
        <f>VLOOKUP(W206,送料!$J$3:$K$42,2,FALSE)</f>
        <v>#N/A</v>
      </c>
      <c r="Y206" s="51" t="e">
        <f>VLOOKUP(X206,送料!$A$1:$B$40,2,FALSE)</f>
        <v>#N/A</v>
      </c>
      <c r="Z206" s="59">
        <f t="shared" si="51"/>
        <v>0</v>
      </c>
      <c r="AA206" s="62">
        <f t="shared" si="52"/>
        <v>4.5</v>
      </c>
      <c r="AB206" s="62">
        <f t="shared" si="53"/>
        <v>0</v>
      </c>
      <c r="AC206" s="65" t="e">
        <f t="shared" si="56"/>
        <v>#N/A</v>
      </c>
      <c r="AD206" s="65">
        <f t="shared" si="54"/>
        <v>0</v>
      </c>
      <c r="AE206" s="66" t="e">
        <f t="shared" si="55"/>
        <v>#N/A</v>
      </c>
    </row>
    <row r="207" spans="1:31">
      <c r="A207" s="105" t="s">
        <v>390</v>
      </c>
      <c r="B207" s="33"/>
      <c r="C207" s="115"/>
      <c r="D207" s="55"/>
      <c r="E207" s="45"/>
      <c r="F207" s="21"/>
      <c r="G207" s="21"/>
      <c r="H207" s="42"/>
      <c r="I207" s="42"/>
      <c r="J207" s="42"/>
      <c r="K207" s="42"/>
      <c r="L207" s="42"/>
      <c r="M207" s="31"/>
      <c r="N207" s="108"/>
      <c r="O207" s="30"/>
      <c r="P207" s="30"/>
      <c r="Q207" s="30"/>
      <c r="R207" s="30"/>
      <c r="S207" s="30"/>
      <c r="T207" s="53">
        <f t="shared" si="47"/>
        <v>0</v>
      </c>
      <c r="U207" s="53">
        <f t="shared" si="48"/>
        <v>0</v>
      </c>
      <c r="V207" s="53">
        <f t="shared" si="49"/>
        <v>0</v>
      </c>
      <c r="W207" s="54">
        <f t="shared" si="50"/>
        <v>0</v>
      </c>
      <c r="X207" s="51" t="e">
        <f>VLOOKUP(W207,送料!$J$3:$K$42,2,FALSE)</f>
        <v>#N/A</v>
      </c>
      <c r="Y207" s="51" t="e">
        <f>VLOOKUP(X207,送料!$A$1:$B$40,2,FALSE)</f>
        <v>#N/A</v>
      </c>
      <c r="Z207" s="59">
        <f t="shared" si="51"/>
        <v>0</v>
      </c>
      <c r="AA207" s="62">
        <f t="shared" si="52"/>
        <v>4.5</v>
      </c>
      <c r="AB207" s="62">
        <f t="shared" si="53"/>
        <v>0</v>
      </c>
      <c r="AC207" s="65" t="e">
        <f t="shared" si="56"/>
        <v>#N/A</v>
      </c>
      <c r="AD207" s="65">
        <f t="shared" si="54"/>
        <v>0</v>
      </c>
      <c r="AE207" s="66" t="e">
        <f t="shared" si="55"/>
        <v>#N/A</v>
      </c>
    </row>
    <row r="208" spans="1:31">
      <c r="A208" s="105" t="s">
        <v>391</v>
      </c>
      <c r="B208" s="33"/>
      <c r="C208" s="115"/>
      <c r="D208" s="55"/>
      <c r="E208" s="45"/>
      <c r="F208" s="21"/>
      <c r="G208" s="21"/>
      <c r="H208" s="42"/>
      <c r="I208" s="42"/>
      <c r="J208" s="42"/>
      <c r="K208" s="42"/>
      <c r="L208" s="42"/>
      <c r="M208" s="31"/>
      <c r="N208" s="108"/>
      <c r="O208" s="30"/>
      <c r="P208" s="30"/>
      <c r="Q208" s="30"/>
      <c r="R208" s="30"/>
      <c r="S208" s="30"/>
      <c r="T208" s="53">
        <f t="shared" si="47"/>
        <v>0</v>
      </c>
      <c r="U208" s="53">
        <f t="shared" si="48"/>
        <v>0</v>
      </c>
      <c r="V208" s="53">
        <f t="shared" si="49"/>
        <v>0</v>
      </c>
      <c r="W208" s="54">
        <f t="shared" si="50"/>
        <v>0</v>
      </c>
      <c r="X208" s="51" t="e">
        <f>VLOOKUP(W208,送料!$J$3:$K$42,2,FALSE)</f>
        <v>#N/A</v>
      </c>
      <c r="Y208" s="51" t="e">
        <f>VLOOKUP(X208,送料!$A$1:$B$40,2,FALSE)</f>
        <v>#N/A</v>
      </c>
      <c r="Z208" s="59">
        <f t="shared" si="51"/>
        <v>0</v>
      </c>
      <c r="AA208" s="62">
        <f t="shared" si="52"/>
        <v>4.5</v>
      </c>
      <c r="AB208" s="62">
        <f t="shared" si="53"/>
        <v>0</v>
      </c>
      <c r="AC208" s="65" t="e">
        <f t="shared" si="56"/>
        <v>#N/A</v>
      </c>
      <c r="AD208" s="65">
        <f t="shared" si="54"/>
        <v>0</v>
      </c>
      <c r="AE208" s="66" t="e">
        <f t="shared" si="55"/>
        <v>#N/A</v>
      </c>
    </row>
    <row r="209" spans="1:31">
      <c r="A209" s="105" t="s">
        <v>392</v>
      </c>
      <c r="B209" s="33"/>
      <c r="C209" s="115"/>
      <c r="D209" s="55"/>
      <c r="E209" s="45"/>
      <c r="F209" s="21"/>
      <c r="G209" s="21"/>
      <c r="H209" s="42"/>
      <c r="I209" s="42"/>
      <c r="J209" s="42"/>
      <c r="K209" s="42"/>
      <c r="L209" s="42"/>
      <c r="M209" s="31"/>
      <c r="N209" s="108"/>
      <c r="O209" s="30"/>
      <c r="P209" s="30"/>
      <c r="Q209" s="30"/>
      <c r="R209" s="30"/>
      <c r="S209" s="30"/>
      <c r="T209" s="53">
        <f t="shared" si="47"/>
        <v>0</v>
      </c>
      <c r="U209" s="53">
        <f t="shared" si="48"/>
        <v>0</v>
      </c>
      <c r="V209" s="53">
        <f t="shared" si="49"/>
        <v>0</v>
      </c>
      <c r="W209" s="54">
        <f t="shared" si="50"/>
        <v>0</v>
      </c>
      <c r="X209" s="51" t="e">
        <f>VLOOKUP(W209,送料!$J$3:$K$42,2,FALSE)</f>
        <v>#N/A</v>
      </c>
      <c r="Y209" s="51" t="e">
        <f>VLOOKUP(X209,送料!$A$1:$B$40,2,FALSE)</f>
        <v>#N/A</v>
      </c>
      <c r="Z209" s="59">
        <f t="shared" si="51"/>
        <v>0</v>
      </c>
      <c r="AA209" s="62">
        <f t="shared" si="52"/>
        <v>4.5</v>
      </c>
      <c r="AB209" s="62">
        <f t="shared" si="53"/>
        <v>0</v>
      </c>
      <c r="AC209" s="65" t="e">
        <f t="shared" si="56"/>
        <v>#N/A</v>
      </c>
      <c r="AD209" s="65">
        <f t="shared" si="54"/>
        <v>0</v>
      </c>
      <c r="AE209" s="66" t="e">
        <f t="shared" si="55"/>
        <v>#N/A</v>
      </c>
    </row>
    <row r="210" spans="1:31">
      <c r="A210" s="105" t="s">
        <v>393</v>
      </c>
      <c r="B210" s="33"/>
      <c r="C210" s="115"/>
      <c r="D210" s="55"/>
      <c r="E210" s="45"/>
      <c r="F210" s="21"/>
      <c r="G210" s="21"/>
      <c r="H210" s="42"/>
      <c r="I210" s="42"/>
      <c r="J210" s="42"/>
      <c r="K210" s="42"/>
      <c r="L210" s="42"/>
      <c r="M210" s="31"/>
      <c r="N210" s="108"/>
      <c r="O210" s="30"/>
      <c r="P210" s="30"/>
      <c r="Q210" s="30"/>
      <c r="R210" s="30"/>
      <c r="S210" s="30"/>
      <c r="T210" s="53">
        <f t="shared" si="47"/>
        <v>0</v>
      </c>
      <c r="U210" s="53">
        <f t="shared" si="48"/>
        <v>0</v>
      </c>
      <c r="V210" s="53">
        <f t="shared" si="49"/>
        <v>0</v>
      </c>
      <c r="W210" s="54">
        <f t="shared" si="50"/>
        <v>0</v>
      </c>
      <c r="X210" s="51" t="e">
        <f>VLOOKUP(W210,送料!$J$3:$K$42,2,FALSE)</f>
        <v>#N/A</v>
      </c>
      <c r="Y210" s="51" t="e">
        <f>VLOOKUP(X210,送料!$A$1:$B$40,2,FALSE)</f>
        <v>#N/A</v>
      </c>
      <c r="Z210" s="59">
        <f t="shared" si="51"/>
        <v>0</v>
      </c>
      <c r="AA210" s="62">
        <f t="shared" si="52"/>
        <v>4.5</v>
      </c>
      <c r="AB210" s="62">
        <f t="shared" si="53"/>
        <v>0</v>
      </c>
      <c r="AC210" s="65" t="e">
        <f t="shared" si="56"/>
        <v>#N/A</v>
      </c>
      <c r="AD210" s="65">
        <f t="shared" si="54"/>
        <v>0</v>
      </c>
      <c r="AE210" s="66" t="e">
        <f t="shared" si="55"/>
        <v>#N/A</v>
      </c>
    </row>
    <row r="211" spans="1:31">
      <c r="A211" s="105" t="s">
        <v>394</v>
      </c>
      <c r="B211" s="33"/>
      <c r="C211" s="115"/>
      <c r="D211" s="55"/>
      <c r="E211" s="45"/>
      <c r="F211" s="21"/>
      <c r="G211" s="21"/>
      <c r="H211" s="42"/>
      <c r="I211" s="42"/>
      <c r="J211" s="42"/>
      <c r="K211" s="42"/>
      <c r="L211" s="42"/>
      <c r="M211" s="31"/>
      <c r="N211" s="108"/>
      <c r="O211" s="30"/>
      <c r="P211" s="30"/>
      <c r="Q211" s="30"/>
      <c r="R211" s="30"/>
      <c r="S211" s="30"/>
      <c r="T211" s="53">
        <f t="shared" si="47"/>
        <v>0</v>
      </c>
      <c r="U211" s="53">
        <f t="shared" si="48"/>
        <v>0</v>
      </c>
      <c r="V211" s="53">
        <f t="shared" si="49"/>
        <v>0</v>
      </c>
      <c r="W211" s="54">
        <f t="shared" si="50"/>
        <v>0</v>
      </c>
      <c r="X211" s="51" t="e">
        <f>VLOOKUP(W211,送料!$J$3:$K$42,2,FALSE)</f>
        <v>#N/A</v>
      </c>
      <c r="Y211" s="51" t="e">
        <f>VLOOKUP(X211,送料!$A$1:$B$40,2,FALSE)</f>
        <v>#N/A</v>
      </c>
      <c r="Z211" s="59">
        <f t="shared" si="51"/>
        <v>0</v>
      </c>
      <c r="AA211" s="62">
        <f t="shared" si="52"/>
        <v>4.5</v>
      </c>
      <c r="AB211" s="62">
        <f t="shared" si="53"/>
        <v>0</v>
      </c>
      <c r="AC211" s="65" t="e">
        <f t="shared" si="56"/>
        <v>#N/A</v>
      </c>
      <c r="AD211" s="65">
        <f t="shared" si="54"/>
        <v>0</v>
      </c>
      <c r="AE211" s="66" t="e">
        <f t="shared" si="55"/>
        <v>#N/A</v>
      </c>
    </row>
    <row r="212" spans="1:31">
      <c r="A212" s="105" t="s">
        <v>395</v>
      </c>
      <c r="B212" s="33"/>
      <c r="C212" s="115"/>
      <c r="D212" s="55"/>
      <c r="E212" s="45"/>
      <c r="F212" s="21"/>
      <c r="G212" s="21"/>
      <c r="H212" s="42"/>
      <c r="I212" s="42"/>
      <c r="J212" s="42"/>
      <c r="K212" s="42"/>
      <c r="L212" s="42"/>
      <c r="M212" s="31"/>
      <c r="N212" s="108"/>
      <c r="O212" s="30"/>
      <c r="P212" s="30"/>
      <c r="Q212" s="30"/>
      <c r="R212" s="30"/>
      <c r="S212" s="30"/>
      <c r="T212" s="53">
        <f t="shared" si="47"/>
        <v>0</v>
      </c>
      <c r="U212" s="53">
        <f t="shared" si="48"/>
        <v>0</v>
      </c>
      <c r="V212" s="53">
        <f t="shared" si="49"/>
        <v>0</v>
      </c>
      <c r="W212" s="54">
        <f t="shared" si="50"/>
        <v>0</v>
      </c>
      <c r="X212" s="51" t="e">
        <f>VLOOKUP(W212,送料!$J$3:$K$42,2,FALSE)</f>
        <v>#N/A</v>
      </c>
      <c r="Y212" s="51" t="e">
        <f>VLOOKUP(X212,送料!$A$1:$B$40,2,FALSE)</f>
        <v>#N/A</v>
      </c>
      <c r="Z212" s="59">
        <f t="shared" si="51"/>
        <v>0</v>
      </c>
      <c r="AA212" s="62">
        <f t="shared" si="52"/>
        <v>4.5</v>
      </c>
      <c r="AB212" s="62">
        <f t="shared" si="53"/>
        <v>0</v>
      </c>
      <c r="AC212" s="65" t="e">
        <f t="shared" si="56"/>
        <v>#N/A</v>
      </c>
      <c r="AD212" s="65">
        <f t="shared" si="54"/>
        <v>0</v>
      </c>
      <c r="AE212" s="66" t="e">
        <f t="shared" si="55"/>
        <v>#N/A</v>
      </c>
    </row>
    <row r="213" spans="1:31">
      <c r="A213" s="105" t="s">
        <v>396</v>
      </c>
      <c r="B213" s="33"/>
      <c r="C213" s="115"/>
      <c r="D213" s="55"/>
      <c r="E213" s="45"/>
      <c r="F213" s="21"/>
      <c r="G213" s="21"/>
      <c r="H213" s="42"/>
      <c r="I213" s="42"/>
      <c r="J213" s="42"/>
      <c r="K213" s="42"/>
      <c r="L213" s="42"/>
      <c r="M213" s="31"/>
      <c r="N213" s="108"/>
      <c r="O213" s="30"/>
      <c r="P213" s="30"/>
      <c r="Q213" s="30"/>
      <c r="R213" s="30"/>
      <c r="S213" s="30"/>
      <c r="T213" s="53">
        <f t="shared" si="47"/>
        <v>0</v>
      </c>
      <c r="U213" s="53">
        <f t="shared" si="48"/>
        <v>0</v>
      </c>
      <c r="V213" s="53">
        <f t="shared" si="49"/>
        <v>0</v>
      </c>
      <c r="W213" s="54">
        <f t="shared" si="50"/>
        <v>0</v>
      </c>
      <c r="X213" s="51" t="e">
        <f>VLOOKUP(W213,送料!$J$3:$K$42,2,FALSE)</f>
        <v>#N/A</v>
      </c>
      <c r="Y213" s="51" t="e">
        <f>VLOOKUP(X213,送料!$A$1:$B$40,2,FALSE)</f>
        <v>#N/A</v>
      </c>
      <c r="Z213" s="59">
        <f t="shared" si="51"/>
        <v>0</v>
      </c>
      <c r="AA213" s="62">
        <f t="shared" si="52"/>
        <v>4.5</v>
      </c>
      <c r="AB213" s="62">
        <f t="shared" si="53"/>
        <v>0</v>
      </c>
      <c r="AC213" s="65" t="e">
        <f t="shared" si="56"/>
        <v>#N/A</v>
      </c>
      <c r="AD213" s="65">
        <f t="shared" si="54"/>
        <v>0</v>
      </c>
      <c r="AE213" s="66" t="e">
        <f t="shared" si="55"/>
        <v>#N/A</v>
      </c>
    </row>
    <row r="214" spans="1:31">
      <c r="A214" s="105" t="s">
        <v>397</v>
      </c>
      <c r="B214" s="33"/>
      <c r="C214" s="115"/>
      <c r="D214" s="55"/>
      <c r="E214" s="45"/>
      <c r="F214" s="21"/>
      <c r="G214" s="21"/>
      <c r="H214" s="42"/>
      <c r="I214" s="42"/>
      <c r="J214" s="42"/>
      <c r="K214" s="42"/>
      <c r="L214" s="42"/>
      <c r="M214" s="31"/>
      <c r="N214" s="108"/>
      <c r="O214" s="30"/>
      <c r="P214" s="30"/>
      <c r="Q214" s="30"/>
      <c r="R214" s="30"/>
      <c r="S214" s="30"/>
      <c r="T214" s="53">
        <f t="shared" si="47"/>
        <v>0</v>
      </c>
      <c r="U214" s="53">
        <f t="shared" si="48"/>
        <v>0</v>
      </c>
      <c r="V214" s="53">
        <f t="shared" si="49"/>
        <v>0</v>
      </c>
      <c r="W214" s="54">
        <f t="shared" si="50"/>
        <v>0</v>
      </c>
      <c r="X214" s="51" t="e">
        <f>VLOOKUP(W214,送料!$J$3:$K$42,2,FALSE)</f>
        <v>#N/A</v>
      </c>
      <c r="Y214" s="51" t="e">
        <f>VLOOKUP(X214,送料!$A$1:$B$40,2,FALSE)</f>
        <v>#N/A</v>
      </c>
      <c r="Z214" s="59">
        <f t="shared" si="51"/>
        <v>0</v>
      </c>
      <c r="AA214" s="62">
        <f t="shared" si="52"/>
        <v>4.5</v>
      </c>
      <c r="AB214" s="62">
        <f t="shared" si="53"/>
        <v>0</v>
      </c>
      <c r="AC214" s="65" t="e">
        <f t="shared" si="56"/>
        <v>#N/A</v>
      </c>
      <c r="AD214" s="65">
        <f t="shared" si="54"/>
        <v>0</v>
      </c>
      <c r="AE214" s="66" t="e">
        <f t="shared" si="55"/>
        <v>#N/A</v>
      </c>
    </row>
    <row r="215" spans="1:31">
      <c r="A215" s="105" t="s">
        <v>398</v>
      </c>
      <c r="B215" s="33"/>
      <c r="C215" s="115"/>
      <c r="D215" s="55"/>
      <c r="E215" s="45"/>
      <c r="F215" s="21"/>
      <c r="G215" s="21"/>
      <c r="H215" s="42"/>
      <c r="I215" s="42"/>
      <c r="J215" s="42"/>
      <c r="K215" s="42"/>
      <c r="L215" s="42"/>
      <c r="M215" s="31"/>
      <c r="N215" s="108"/>
      <c r="O215" s="30"/>
      <c r="P215" s="30"/>
      <c r="Q215" s="30"/>
      <c r="R215" s="30"/>
      <c r="S215" s="30"/>
      <c r="T215" s="53">
        <f t="shared" si="47"/>
        <v>0</v>
      </c>
      <c r="U215" s="53">
        <f t="shared" si="48"/>
        <v>0</v>
      </c>
      <c r="V215" s="53">
        <f t="shared" si="49"/>
        <v>0</v>
      </c>
      <c r="W215" s="54">
        <f t="shared" si="50"/>
        <v>0</v>
      </c>
      <c r="X215" s="51" t="e">
        <f>VLOOKUP(W215,送料!$J$3:$K$42,2,FALSE)</f>
        <v>#N/A</v>
      </c>
      <c r="Y215" s="51" t="e">
        <f>VLOOKUP(X215,送料!$A$1:$B$40,2,FALSE)</f>
        <v>#N/A</v>
      </c>
      <c r="Z215" s="59">
        <f t="shared" si="51"/>
        <v>0</v>
      </c>
      <c r="AA215" s="62">
        <f t="shared" si="52"/>
        <v>4.5</v>
      </c>
      <c r="AB215" s="62">
        <f t="shared" si="53"/>
        <v>0</v>
      </c>
      <c r="AC215" s="65" t="e">
        <f t="shared" si="56"/>
        <v>#N/A</v>
      </c>
      <c r="AD215" s="65">
        <f t="shared" si="54"/>
        <v>0</v>
      </c>
      <c r="AE215" s="66" t="e">
        <f t="shared" si="55"/>
        <v>#N/A</v>
      </c>
    </row>
    <row r="216" spans="1:31">
      <c r="A216" s="105" t="s">
        <v>399</v>
      </c>
      <c r="B216" s="33"/>
      <c r="C216" s="115"/>
      <c r="D216" s="55"/>
      <c r="E216" s="45"/>
      <c r="F216" s="21"/>
      <c r="G216" s="21"/>
      <c r="H216" s="42"/>
      <c r="I216" s="42"/>
      <c r="J216" s="42"/>
      <c r="K216" s="42"/>
      <c r="L216" s="42"/>
      <c r="M216" s="31"/>
      <c r="N216" s="108"/>
      <c r="O216" s="30"/>
      <c r="P216" s="30"/>
      <c r="Q216" s="30"/>
      <c r="R216" s="30"/>
      <c r="S216" s="30"/>
      <c r="T216" s="53">
        <f t="shared" si="47"/>
        <v>0</v>
      </c>
      <c r="U216" s="53">
        <f t="shared" si="48"/>
        <v>0</v>
      </c>
      <c r="V216" s="53">
        <f t="shared" si="49"/>
        <v>0</v>
      </c>
      <c r="W216" s="54">
        <f t="shared" si="50"/>
        <v>0</v>
      </c>
      <c r="X216" s="51" t="e">
        <f>VLOOKUP(W216,送料!$J$3:$K$42,2,FALSE)</f>
        <v>#N/A</v>
      </c>
      <c r="Y216" s="51" t="e">
        <f>VLOOKUP(X216,送料!$A$1:$B$40,2,FALSE)</f>
        <v>#N/A</v>
      </c>
      <c r="Z216" s="59">
        <f t="shared" si="51"/>
        <v>0</v>
      </c>
      <c r="AA216" s="62">
        <f t="shared" si="52"/>
        <v>4.5</v>
      </c>
      <c r="AB216" s="62">
        <f t="shared" si="53"/>
        <v>0</v>
      </c>
      <c r="AC216" s="65" t="e">
        <f t="shared" si="56"/>
        <v>#N/A</v>
      </c>
      <c r="AD216" s="65">
        <f t="shared" si="54"/>
        <v>0</v>
      </c>
      <c r="AE216" s="66" t="e">
        <f t="shared" si="55"/>
        <v>#N/A</v>
      </c>
    </row>
    <row r="217" spans="1:31">
      <c r="A217" s="105" t="s">
        <v>400</v>
      </c>
      <c r="B217" s="33"/>
      <c r="C217" s="115"/>
      <c r="D217" s="55"/>
      <c r="E217" s="45"/>
      <c r="F217" s="21"/>
      <c r="G217" s="21"/>
      <c r="H217" s="42"/>
      <c r="I217" s="42"/>
      <c r="J217" s="42"/>
      <c r="K217" s="42"/>
      <c r="L217" s="42"/>
      <c r="M217" s="31"/>
      <c r="N217" s="108"/>
      <c r="O217" s="30"/>
      <c r="P217" s="30"/>
      <c r="Q217" s="30"/>
      <c r="R217" s="30"/>
      <c r="S217" s="30"/>
      <c r="T217" s="53">
        <f t="shared" si="47"/>
        <v>0</v>
      </c>
      <c r="U217" s="53">
        <f t="shared" si="48"/>
        <v>0</v>
      </c>
      <c r="V217" s="53">
        <f t="shared" si="49"/>
        <v>0</v>
      </c>
      <c r="W217" s="54">
        <f t="shared" si="50"/>
        <v>0</v>
      </c>
      <c r="X217" s="51" t="e">
        <f>VLOOKUP(W217,送料!$J$3:$K$42,2,FALSE)</f>
        <v>#N/A</v>
      </c>
      <c r="Y217" s="51" t="e">
        <f>VLOOKUP(X217,送料!$A$1:$B$40,2,FALSE)</f>
        <v>#N/A</v>
      </c>
      <c r="Z217" s="59">
        <f t="shared" si="51"/>
        <v>0</v>
      </c>
      <c r="AA217" s="62">
        <f t="shared" si="52"/>
        <v>4.5</v>
      </c>
      <c r="AB217" s="62">
        <f t="shared" si="53"/>
        <v>0</v>
      </c>
      <c r="AC217" s="65" t="e">
        <f t="shared" si="56"/>
        <v>#N/A</v>
      </c>
      <c r="AD217" s="65">
        <f t="shared" si="54"/>
        <v>0</v>
      </c>
      <c r="AE217" s="66" t="e">
        <f t="shared" si="55"/>
        <v>#N/A</v>
      </c>
    </row>
    <row r="218" spans="1:31">
      <c r="A218" s="105" t="s">
        <v>401</v>
      </c>
      <c r="B218" s="33"/>
      <c r="C218" s="115"/>
      <c r="D218" s="55"/>
      <c r="E218" s="45"/>
      <c r="F218" s="21"/>
      <c r="G218" s="21"/>
      <c r="H218" s="42"/>
      <c r="I218" s="42"/>
      <c r="J218" s="42"/>
      <c r="K218" s="42"/>
      <c r="L218" s="42"/>
      <c r="M218" s="31"/>
      <c r="N218" s="108"/>
      <c r="O218" s="30"/>
      <c r="P218" s="30"/>
      <c r="Q218" s="30"/>
      <c r="R218" s="30"/>
      <c r="S218" s="30"/>
      <c r="T218" s="53">
        <f t="shared" si="47"/>
        <v>0</v>
      </c>
      <c r="U218" s="53">
        <f t="shared" si="48"/>
        <v>0</v>
      </c>
      <c r="V218" s="53">
        <f t="shared" si="49"/>
        <v>0</v>
      </c>
      <c r="W218" s="54">
        <f t="shared" si="50"/>
        <v>0</v>
      </c>
      <c r="X218" s="51" t="e">
        <f>VLOOKUP(W218,送料!$J$3:$K$42,2,FALSE)</f>
        <v>#N/A</v>
      </c>
      <c r="Y218" s="51" t="e">
        <f>VLOOKUP(X218,送料!$A$1:$B$40,2,FALSE)</f>
        <v>#N/A</v>
      </c>
      <c r="Z218" s="59">
        <f t="shared" si="51"/>
        <v>0</v>
      </c>
      <c r="AA218" s="62">
        <f t="shared" si="52"/>
        <v>4.5</v>
      </c>
      <c r="AB218" s="62">
        <f t="shared" si="53"/>
        <v>0</v>
      </c>
      <c r="AC218" s="65" t="e">
        <f t="shared" si="56"/>
        <v>#N/A</v>
      </c>
      <c r="AD218" s="65">
        <f t="shared" si="54"/>
        <v>0</v>
      </c>
      <c r="AE218" s="66" t="e">
        <f t="shared" si="55"/>
        <v>#N/A</v>
      </c>
    </row>
    <row r="219" spans="1:31">
      <c r="A219" s="105" t="s">
        <v>402</v>
      </c>
      <c r="B219" s="33"/>
      <c r="C219" s="115"/>
      <c r="D219" s="55"/>
      <c r="E219" s="45"/>
      <c r="F219" s="21"/>
      <c r="G219" s="21"/>
      <c r="H219" s="42"/>
      <c r="I219" s="42"/>
      <c r="J219" s="42"/>
      <c r="K219" s="42"/>
      <c r="L219" s="42"/>
      <c r="M219" s="31"/>
      <c r="N219" s="108"/>
      <c r="O219" s="30"/>
      <c r="P219" s="30"/>
      <c r="Q219" s="30"/>
      <c r="R219" s="30"/>
      <c r="S219" s="30"/>
      <c r="T219" s="53">
        <f t="shared" si="47"/>
        <v>0</v>
      </c>
      <c r="U219" s="53">
        <f t="shared" si="48"/>
        <v>0</v>
      </c>
      <c r="V219" s="53">
        <f t="shared" si="49"/>
        <v>0</v>
      </c>
      <c r="W219" s="54">
        <f t="shared" si="50"/>
        <v>0</v>
      </c>
      <c r="X219" s="51" t="e">
        <f>VLOOKUP(W219,送料!$J$3:$K$42,2,FALSE)</f>
        <v>#N/A</v>
      </c>
      <c r="Y219" s="51" t="e">
        <f>VLOOKUP(X219,送料!$A$1:$B$40,2,FALSE)</f>
        <v>#N/A</v>
      </c>
      <c r="Z219" s="59">
        <f t="shared" si="51"/>
        <v>0</v>
      </c>
      <c r="AA219" s="62">
        <f t="shared" si="52"/>
        <v>4.5</v>
      </c>
      <c r="AB219" s="62">
        <f t="shared" si="53"/>
        <v>0</v>
      </c>
      <c r="AC219" s="65" t="e">
        <f t="shared" si="56"/>
        <v>#N/A</v>
      </c>
      <c r="AD219" s="65">
        <f t="shared" si="54"/>
        <v>0</v>
      </c>
      <c r="AE219" s="66" t="e">
        <f t="shared" si="55"/>
        <v>#N/A</v>
      </c>
    </row>
    <row r="220" spans="1:31">
      <c r="A220" s="105" t="s">
        <v>403</v>
      </c>
      <c r="B220" s="33"/>
      <c r="C220" s="115"/>
      <c r="D220" s="55"/>
      <c r="E220" s="45"/>
      <c r="F220" s="21"/>
      <c r="G220" s="21"/>
      <c r="H220" s="42"/>
      <c r="I220" s="42"/>
      <c r="J220" s="42"/>
      <c r="K220" s="42"/>
      <c r="L220" s="42"/>
      <c r="M220" s="31"/>
      <c r="N220" s="108"/>
      <c r="O220" s="30"/>
      <c r="P220" s="30"/>
      <c r="Q220" s="30"/>
      <c r="R220" s="30"/>
      <c r="S220" s="30"/>
      <c r="T220" s="53">
        <f t="shared" si="47"/>
        <v>0</v>
      </c>
      <c r="U220" s="53">
        <f t="shared" si="48"/>
        <v>0</v>
      </c>
      <c r="V220" s="53">
        <f t="shared" si="49"/>
        <v>0</v>
      </c>
      <c r="W220" s="54">
        <f t="shared" si="50"/>
        <v>0</v>
      </c>
      <c r="X220" s="51" t="e">
        <f>VLOOKUP(W220,送料!$J$3:$K$42,2,FALSE)</f>
        <v>#N/A</v>
      </c>
      <c r="Y220" s="51" t="e">
        <f>VLOOKUP(X220,送料!$A$1:$B$40,2,FALSE)</f>
        <v>#N/A</v>
      </c>
      <c r="Z220" s="59">
        <f t="shared" si="51"/>
        <v>0</v>
      </c>
      <c r="AA220" s="62">
        <f t="shared" si="52"/>
        <v>4.5</v>
      </c>
      <c r="AB220" s="62">
        <f t="shared" si="53"/>
        <v>0</v>
      </c>
      <c r="AC220" s="65" t="e">
        <f t="shared" si="56"/>
        <v>#N/A</v>
      </c>
      <c r="AD220" s="65">
        <f t="shared" si="54"/>
        <v>0</v>
      </c>
      <c r="AE220" s="66" t="e">
        <f t="shared" si="55"/>
        <v>#N/A</v>
      </c>
    </row>
    <row r="221" spans="1:31">
      <c r="A221" s="105" t="s">
        <v>404</v>
      </c>
      <c r="B221" s="33"/>
      <c r="C221" s="115"/>
      <c r="D221" s="55"/>
      <c r="E221" s="45"/>
      <c r="F221" s="21"/>
      <c r="G221" s="21"/>
      <c r="H221" s="42"/>
      <c r="I221" s="42"/>
      <c r="J221" s="42"/>
      <c r="K221" s="42"/>
      <c r="L221" s="42"/>
      <c r="M221" s="31"/>
      <c r="N221" s="108"/>
      <c r="O221" s="30"/>
      <c r="P221" s="30"/>
      <c r="Q221" s="30"/>
      <c r="R221" s="30"/>
      <c r="S221" s="30"/>
      <c r="T221" s="53">
        <f t="shared" si="47"/>
        <v>0</v>
      </c>
      <c r="U221" s="53">
        <f t="shared" si="48"/>
        <v>0</v>
      </c>
      <c r="V221" s="53">
        <f t="shared" si="49"/>
        <v>0</v>
      </c>
      <c r="W221" s="54">
        <f t="shared" si="50"/>
        <v>0</v>
      </c>
      <c r="X221" s="51" t="e">
        <f>VLOOKUP(W221,送料!$J$3:$K$42,2,FALSE)</f>
        <v>#N/A</v>
      </c>
      <c r="Y221" s="51" t="e">
        <f>VLOOKUP(X221,送料!$A$1:$B$40,2,FALSE)</f>
        <v>#N/A</v>
      </c>
      <c r="Z221" s="59">
        <f t="shared" si="51"/>
        <v>0</v>
      </c>
      <c r="AA221" s="62">
        <f t="shared" si="52"/>
        <v>4.5</v>
      </c>
      <c r="AB221" s="62">
        <f t="shared" si="53"/>
        <v>0</v>
      </c>
      <c r="AC221" s="65" t="e">
        <f t="shared" si="56"/>
        <v>#N/A</v>
      </c>
      <c r="AD221" s="65">
        <f t="shared" si="54"/>
        <v>0</v>
      </c>
      <c r="AE221" s="66" t="e">
        <f t="shared" si="55"/>
        <v>#N/A</v>
      </c>
    </row>
    <row r="222" spans="1:31">
      <c r="A222" s="105" t="s">
        <v>405</v>
      </c>
      <c r="B222" s="33"/>
      <c r="C222" s="115"/>
      <c r="D222" s="55"/>
      <c r="E222" s="45"/>
      <c r="F222" s="21"/>
      <c r="G222" s="21"/>
      <c r="H222" s="42"/>
      <c r="I222" s="42"/>
      <c r="J222" s="42"/>
      <c r="K222" s="42"/>
      <c r="L222" s="42"/>
      <c r="M222" s="31" t="str">
        <f>IFERROR(VLOOKUP(W222,送料!$J$3:$K$42,2,FALSE),"")</f>
        <v/>
      </c>
      <c r="N222" s="108"/>
      <c r="O222" s="30"/>
      <c r="P222" s="30"/>
      <c r="Q222" s="30"/>
      <c r="R222" s="30"/>
      <c r="S222" s="30"/>
      <c r="T222" s="53">
        <f t="shared" si="47"/>
        <v>0</v>
      </c>
      <c r="U222" s="53">
        <f t="shared" si="48"/>
        <v>0</v>
      </c>
      <c r="V222" s="53">
        <f t="shared" si="49"/>
        <v>0</v>
      </c>
      <c r="W222" s="54">
        <f t="shared" si="50"/>
        <v>0</v>
      </c>
      <c r="X222" s="51" t="e">
        <f>VLOOKUP(W222,送料!$J$3:$K$42,2,FALSE)</f>
        <v>#N/A</v>
      </c>
      <c r="Y222" s="51" t="e">
        <f>VLOOKUP(X222,送料!$A$1:$B$40,2,FALSE)</f>
        <v>#N/A</v>
      </c>
      <c r="Z222" s="59">
        <f t="shared" si="51"/>
        <v>0</v>
      </c>
      <c r="AA222" s="62">
        <f t="shared" si="52"/>
        <v>4.5</v>
      </c>
      <c r="AB222" s="62">
        <f t="shared" si="53"/>
        <v>0</v>
      </c>
      <c r="AC222" s="65" t="e">
        <f t="shared" si="56"/>
        <v>#N/A</v>
      </c>
      <c r="AD222" s="65">
        <f t="shared" si="54"/>
        <v>0</v>
      </c>
      <c r="AE222" s="66" t="e">
        <f t="shared" si="55"/>
        <v>#N/A</v>
      </c>
    </row>
    <row r="223" spans="1:31">
      <c r="A223" s="105" t="s">
        <v>406</v>
      </c>
      <c r="B223" s="33"/>
      <c r="C223" s="115"/>
      <c r="D223" s="55"/>
      <c r="E223" s="45"/>
      <c r="F223" s="21"/>
      <c r="G223" s="21"/>
      <c r="H223" s="42"/>
      <c r="I223" s="42"/>
      <c r="J223" s="42"/>
      <c r="K223" s="42"/>
      <c r="L223" s="42"/>
      <c r="M223" s="31" t="str">
        <f>IFERROR(VLOOKUP(W223,送料!$J$3:$K$42,2,FALSE),"")</f>
        <v/>
      </c>
      <c r="N223" s="108"/>
      <c r="O223" s="30"/>
      <c r="P223" s="30"/>
      <c r="Q223" s="30"/>
      <c r="R223" s="30"/>
      <c r="S223" s="30"/>
      <c r="T223" s="53">
        <f t="shared" si="47"/>
        <v>0</v>
      </c>
      <c r="U223" s="53">
        <f t="shared" si="48"/>
        <v>0</v>
      </c>
      <c r="V223" s="53">
        <f t="shared" si="49"/>
        <v>0</v>
      </c>
      <c r="W223" s="54">
        <f t="shared" si="50"/>
        <v>0</v>
      </c>
      <c r="X223" s="51" t="e">
        <f>VLOOKUP(W223,送料!$J$3:$K$42,2,FALSE)</f>
        <v>#N/A</v>
      </c>
      <c r="Y223" s="51" t="e">
        <f>VLOOKUP(X223,送料!$A$1:$B$40,2,FALSE)</f>
        <v>#N/A</v>
      </c>
      <c r="Z223" s="59">
        <f t="shared" si="51"/>
        <v>0</v>
      </c>
      <c r="AA223" s="62">
        <f t="shared" si="52"/>
        <v>4.5</v>
      </c>
      <c r="AB223" s="62">
        <f t="shared" si="53"/>
        <v>0</v>
      </c>
      <c r="AC223" s="65" t="e">
        <f t="shared" si="56"/>
        <v>#N/A</v>
      </c>
      <c r="AD223" s="65">
        <f t="shared" si="54"/>
        <v>0</v>
      </c>
      <c r="AE223" s="66" t="e">
        <f t="shared" si="55"/>
        <v>#N/A</v>
      </c>
    </row>
    <row r="224" spans="1:31">
      <c r="A224" s="105" t="s">
        <v>407</v>
      </c>
      <c r="B224" s="33"/>
      <c r="C224" s="115"/>
      <c r="D224" s="55"/>
      <c r="E224" s="45"/>
      <c r="F224" s="21"/>
      <c r="G224" s="21"/>
      <c r="H224" s="42"/>
      <c r="I224" s="42"/>
      <c r="J224" s="42"/>
      <c r="K224" s="42"/>
      <c r="L224" s="42"/>
      <c r="M224" s="31" t="str">
        <f>IFERROR(VLOOKUP(W224,送料!$J$3:$K$42,2,FALSE),"")</f>
        <v/>
      </c>
      <c r="N224" s="108"/>
      <c r="O224" s="30"/>
      <c r="P224" s="30"/>
      <c r="Q224" s="30"/>
      <c r="R224" s="30"/>
      <c r="S224" s="30"/>
      <c r="T224" s="53">
        <f t="shared" si="47"/>
        <v>0</v>
      </c>
      <c r="U224" s="53">
        <f t="shared" si="48"/>
        <v>0</v>
      </c>
      <c r="V224" s="53">
        <f t="shared" si="49"/>
        <v>0</v>
      </c>
      <c r="W224" s="54">
        <f t="shared" si="50"/>
        <v>0</v>
      </c>
      <c r="X224" s="51" t="e">
        <f>VLOOKUP(W224,送料!$J$3:$K$42,2,FALSE)</f>
        <v>#N/A</v>
      </c>
      <c r="Y224" s="51" t="e">
        <f>VLOOKUP(X224,送料!$A$1:$B$40,2,FALSE)</f>
        <v>#N/A</v>
      </c>
      <c r="Z224" s="59">
        <f t="shared" si="51"/>
        <v>0</v>
      </c>
      <c r="AA224" s="62">
        <f t="shared" si="52"/>
        <v>4.5</v>
      </c>
      <c r="AB224" s="62">
        <f t="shared" si="53"/>
        <v>0</v>
      </c>
      <c r="AC224" s="65" t="e">
        <f t="shared" si="56"/>
        <v>#N/A</v>
      </c>
      <c r="AD224" s="65">
        <f t="shared" si="54"/>
        <v>0</v>
      </c>
      <c r="AE224" s="66" t="e">
        <f t="shared" si="55"/>
        <v>#N/A</v>
      </c>
    </row>
    <row r="225" spans="1:31">
      <c r="A225" s="105" t="s">
        <v>408</v>
      </c>
      <c r="B225" s="33"/>
      <c r="C225" s="115"/>
      <c r="D225" s="55"/>
      <c r="E225" s="45"/>
      <c r="F225" s="21"/>
      <c r="G225" s="21"/>
      <c r="H225" s="42"/>
      <c r="I225" s="42"/>
      <c r="J225" s="42"/>
      <c r="K225" s="42"/>
      <c r="L225" s="42"/>
      <c r="M225" s="31" t="str">
        <f>IFERROR(VLOOKUP(W225,送料!$J$3:$K$42,2,FALSE),"")</f>
        <v/>
      </c>
      <c r="N225" s="108"/>
      <c r="O225" s="30"/>
      <c r="P225" s="30"/>
      <c r="Q225" s="30"/>
      <c r="R225" s="30"/>
      <c r="S225" s="30"/>
      <c r="T225" s="53">
        <f t="shared" si="47"/>
        <v>0</v>
      </c>
      <c r="U225" s="53">
        <f t="shared" si="48"/>
        <v>0</v>
      </c>
      <c r="V225" s="53">
        <f t="shared" si="49"/>
        <v>0</v>
      </c>
      <c r="W225" s="54">
        <f t="shared" si="50"/>
        <v>0</v>
      </c>
      <c r="X225" s="51" t="e">
        <f>VLOOKUP(W225,送料!$J$3:$K$42,2,FALSE)</f>
        <v>#N/A</v>
      </c>
      <c r="Y225" s="51" t="e">
        <f>VLOOKUP(X225,送料!$A$1:$B$40,2,FALSE)</f>
        <v>#N/A</v>
      </c>
      <c r="Z225" s="59">
        <f t="shared" si="51"/>
        <v>0</v>
      </c>
      <c r="AA225" s="62">
        <f t="shared" si="52"/>
        <v>4.5</v>
      </c>
      <c r="AB225" s="62">
        <f t="shared" si="53"/>
        <v>0</v>
      </c>
      <c r="AC225" s="65" t="e">
        <f t="shared" si="56"/>
        <v>#N/A</v>
      </c>
      <c r="AD225" s="65">
        <f t="shared" si="54"/>
        <v>0</v>
      </c>
      <c r="AE225" s="66" t="e">
        <f t="shared" si="55"/>
        <v>#N/A</v>
      </c>
    </row>
    <row r="226" spans="1:31">
      <c r="A226" s="105" t="s">
        <v>409</v>
      </c>
      <c r="B226" s="33"/>
      <c r="C226" s="115"/>
      <c r="D226" s="55"/>
      <c r="E226" s="45"/>
      <c r="F226" s="21"/>
      <c r="G226" s="21"/>
      <c r="H226" s="42"/>
      <c r="I226" s="42"/>
      <c r="J226" s="42"/>
      <c r="K226" s="42"/>
      <c r="L226" s="42"/>
      <c r="M226" s="31" t="str">
        <f>IFERROR(VLOOKUP(W226,送料!$J$3:$K$42,2,FALSE),"")</f>
        <v/>
      </c>
      <c r="N226" s="108"/>
      <c r="O226" s="30"/>
      <c r="P226" s="30"/>
      <c r="Q226" s="30"/>
      <c r="R226" s="30"/>
      <c r="S226" s="30"/>
      <c r="T226" s="53">
        <f t="shared" si="47"/>
        <v>0</v>
      </c>
      <c r="U226" s="53">
        <f t="shared" si="48"/>
        <v>0</v>
      </c>
      <c r="V226" s="53">
        <f t="shared" si="49"/>
        <v>0</v>
      </c>
      <c r="W226" s="54">
        <f t="shared" si="50"/>
        <v>0</v>
      </c>
      <c r="X226" s="51" t="e">
        <f>VLOOKUP(W226,送料!$J$3:$K$42,2,FALSE)</f>
        <v>#N/A</v>
      </c>
      <c r="Y226" s="51" t="e">
        <f>VLOOKUP(X226,送料!$A$1:$B$40,2,FALSE)</f>
        <v>#N/A</v>
      </c>
      <c r="Z226" s="59">
        <f t="shared" si="51"/>
        <v>0</v>
      </c>
      <c r="AA226" s="62">
        <f t="shared" si="52"/>
        <v>4.5</v>
      </c>
      <c r="AB226" s="62">
        <f t="shared" si="53"/>
        <v>0</v>
      </c>
      <c r="AC226" s="65" t="e">
        <f t="shared" si="56"/>
        <v>#N/A</v>
      </c>
      <c r="AD226" s="65">
        <f t="shared" si="54"/>
        <v>0</v>
      </c>
      <c r="AE226" s="66" t="e">
        <f t="shared" si="55"/>
        <v>#N/A</v>
      </c>
    </row>
    <row r="227" spans="1:31">
      <c r="A227" s="105" t="s">
        <v>410</v>
      </c>
      <c r="B227" s="33"/>
      <c r="C227" s="115"/>
      <c r="D227" s="55"/>
      <c r="E227" s="45"/>
      <c r="F227" s="21"/>
      <c r="G227" s="21"/>
      <c r="H227" s="42"/>
      <c r="I227" s="42"/>
      <c r="J227" s="42"/>
      <c r="K227" s="42"/>
      <c r="L227" s="42"/>
      <c r="M227" s="31" t="str">
        <f>IFERROR(VLOOKUP(W227,送料!$J$3:$K$42,2,FALSE),"")</f>
        <v/>
      </c>
      <c r="N227" s="108"/>
      <c r="O227" s="30"/>
      <c r="P227" s="30"/>
      <c r="Q227" s="30"/>
      <c r="R227" s="30"/>
      <c r="S227" s="30"/>
      <c r="T227" s="53">
        <f t="shared" si="47"/>
        <v>0</v>
      </c>
      <c r="U227" s="53">
        <f t="shared" si="48"/>
        <v>0</v>
      </c>
      <c r="V227" s="53">
        <f t="shared" si="49"/>
        <v>0</v>
      </c>
      <c r="W227" s="54">
        <f t="shared" si="50"/>
        <v>0</v>
      </c>
      <c r="X227" s="51" t="e">
        <f>VLOOKUP(W227,送料!$J$3:$K$42,2,FALSE)</f>
        <v>#N/A</v>
      </c>
      <c r="Y227" s="51" t="e">
        <f>VLOOKUP(X227,送料!$A$1:$B$40,2,FALSE)</f>
        <v>#N/A</v>
      </c>
      <c r="Z227" s="59">
        <f t="shared" si="51"/>
        <v>0</v>
      </c>
      <c r="AA227" s="62">
        <f t="shared" si="52"/>
        <v>4.5</v>
      </c>
      <c r="AB227" s="62">
        <f t="shared" si="53"/>
        <v>0</v>
      </c>
      <c r="AC227" s="65" t="e">
        <f t="shared" si="56"/>
        <v>#N/A</v>
      </c>
      <c r="AD227" s="65">
        <f t="shared" si="54"/>
        <v>0</v>
      </c>
      <c r="AE227" s="66" t="e">
        <f t="shared" si="55"/>
        <v>#N/A</v>
      </c>
    </row>
    <row r="228" spans="1:31">
      <c r="A228" s="105" t="s">
        <v>411</v>
      </c>
      <c r="B228" s="33"/>
      <c r="C228" s="115"/>
      <c r="D228" s="55"/>
      <c r="E228" s="45"/>
      <c r="F228" s="21"/>
      <c r="G228" s="21"/>
      <c r="H228" s="42"/>
      <c r="I228" s="42"/>
      <c r="J228" s="42"/>
      <c r="K228" s="42"/>
      <c r="L228" s="42"/>
      <c r="M228" s="31" t="str">
        <f>IFERROR(VLOOKUP(W228,送料!$J$3:$K$42,2,FALSE),"")</f>
        <v/>
      </c>
      <c r="N228" s="108"/>
      <c r="O228" s="30"/>
      <c r="P228" s="30"/>
      <c r="Q228" s="30"/>
      <c r="R228" s="30"/>
      <c r="S228" s="30"/>
      <c r="T228" s="53">
        <f t="shared" si="47"/>
        <v>0</v>
      </c>
      <c r="U228" s="53">
        <f t="shared" si="48"/>
        <v>0</v>
      </c>
      <c r="V228" s="53">
        <f t="shared" si="49"/>
        <v>0</v>
      </c>
      <c r="W228" s="54">
        <f t="shared" si="50"/>
        <v>0</v>
      </c>
      <c r="X228" s="51" t="e">
        <f>VLOOKUP(W228,送料!$J$3:$K$42,2,FALSE)</f>
        <v>#N/A</v>
      </c>
      <c r="Y228" s="51" t="e">
        <f>VLOOKUP(X228,送料!$A$1:$B$40,2,FALSE)</f>
        <v>#N/A</v>
      </c>
      <c r="Z228" s="59">
        <f t="shared" si="51"/>
        <v>0</v>
      </c>
      <c r="AA228" s="62">
        <f t="shared" si="52"/>
        <v>4.5</v>
      </c>
      <c r="AB228" s="62">
        <f t="shared" si="53"/>
        <v>0</v>
      </c>
      <c r="AC228" s="65" t="e">
        <f t="shared" si="56"/>
        <v>#N/A</v>
      </c>
      <c r="AD228" s="65">
        <f t="shared" si="54"/>
        <v>0</v>
      </c>
      <c r="AE228" s="66" t="e">
        <f t="shared" si="55"/>
        <v>#N/A</v>
      </c>
    </row>
    <row r="229" spans="1:31">
      <c r="A229" s="105" t="s">
        <v>412</v>
      </c>
      <c r="B229" s="33"/>
      <c r="C229" s="115"/>
      <c r="D229" s="55"/>
      <c r="E229" s="45"/>
      <c r="F229" s="21"/>
      <c r="G229" s="21"/>
      <c r="H229" s="42"/>
      <c r="I229" s="42"/>
      <c r="J229" s="42"/>
      <c r="K229" s="42"/>
      <c r="L229" s="42"/>
      <c r="M229" s="31" t="str">
        <f>IFERROR(VLOOKUP(W229,送料!$J$3:$K$42,2,FALSE),"")</f>
        <v/>
      </c>
      <c r="N229" s="108"/>
      <c r="O229" s="30"/>
      <c r="P229" s="30"/>
      <c r="Q229" s="30"/>
      <c r="R229" s="30"/>
      <c r="S229" s="30"/>
      <c r="T229" s="53">
        <f t="shared" si="47"/>
        <v>0</v>
      </c>
      <c r="U229" s="53">
        <f t="shared" si="48"/>
        <v>0</v>
      </c>
      <c r="V229" s="53">
        <f t="shared" si="49"/>
        <v>0</v>
      </c>
      <c r="W229" s="54">
        <f t="shared" si="50"/>
        <v>0</v>
      </c>
      <c r="X229" s="51" t="e">
        <f>VLOOKUP(W229,送料!$J$3:$K$42,2,FALSE)</f>
        <v>#N/A</v>
      </c>
      <c r="Y229" s="51" t="e">
        <f>VLOOKUP(X229,送料!$A$1:$B$40,2,FALSE)</f>
        <v>#N/A</v>
      </c>
      <c r="Z229" s="59">
        <f t="shared" si="51"/>
        <v>0</v>
      </c>
      <c r="AA229" s="62">
        <f t="shared" si="52"/>
        <v>4.5</v>
      </c>
      <c r="AB229" s="62">
        <f t="shared" si="53"/>
        <v>0</v>
      </c>
      <c r="AC229" s="65" t="e">
        <f t="shared" si="56"/>
        <v>#N/A</v>
      </c>
      <c r="AD229" s="65">
        <f t="shared" si="54"/>
        <v>0</v>
      </c>
      <c r="AE229" s="66" t="e">
        <f t="shared" si="55"/>
        <v>#N/A</v>
      </c>
    </row>
    <row r="230" spans="1:31">
      <c r="A230" s="105" t="s">
        <v>413</v>
      </c>
      <c r="B230" s="33"/>
      <c r="C230" s="115"/>
      <c r="D230" s="55"/>
      <c r="E230" s="45"/>
      <c r="F230" s="21"/>
      <c r="G230" s="21"/>
      <c r="H230" s="42"/>
      <c r="I230" s="42"/>
      <c r="J230" s="42"/>
      <c r="K230" s="42"/>
      <c r="L230" s="42"/>
      <c r="M230" s="31" t="str">
        <f>IFERROR(VLOOKUP(W230,送料!$J$3:$K$42,2,FALSE),"")</f>
        <v/>
      </c>
      <c r="N230" s="108"/>
      <c r="O230" s="30"/>
      <c r="P230" s="30"/>
      <c r="Q230" s="30"/>
      <c r="R230" s="30"/>
      <c r="S230" s="30"/>
      <c r="T230" s="53">
        <f t="shared" si="47"/>
        <v>0</v>
      </c>
      <c r="U230" s="53">
        <f t="shared" si="48"/>
        <v>0</v>
      </c>
      <c r="V230" s="53">
        <f t="shared" si="49"/>
        <v>0</v>
      </c>
      <c r="W230" s="54">
        <f t="shared" si="50"/>
        <v>0</v>
      </c>
      <c r="X230" s="51" t="e">
        <f>VLOOKUP(W230,送料!$J$3:$K$42,2,FALSE)</f>
        <v>#N/A</v>
      </c>
      <c r="Y230" s="51" t="e">
        <f>VLOOKUP(X230,送料!$A$1:$B$40,2,FALSE)</f>
        <v>#N/A</v>
      </c>
      <c r="Z230" s="59">
        <f t="shared" si="51"/>
        <v>0</v>
      </c>
      <c r="AA230" s="62">
        <f t="shared" si="52"/>
        <v>4.5</v>
      </c>
      <c r="AB230" s="62">
        <f t="shared" si="53"/>
        <v>0</v>
      </c>
      <c r="AC230" s="65" t="e">
        <f t="shared" si="56"/>
        <v>#N/A</v>
      </c>
      <c r="AD230" s="65">
        <f t="shared" si="54"/>
        <v>0</v>
      </c>
      <c r="AE230" s="66" t="e">
        <f t="shared" si="55"/>
        <v>#N/A</v>
      </c>
    </row>
    <row r="231" spans="1:31">
      <c r="A231" s="105" t="s">
        <v>414</v>
      </c>
      <c r="B231" s="33"/>
      <c r="C231" s="115"/>
      <c r="D231" s="55"/>
      <c r="E231" s="45"/>
      <c r="F231" s="21"/>
      <c r="G231" s="21"/>
      <c r="H231" s="42"/>
      <c r="I231" s="42"/>
      <c r="J231" s="42"/>
      <c r="K231" s="42"/>
      <c r="L231" s="42"/>
      <c r="M231" s="31" t="str">
        <f>IFERROR(VLOOKUP(W231,送料!$J$3:$K$42,2,FALSE),"")</f>
        <v/>
      </c>
      <c r="N231" s="108"/>
      <c r="O231" s="30"/>
      <c r="P231" s="30"/>
      <c r="Q231" s="30"/>
      <c r="R231" s="30"/>
      <c r="S231" s="30"/>
      <c r="T231" s="53">
        <f t="shared" si="47"/>
        <v>0</v>
      </c>
      <c r="U231" s="53">
        <f t="shared" si="48"/>
        <v>0</v>
      </c>
      <c r="V231" s="53">
        <f t="shared" si="49"/>
        <v>0</v>
      </c>
      <c r="W231" s="54">
        <f t="shared" si="50"/>
        <v>0</v>
      </c>
      <c r="X231" s="51" t="e">
        <f>VLOOKUP(W231,送料!$J$3:$K$42,2,FALSE)</f>
        <v>#N/A</v>
      </c>
      <c r="Y231" s="51" t="e">
        <f>VLOOKUP(X231,送料!$A$1:$B$40,2,FALSE)</f>
        <v>#N/A</v>
      </c>
      <c r="Z231" s="59">
        <f t="shared" si="51"/>
        <v>0</v>
      </c>
      <c r="AA231" s="62">
        <f t="shared" si="52"/>
        <v>4.5</v>
      </c>
      <c r="AB231" s="62">
        <f t="shared" si="53"/>
        <v>0</v>
      </c>
      <c r="AC231" s="65" t="e">
        <f t="shared" si="56"/>
        <v>#N/A</v>
      </c>
      <c r="AD231" s="65">
        <f t="shared" si="54"/>
        <v>0</v>
      </c>
      <c r="AE231" s="66" t="e">
        <f t="shared" si="55"/>
        <v>#N/A</v>
      </c>
    </row>
    <row r="232" spans="1:31">
      <c r="A232" s="105" t="s">
        <v>415</v>
      </c>
      <c r="B232" s="33"/>
      <c r="C232" s="115"/>
      <c r="D232" s="55"/>
      <c r="E232" s="45"/>
      <c r="F232" s="21"/>
      <c r="G232" s="21"/>
      <c r="H232" s="42"/>
      <c r="I232" s="42"/>
      <c r="J232" s="42"/>
      <c r="K232" s="42"/>
      <c r="L232" s="42"/>
      <c r="M232" s="31" t="str">
        <f>IFERROR(VLOOKUP(W232,送料!$J$3:$K$42,2,FALSE),"")</f>
        <v/>
      </c>
      <c r="N232" s="108"/>
      <c r="O232" s="30"/>
      <c r="P232" s="30"/>
      <c r="Q232" s="30"/>
      <c r="R232" s="30"/>
      <c r="S232" s="30"/>
      <c r="T232" s="53">
        <f t="shared" si="47"/>
        <v>0</v>
      </c>
      <c r="U232" s="53">
        <f t="shared" si="48"/>
        <v>0</v>
      </c>
      <c r="V232" s="53">
        <f t="shared" si="49"/>
        <v>0</v>
      </c>
      <c r="W232" s="54">
        <f t="shared" si="50"/>
        <v>0</v>
      </c>
      <c r="X232" s="51" t="e">
        <f>VLOOKUP(W232,送料!$J$3:$K$42,2,FALSE)</f>
        <v>#N/A</v>
      </c>
      <c r="Y232" s="51" t="e">
        <f>VLOOKUP(X232,送料!$A$1:$B$40,2,FALSE)</f>
        <v>#N/A</v>
      </c>
      <c r="Z232" s="59">
        <f t="shared" si="51"/>
        <v>0</v>
      </c>
      <c r="AA232" s="62">
        <f t="shared" si="52"/>
        <v>4.5</v>
      </c>
      <c r="AB232" s="62">
        <f t="shared" si="53"/>
        <v>0</v>
      </c>
      <c r="AC232" s="65" t="e">
        <f t="shared" si="56"/>
        <v>#N/A</v>
      </c>
      <c r="AD232" s="65">
        <f t="shared" si="54"/>
        <v>0</v>
      </c>
      <c r="AE232" s="66" t="e">
        <f t="shared" si="55"/>
        <v>#N/A</v>
      </c>
    </row>
    <row r="233" spans="1:31">
      <c r="A233" s="105" t="s">
        <v>416</v>
      </c>
      <c r="B233" s="33"/>
      <c r="C233" s="115"/>
      <c r="D233" s="55"/>
      <c r="E233" s="45"/>
      <c r="F233" s="21"/>
      <c r="G233" s="21"/>
      <c r="H233" s="42"/>
      <c r="I233" s="42"/>
      <c r="J233" s="42"/>
      <c r="K233" s="42"/>
      <c r="L233" s="42"/>
      <c r="M233" s="31" t="str">
        <f>IFERROR(VLOOKUP(W233,送料!$J$3:$K$42,2,FALSE),"")</f>
        <v/>
      </c>
      <c r="N233" s="108"/>
      <c r="O233" s="30"/>
      <c r="P233" s="30"/>
      <c r="Q233" s="30"/>
      <c r="R233" s="30"/>
      <c r="S233" s="30"/>
      <c r="T233" s="53">
        <f t="shared" si="47"/>
        <v>0</v>
      </c>
      <c r="U233" s="53">
        <f t="shared" si="48"/>
        <v>0</v>
      </c>
      <c r="V233" s="53">
        <f t="shared" si="49"/>
        <v>0</v>
      </c>
      <c r="W233" s="54">
        <f t="shared" si="50"/>
        <v>0</v>
      </c>
      <c r="X233" s="51" t="e">
        <f>VLOOKUP(W233,送料!$J$3:$K$42,2,FALSE)</f>
        <v>#N/A</v>
      </c>
      <c r="Y233" s="51" t="e">
        <f>VLOOKUP(X233,送料!$A$1:$B$40,2,FALSE)</f>
        <v>#N/A</v>
      </c>
      <c r="Z233" s="59">
        <f t="shared" si="51"/>
        <v>0</v>
      </c>
      <c r="AA233" s="62">
        <f t="shared" si="52"/>
        <v>4.5</v>
      </c>
      <c r="AB233" s="62">
        <f t="shared" si="53"/>
        <v>0</v>
      </c>
      <c r="AC233" s="65" t="e">
        <f t="shared" si="56"/>
        <v>#N/A</v>
      </c>
      <c r="AD233" s="65">
        <f t="shared" si="54"/>
        <v>0</v>
      </c>
      <c r="AE233" s="66" t="e">
        <f t="shared" si="55"/>
        <v>#N/A</v>
      </c>
    </row>
    <row r="234" spans="1:31">
      <c r="A234" s="105" t="s">
        <v>417</v>
      </c>
      <c r="B234" s="33"/>
      <c r="C234" s="115"/>
      <c r="D234" s="55"/>
      <c r="E234" s="45"/>
      <c r="F234" s="21"/>
      <c r="G234" s="21"/>
      <c r="H234" s="42"/>
      <c r="I234" s="42"/>
      <c r="J234" s="42"/>
      <c r="K234" s="42"/>
      <c r="L234" s="42"/>
      <c r="M234" s="31" t="str">
        <f>IFERROR(VLOOKUP(W234,送料!$J$3:$K$42,2,FALSE),"")</f>
        <v/>
      </c>
      <c r="N234" s="108"/>
      <c r="O234" s="30"/>
      <c r="P234" s="30"/>
      <c r="Q234" s="30"/>
      <c r="R234" s="30"/>
      <c r="S234" s="30"/>
      <c r="T234" s="53">
        <f t="shared" si="47"/>
        <v>0</v>
      </c>
      <c r="U234" s="53">
        <f t="shared" si="48"/>
        <v>0</v>
      </c>
      <c r="V234" s="53">
        <f t="shared" si="49"/>
        <v>0</v>
      </c>
      <c r="W234" s="54">
        <f t="shared" si="50"/>
        <v>0</v>
      </c>
      <c r="X234" s="51" t="e">
        <f>VLOOKUP(W234,送料!$J$3:$K$42,2,FALSE)</f>
        <v>#N/A</v>
      </c>
      <c r="Y234" s="51" t="e">
        <f>VLOOKUP(X234,送料!$A$1:$B$40,2,FALSE)</f>
        <v>#N/A</v>
      </c>
      <c r="Z234" s="59">
        <f t="shared" si="51"/>
        <v>0</v>
      </c>
      <c r="AA234" s="62">
        <f t="shared" si="52"/>
        <v>4.5</v>
      </c>
      <c r="AB234" s="62">
        <f t="shared" si="53"/>
        <v>0</v>
      </c>
      <c r="AC234" s="65" t="e">
        <f t="shared" si="56"/>
        <v>#N/A</v>
      </c>
      <c r="AD234" s="65">
        <f t="shared" si="54"/>
        <v>0</v>
      </c>
      <c r="AE234" s="66" t="e">
        <f t="shared" si="55"/>
        <v>#N/A</v>
      </c>
    </row>
    <row r="235" spans="1:31">
      <c r="A235" s="105" t="s">
        <v>418</v>
      </c>
      <c r="B235" s="33"/>
      <c r="C235" s="115"/>
      <c r="D235" s="55"/>
      <c r="E235" s="45"/>
      <c r="F235" s="21"/>
      <c r="G235" s="21"/>
      <c r="H235" s="42"/>
      <c r="I235" s="42"/>
      <c r="J235" s="42"/>
      <c r="K235" s="42"/>
      <c r="L235" s="42"/>
      <c r="M235" s="31" t="str">
        <f>IFERROR(VLOOKUP(W235,送料!$J$3:$K$42,2,FALSE),"")</f>
        <v/>
      </c>
      <c r="N235" s="108"/>
      <c r="O235" s="30"/>
      <c r="P235" s="30"/>
      <c r="Q235" s="30"/>
      <c r="R235" s="30"/>
      <c r="S235" s="30"/>
      <c r="T235" s="53">
        <f t="shared" si="47"/>
        <v>0</v>
      </c>
      <c r="U235" s="53">
        <f t="shared" si="48"/>
        <v>0</v>
      </c>
      <c r="V235" s="53">
        <f t="shared" si="49"/>
        <v>0</v>
      </c>
      <c r="W235" s="54">
        <f t="shared" si="50"/>
        <v>0</v>
      </c>
      <c r="X235" s="51" t="e">
        <f>VLOOKUP(W235,送料!$J$3:$K$42,2,FALSE)</f>
        <v>#N/A</v>
      </c>
      <c r="Y235" s="51" t="e">
        <f>VLOOKUP(X235,送料!$A$1:$B$40,2,FALSE)</f>
        <v>#N/A</v>
      </c>
      <c r="Z235" s="59">
        <f t="shared" si="51"/>
        <v>0</v>
      </c>
      <c r="AA235" s="62">
        <f t="shared" si="52"/>
        <v>4.5</v>
      </c>
      <c r="AB235" s="62">
        <f t="shared" si="53"/>
        <v>0</v>
      </c>
      <c r="AC235" s="65" t="e">
        <f t="shared" si="56"/>
        <v>#N/A</v>
      </c>
      <c r="AD235" s="65">
        <f t="shared" si="54"/>
        <v>0</v>
      </c>
      <c r="AE235" s="66" t="e">
        <f t="shared" si="55"/>
        <v>#N/A</v>
      </c>
    </row>
    <row r="236" spans="1:31">
      <c r="A236" s="105" t="s">
        <v>419</v>
      </c>
      <c r="B236" s="33"/>
      <c r="C236" s="115"/>
      <c r="D236" s="55"/>
      <c r="E236" s="45"/>
      <c r="F236" s="21"/>
      <c r="G236" s="21"/>
      <c r="H236" s="42"/>
      <c r="I236" s="42"/>
      <c r="J236" s="42"/>
      <c r="K236" s="42"/>
      <c r="L236" s="42"/>
      <c r="M236" s="31" t="str">
        <f>IFERROR(VLOOKUP(W236,送料!$J$3:$K$42,2,FALSE),"")</f>
        <v/>
      </c>
      <c r="N236" s="108"/>
      <c r="O236" s="30"/>
      <c r="P236" s="30"/>
      <c r="Q236" s="30"/>
      <c r="R236" s="30"/>
      <c r="S236" s="30"/>
      <c r="T236" s="53">
        <f t="shared" si="47"/>
        <v>0</v>
      </c>
      <c r="U236" s="53">
        <f t="shared" si="48"/>
        <v>0</v>
      </c>
      <c r="V236" s="53">
        <f t="shared" si="49"/>
        <v>0</v>
      </c>
      <c r="W236" s="54">
        <f t="shared" si="50"/>
        <v>0</v>
      </c>
      <c r="X236" s="51" t="e">
        <f>VLOOKUP(W236,送料!$J$3:$K$42,2,FALSE)</f>
        <v>#N/A</v>
      </c>
      <c r="Y236" s="51" t="e">
        <f>VLOOKUP(X236,送料!$A$1:$B$40,2,FALSE)</f>
        <v>#N/A</v>
      </c>
      <c r="Z236" s="59">
        <f t="shared" si="51"/>
        <v>0</v>
      </c>
      <c r="AA236" s="62">
        <f t="shared" si="52"/>
        <v>4.5</v>
      </c>
      <c r="AB236" s="62">
        <f t="shared" si="53"/>
        <v>0</v>
      </c>
      <c r="AC236" s="65" t="e">
        <f t="shared" si="56"/>
        <v>#N/A</v>
      </c>
      <c r="AD236" s="65">
        <f t="shared" si="54"/>
        <v>0</v>
      </c>
      <c r="AE236" s="66" t="e">
        <f t="shared" si="55"/>
        <v>#N/A</v>
      </c>
    </row>
    <row r="237" spans="1:31">
      <c r="A237" s="105" t="s">
        <v>420</v>
      </c>
      <c r="B237" s="33"/>
      <c r="C237" s="115"/>
      <c r="D237" s="55"/>
      <c r="E237" s="45"/>
      <c r="F237" s="21"/>
      <c r="G237" s="21"/>
      <c r="H237" s="42"/>
      <c r="I237" s="42"/>
      <c r="J237" s="42"/>
      <c r="K237" s="42"/>
      <c r="L237" s="42"/>
      <c r="M237" s="31" t="str">
        <f>IFERROR(VLOOKUP(W237,送料!$J$3:$K$42,2,FALSE),"")</f>
        <v/>
      </c>
      <c r="N237" s="108"/>
      <c r="O237" s="30"/>
      <c r="P237" s="30"/>
      <c r="Q237" s="30"/>
      <c r="R237" s="30"/>
      <c r="S237" s="30"/>
      <c r="T237" s="53">
        <f t="shared" si="47"/>
        <v>0</v>
      </c>
      <c r="U237" s="53">
        <f t="shared" si="48"/>
        <v>0</v>
      </c>
      <c r="V237" s="53">
        <f t="shared" si="49"/>
        <v>0</v>
      </c>
      <c r="W237" s="54">
        <f t="shared" si="50"/>
        <v>0</v>
      </c>
      <c r="X237" s="51" t="e">
        <f>VLOOKUP(W237,送料!$J$3:$K$42,2,FALSE)</f>
        <v>#N/A</v>
      </c>
      <c r="Y237" s="51" t="e">
        <f>VLOOKUP(X237,送料!$A$1:$B$40,2,FALSE)</f>
        <v>#N/A</v>
      </c>
      <c r="Z237" s="59">
        <f t="shared" si="51"/>
        <v>0</v>
      </c>
      <c r="AA237" s="62">
        <f t="shared" si="52"/>
        <v>4.5</v>
      </c>
      <c r="AB237" s="62">
        <f t="shared" si="53"/>
        <v>0</v>
      </c>
      <c r="AC237" s="65" t="e">
        <f t="shared" si="56"/>
        <v>#N/A</v>
      </c>
      <c r="AD237" s="65">
        <f t="shared" si="54"/>
        <v>0</v>
      </c>
      <c r="AE237" s="66" t="e">
        <f t="shared" si="55"/>
        <v>#N/A</v>
      </c>
    </row>
    <row r="238" spans="1:31">
      <c r="A238" s="105" t="s">
        <v>421</v>
      </c>
      <c r="B238" s="33"/>
      <c r="C238" s="115"/>
      <c r="D238" s="55"/>
      <c r="E238" s="45"/>
      <c r="F238" s="21"/>
      <c r="G238" s="21"/>
      <c r="H238" s="42"/>
      <c r="I238" s="42"/>
      <c r="J238" s="42"/>
      <c r="K238" s="42"/>
      <c r="L238" s="42"/>
      <c r="M238" s="31" t="str">
        <f>IFERROR(VLOOKUP(W238,送料!$J$3:$K$42,2,FALSE),"")</f>
        <v/>
      </c>
      <c r="N238" s="108"/>
      <c r="O238" s="30"/>
      <c r="P238" s="30"/>
      <c r="Q238" s="30"/>
      <c r="R238" s="30"/>
      <c r="S238" s="30"/>
      <c r="T238" s="53">
        <f t="shared" si="47"/>
        <v>0</v>
      </c>
      <c r="U238" s="53">
        <f t="shared" si="48"/>
        <v>0</v>
      </c>
      <c r="V238" s="53">
        <f t="shared" si="49"/>
        <v>0</v>
      </c>
      <c r="W238" s="54">
        <f t="shared" si="50"/>
        <v>0</v>
      </c>
      <c r="X238" s="51" t="e">
        <f>VLOOKUP(W238,送料!$J$3:$K$42,2,FALSE)</f>
        <v>#N/A</v>
      </c>
      <c r="Y238" s="51" t="e">
        <f>VLOOKUP(X238,送料!$A$1:$B$40,2,FALSE)</f>
        <v>#N/A</v>
      </c>
      <c r="Z238" s="59">
        <f t="shared" si="51"/>
        <v>0</v>
      </c>
      <c r="AA238" s="62">
        <f t="shared" si="52"/>
        <v>4.5</v>
      </c>
      <c r="AB238" s="62">
        <f t="shared" si="53"/>
        <v>0</v>
      </c>
      <c r="AC238" s="65" t="e">
        <f t="shared" si="56"/>
        <v>#N/A</v>
      </c>
      <c r="AD238" s="65">
        <f t="shared" si="54"/>
        <v>0</v>
      </c>
      <c r="AE238" s="66" t="e">
        <f t="shared" si="55"/>
        <v>#N/A</v>
      </c>
    </row>
    <row r="239" spans="1:31">
      <c r="A239" s="105" t="s">
        <v>422</v>
      </c>
      <c r="B239" s="33"/>
      <c r="C239" s="115"/>
      <c r="D239" s="55"/>
      <c r="E239" s="45"/>
      <c r="F239" s="21"/>
      <c r="G239" s="21"/>
      <c r="H239" s="42"/>
      <c r="I239" s="42"/>
      <c r="J239" s="42"/>
      <c r="K239" s="42"/>
      <c r="L239" s="42"/>
      <c r="M239" s="31" t="str">
        <f>IFERROR(VLOOKUP(W239,送料!$J$3:$K$42,2,FALSE),"")</f>
        <v/>
      </c>
      <c r="N239" s="108"/>
      <c r="O239" s="30"/>
      <c r="P239" s="30"/>
      <c r="Q239" s="30"/>
      <c r="R239" s="30"/>
      <c r="S239" s="30"/>
      <c r="T239" s="53">
        <f t="shared" si="47"/>
        <v>0</v>
      </c>
      <c r="U239" s="53">
        <f t="shared" si="48"/>
        <v>0</v>
      </c>
      <c r="V239" s="53">
        <f t="shared" si="49"/>
        <v>0</v>
      </c>
      <c r="W239" s="54">
        <f t="shared" si="50"/>
        <v>0</v>
      </c>
      <c r="X239" s="51" t="e">
        <f>VLOOKUP(W239,送料!$J$3:$K$42,2,FALSE)</f>
        <v>#N/A</v>
      </c>
      <c r="Y239" s="51" t="e">
        <f>VLOOKUP(X239,送料!$A$1:$B$40,2,FALSE)</f>
        <v>#N/A</v>
      </c>
      <c r="Z239" s="59">
        <f t="shared" si="51"/>
        <v>0</v>
      </c>
      <c r="AA239" s="62">
        <f t="shared" si="52"/>
        <v>4.5</v>
      </c>
      <c r="AB239" s="62">
        <f t="shared" si="53"/>
        <v>0</v>
      </c>
      <c r="AC239" s="65" t="e">
        <f t="shared" si="56"/>
        <v>#N/A</v>
      </c>
      <c r="AD239" s="65">
        <f t="shared" si="54"/>
        <v>0</v>
      </c>
      <c r="AE239" s="66" t="e">
        <f t="shared" si="55"/>
        <v>#N/A</v>
      </c>
    </row>
    <row r="240" spans="1:31">
      <c r="A240" s="105" t="s">
        <v>423</v>
      </c>
      <c r="B240" s="33"/>
      <c r="C240" s="115"/>
      <c r="D240" s="55"/>
      <c r="E240" s="45"/>
      <c r="F240" s="21"/>
      <c r="G240" s="21"/>
      <c r="H240" s="42"/>
      <c r="I240" s="42"/>
      <c r="J240" s="42"/>
      <c r="K240" s="42"/>
      <c r="L240" s="42"/>
      <c r="M240" s="31" t="str">
        <f>IFERROR(VLOOKUP(W240,送料!$J$3:$K$42,2,FALSE),"")</f>
        <v/>
      </c>
      <c r="N240" s="108"/>
      <c r="O240" s="30"/>
      <c r="P240" s="30"/>
      <c r="Q240" s="30"/>
      <c r="R240" s="30"/>
      <c r="S240" s="30"/>
      <c r="T240" s="53">
        <f t="shared" si="47"/>
        <v>0</v>
      </c>
      <c r="U240" s="53">
        <f t="shared" si="48"/>
        <v>0</v>
      </c>
      <c r="V240" s="53">
        <f t="shared" si="49"/>
        <v>0</v>
      </c>
      <c r="W240" s="54">
        <f t="shared" si="50"/>
        <v>0</v>
      </c>
      <c r="X240" s="51" t="e">
        <f>VLOOKUP(W240,送料!$J$3:$K$42,2,FALSE)</f>
        <v>#N/A</v>
      </c>
      <c r="Y240" s="51" t="e">
        <f>VLOOKUP(X240,送料!$A$1:$B$40,2,FALSE)</f>
        <v>#N/A</v>
      </c>
      <c r="Z240" s="59">
        <f t="shared" si="51"/>
        <v>0</v>
      </c>
      <c r="AA240" s="62">
        <f t="shared" si="52"/>
        <v>4.5</v>
      </c>
      <c r="AB240" s="62">
        <f t="shared" si="53"/>
        <v>0</v>
      </c>
      <c r="AC240" s="65" t="e">
        <f t="shared" si="56"/>
        <v>#N/A</v>
      </c>
      <c r="AD240" s="65">
        <f t="shared" si="54"/>
        <v>0</v>
      </c>
      <c r="AE240" s="66" t="e">
        <f t="shared" si="55"/>
        <v>#N/A</v>
      </c>
    </row>
    <row r="241" spans="1:31">
      <c r="A241" s="105" t="s">
        <v>424</v>
      </c>
      <c r="B241" s="33"/>
      <c r="C241" s="115"/>
      <c r="D241" s="55"/>
      <c r="E241" s="45"/>
      <c r="F241" s="21"/>
      <c r="G241" s="21"/>
      <c r="H241" s="42"/>
      <c r="I241" s="42"/>
      <c r="J241" s="42"/>
      <c r="K241" s="42"/>
      <c r="L241" s="42"/>
      <c r="M241" s="31" t="str">
        <f>IFERROR(VLOOKUP(W241,送料!$J$3:$K$42,2,FALSE),"")</f>
        <v/>
      </c>
      <c r="N241" s="108"/>
      <c r="O241" s="30"/>
      <c r="P241" s="30"/>
      <c r="Q241" s="30"/>
      <c r="R241" s="30"/>
      <c r="S241" s="30"/>
      <c r="T241" s="53">
        <f t="shared" si="47"/>
        <v>0</v>
      </c>
      <c r="U241" s="53">
        <f t="shared" si="48"/>
        <v>0</v>
      </c>
      <c r="V241" s="53">
        <f t="shared" si="49"/>
        <v>0</v>
      </c>
      <c r="W241" s="54">
        <f t="shared" si="50"/>
        <v>0</v>
      </c>
      <c r="X241" s="51" t="e">
        <f>VLOOKUP(W241,送料!$J$3:$K$42,2,FALSE)</f>
        <v>#N/A</v>
      </c>
      <c r="Y241" s="51" t="e">
        <f>VLOOKUP(X241,送料!$A$1:$B$40,2,FALSE)</f>
        <v>#N/A</v>
      </c>
      <c r="Z241" s="59">
        <f t="shared" si="51"/>
        <v>0</v>
      </c>
      <c r="AA241" s="62">
        <f t="shared" si="52"/>
        <v>4.5</v>
      </c>
      <c r="AB241" s="62">
        <f t="shared" si="53"/>
        <v>0</v>
      </c>
      <c r="AC241" s="65" t="e">
        <f t="shared" si="56"/>
        <v>#N/A</v>
      </c>
      <c r="AD241" s="65">
        <f t="shared" si="54"/>
        <v>0</v>
      </c>
      <c r="AE241" s="66" t="e">
        <f t="shared" si="55"/>
        <v>#N/A</v>
      </c>
    </row>
    <row r="242" spans="1:31">
      <c r="A242" s="105" t="s">
        <v>425</v>
      </c>
      <c r="B242" s="33"/>
      <c r="C242" s="115"/>
      <c r="D242" s="55"/>
      <c r="E242" s="45"/>
      <c r="F242" s="21"/>
      <c r="G242" s="21"/>
      <c r="H242" s="42"/>
      <c r="I242" s="42"/>
      <c r="J242" s="42"/>
      <c r="K242" s="42"/>
      <c r="L242" s="42"/>
      <c r="M242" s="31" t="str">
        <f>IFERROR(VLOOKUP(W242,送料!$J$3:$K$42,2,FALSE),"")</f>
        <v/>
      </c>
      <c r="N242" s="108"/>
      <c r="O242" s="30"/>
      <c r="P242" s="30"/>
      <c r="Q242" s="30"/>
      <c r="R242" s="30"/>
      <c r="S242" s="30"/>
      <c r="T242" s="53">
        <f t="shared" ref="T242:T305" si="57">O242</f>
        <v>0</v>
      </c>
      <c r="U242" s="53">
        <f t="shared" ref="U242:U305" si="58">(P242*Q242*R242)/5000</f>
        <v>0</v>
      </c>
      <c r="V242" s="53">
        <f t="shared" ref="V242:V305" si="59">MAX(T242,U242)</f>
        <v>0</v>
      </c>
      <c r="W242" s="54">
        <f t="shared" ref="W242:W305" si="60">CEILING(ROUNDDOWN(V242,2),0.5)</f>
        <v>0</v>
      </c>
      <c r="X242" s="51" t="e">
        <f>VLOOKUP(W242,送料!$J$3:$K$42,2,FALSE)</f>
        <v>#N/A</v>
      </c>
      <c r="Y242" s="51" t="e">
        <f>VLOOKUP(X242,送料!$A$1:$B$40,2,FALSE)</f>
        <v>#N/A</v>
      </c>
      <c r="Z242" s="59">
        <f t="shared" ref="Z242:Z305" si="61">(N242*S242)*0.16</f>
        <v>0</v>
      </c>
      <c r="AA242" s="62">
        <f t="shared" ref="AA242:AA305" si="62">(N242*0.15)+4.5</f>
        <v>4.5</v>
      </c>
      <c r="AB242" s="62">
        <f t="shared" ref="AB242:AB305" si="63">S242*AA242</f>
        <v>0</v>
      </c>
      <c r="AC242" s="65" t="e">
        <f t="shared" si="56"/>
        <v>#N/A</v>
      </c>
      <c r="AD242" s="65">
        <f t="shared" ref="AD242:AD305" si="64">N242*S242</f>
        <v>0</v>
      </c>
      <c r="AE242" s="66" t="e">
        <f t="shared" ref="AE242:AE305" si="65">AD242-AC242</f>
        <v>#N/A</v>
      </c>
    </row>
    <row r="243" spans="1:31">
      <c r="A243" s="105" t="s">
        <v>426</v>
      </c>
      <c r="B243" s="33"/>
      <c r="C243" s="115"/>
      <c r="D243" s="55"/>
      <c r="E243" s="45"/>
      <c r="F243" s="21"/>
      <c r="G243" s="21"/>
      <c r="H243" s="42"/>
      <c r="I243" s="42"/>
      <c r="J243" s="42"/>
      <c r="K243" s="42"/>
      <c r="L243" s="42"/>
      <c r="M243" s="31" t="str">
        <f>IFERROR(VLOOKUP(W243,送料!$J$3:$K$42,2,FALSE),"")</f>
        <v/>
      </c>
      <c r="N243" s="108"/>
      <c r="O243" s="30"/>
      <c r="P243" s="30"/>
      <c r="Q243" s="30"/>
      <c r="R243" s="30"/>
      <c r="S243" s="30"/>
      <c r="T243" s="53">
        <f t="shared" si="57"/>
        <v>0</v>
      </c>
      <c r="U243" s="53">
        <f t="shared" si="58"/>
        <v>0</v>
      </c>
      <c r="V243" s="53">
        <f t="shared" si="59"/>
        <v>0</v>
      </c>
      <c r="W243" s="54">
        <f t="shared" si="60"/>
        <v>0</v>
      </c>
      <c r="X243" s="51" t="e">
        <f>VLOOKUP(W243,送料!$J$3:$K$42,2,FALSE)</f>
        <v>#N/A</v>
      </c>
      <c r="Y243" s="51" t="e">
        <f>VLOOKUP(X243,送料!$A$1:$B$40,2,FALSE)</f>
        <v>#N/A</v>
      </c>
      <c r="Z243" s="59">
        <f t="shared" si="61"/>
        <v>0</v>
      </c>
      <c r="AA243" s="62">
        <f t="shared" si="62"/>
        <v>4.5</v>
      </c>
      <c r="AB243" s="62">
        <f t="shared" si="63"/>
        <v>0</v>
      </c>
      <c r="AC243" s="65" t="e">
        <f t="shared" si="56"/>
        <v>#N/A</v>
      </c>
      <c r="AD243" s="65">
        <f t="shared" si="64"/>
        <v>0</v>
      </c>
      <c r="AE243" s="66" t="e">
        <f t="shared" si="65"/>
        <v>#N/A</v>
      </c>
    </row>
    <row r="244" spans="1:31">
      <c r="A244" s="105" t="s">
        <v>427</v>
      </c>
      <c r="B244" s="33"/>
      <c r="C244" s="115"/>
      <c r="D244" s="55"/>
      <c r="E244" s="45"/>
      <c r="F244" s="21"/>
      <c r="G244" s="21"/>
      <c r="H244" s="42"/>
      <c r="I244" s="42"/>
      <c r="J244" s="42"/>
      <c r="K244" s="42"/>
      <c r="L244" s="42"/>
      <c r="M244" s="31" t="str">
        <f>IFERROR(VLOOKUP(W244,送料!$J$3:$K$42,2,FALSE),"")</f>
        <v/>
      </c>
      <c r="N244" s="108"/>
      <c r="O244" s="30"/>
      <c r="P244" s="30"/>
      <c r="Q244" s="30"/>
      <c r="R244" s="30"/>
      <c r="S244" s="30"/>
      <c r="T244" s="53">
        <f t="shared" si="57"/>
        <v>0</v>
      </c>
      <c r="U244" s="53">
        <f t="shared" si="58"/>
        <v>0</v>
      </c>
      <c r="V244" s="53">
        <f t="shared" si="59"/>
        <v>0</v>
      </c>
      <c r="W244" s="54">
        <f t="shared" si="60"/>
        <v>0</v>
      </c>
      <c r="X244" s="51" t="e">
        <f>VLOOKUP(W244,送料!$J$3:$K$42,2,FALSE)</f>
        <v>#N/A</v>
      </c>
      <c r="Y244" s="51" t="e">
        <f>VLOOKUP(X244,送料!$A$1:$B$40,2,FALSE)</f>
        <v>#N/A</v>
      </c>
      <c r="Z244" s="59">
        <f t="shared" si="61"/>
        <v>0</v>
      </c>
      <c r="AA244" s="62">
        <f t="shared" si="62"/>
        <v>4.5</v>
      </c>
      <c r="AB244" s="62">
        <f t="shared" si="63"/>
        <v>0</v>
      </c>
      <c r="AC244" s="65" t="e">
        <f t="shared" si="56"/>
        <v>#N/A</v>
      </c>
      <c r="AD244" s="65">
        <f t="shared" si="64"/>
        <v>0</v>
      </c>
      <c r="AE244" s="66" t="e">
        <f t="shared" si="65"/>
        <v>#N/A</v>
      </c>
    </row>
    <row r="245" spans="1:31">
      <c r="A245" s="105" t="s">
        <v>428</v>
      </c>
      <c r="B245" s="33"/>
      <c r="C245" s="115"/>
      <c r="D245" s="55"/>
      <c r="E245" s="45"/>
      <c r="F245" s="21"/>
      <c r="G245" s="21"/>
      <c r="H245" s="42"/>
      <c r="I245" s="42"/>
      <c r="J245" s="42"/>
      <c r="K245" s="42"/>
      <c r="L245" s="42"/>
      <c r="M245" s="31" t="str">
        <f>IFERROR(VLOOKUP(W245,送料!$J$3:$K$42,2,FALSE),"")</f>
        <v/>
      </c>
      <c r="N245" s="108"/>
      <c r="O245" s="30"/>
      <c r="P245" s="30"/>
      <c r="Q245" s="30"/>
      <c r="R245" s="30"/>
      <c r="S245" s="30"/>
      <c r="T245" s="53">
        <f t="shared" si="57"/>
        <v>0</v>
      </c>
      <c r="U245" s="53">
        <f t="shared" si="58"/>
        <v>0</v>
      </c>
      <c r="V245" s="53">
        <f t="shared" si="59"/>
        <v>0</v>
      </c>
      <c r="W245" s="54">
        <f t="shared" si="60"/>
        <v>0</v>
      </c>
      <c r="X245" s="51" t="e">
        <f>VLOOKUP(W245,送料!$J$3:$K$42,2,FALSE)</f>
        <v>#N/A</v>
      </c>
      <c r="Y245" s="51" t="e">
        <f>VLOOKUP(X245,送料!$A$1:$B$40,2,FALSE)</f>
        <v>#N/A</v>
      </c>
      <c r="Z245" s="59">
        <f t="shared" si="61"/>
        <v>0</v>
      </c>
      <c r="AA245" s="62">
        <f t="shared" si="62"/>
        <v>4.5</v>
      </c>
      <c r="AB245" s="62">
        <f t="shared" si="63"/>
        <v>0</v>
      </c>
      <c r="AC245" s="65" t="e">
        <f t="shared" si="56"/>
        <v>#N/A</v>
      </c>
      <c r="AD245" s="65">
        <f t="shared" si="64"/>
        <v>0</v>
      </c>
      <c r="AE245" s="66" t="e">
        <f t="shared" si="65"/>
        <v>#N/A</v>
      </c>
    </row>
    <row r="246" spans="1:31">
      <c r="A246" s="105" t="s">
        <v>429</v>
      </c>
      <c r="B246" s="33"/>
      <c r="C246" s="115"/>
      <c r="D246" s="55"/>
      <c r="E246" s="45"/>
      <c r="F246" s="21"/>
      <c r="G246" s="21"/>
      <c r="H246" s="42"/>
      <c r="I246" s="42"/>
      <c r="J246" s="42"/>
      <c r="K246" s="42"/>
      <c r="L246" s="42"/>
      <c r="M246" s="31" t="str">
        <f>IFERROR(VLOOKUP(W246,送料!$J$3:$K$42,2,FALSE),"")</f>
        <v/>
      </c>
      <c r="N246" s="108"/>
      <c r="O246" s="30"/>
      <c r="P246" s="30"/>
      <c r="Q246" s="30"/>
      <c r="R246" s="30"/>
      <c r="S246" s="30"/>
      <c r="T246" s="53">
        <f t="shared" si="57"/>
        <v>0</v>
      </c>
      <c r="U246" s="53">
        <f t="shared" si="58"/>
        <v>0</v>
      </c>
      <c r="V246" s="53">
        <f t="shared" si="59"/>
        <v>0</v>
      </c>
      <c r="W246" s="54">
        <f t="shared" si="60"/>
        <v>0</v>
      </c>
      <c r="X246" s="51" t="e">
        <f>VLOOKUP(W246,送料!$J$3:$K$42,2,FALSE)</f>
        <v>#N/A</v>
      </c>
      <c r="Y246" s="51" t="e">
        <f>VLOOKUP(X246,送料!$A$1:$B$40,2,FALSE)</f>
        <v>#N/A</v>
      </c>
      <c r="Z246" s="59">
        <f t="shared" si="61"/>
        <v>0</v>
      </c>
      <c r="AA246" s="62">
        <f t="shared" si="62"/>
        <v>4.5</v>
      </c>
      <c r="AB246" s="62">
        <f t="shared" si="63"/>
        <v>0</v>
      </c>
      <c r="AC246" s="65" t="e">
        <f t="shared" si="56"/>
        <v>#N/A</v>
      </c>
      <c r="AD246" s="65">
        <f t="shared" si="64"/>
        <v>0</v>
      </c>
      <c r="AE246" s="66" t="e">
        <f t="shared" si="65"/>
        <v>#N/A</v>
      </c>
    </row>
    <row r="247" spans="1:31">
      <c r="A247" s="105" t="s">
        <v>430</v>
      </c>
      <c r="B247" s="33"/>
      <c r="C247" s="115"/>
      <c r="D247" s="55"/>
      <c r="E247" s="45"/>
      <c r="F247" s="21"/>
      <c r="G247" s="21"/>
      <c r="H247" s="42"/>
      <c r="I247" s="42"/>
      <c r="J247" s="42"/>
      <c r="K247" s="42"/>
      <c r="L247" s="42"/>
      <c r="M247" s="31" t="str">
        <f>IFERROR(VLOOKUP(W247,送料!$J$3:$K$42,2,FALSE),"")</f>
        <v/>
      </c>
      <c r="N247" s="108"/>
      <c r="O247" s="30"/>
      <c r="P247" s="30"/>
      <c r="Q247" s="30"/>
      <c r="R247" s="30"/>
      <c r="S247" s="30"/>
      <c r="T247" s="53">
        <f t="shared" si="57"/>
        <v>0</v>
      </c>
      <c r="U247" s="53">
        <f t="shared" si="58"/>
        <v>0</v>
      </c>
      <c r="V247" s="53">
        <f t="shared" si="59"/>
        <v>0</v>
      </c>
      <c r="W247" s="54">
        <f t="shared" si="60"/>
        <v>0</v>
      </c>
      <c r="X247" s="51" t="e">
        <f>VLOOKUP(W247,送料!$J$3:$K$42,2,FALSE)</f>
        <v>#N/A</v>
      </c>
      <c r="Y247" s="51" t="e">
        <f>VLOOKUP(X247,送料!$A$1:$B$40,2,FALSE)</f>
        <v>#N/A</v>
      </c>
      <c r="Z247" s="59">
        <f t="shared" si="61"/>
        <v>0</v>
      </c>
      <c r="AA247" s="62">
        <f t="shared" si="62"/>
        <v>4.5</v>
      </c>
      <c r="AB247" s="62">
        <f t="shared" si="63"/>
        <v>0</v>
      </c>
      <c r="AC247" s="65" t="e">
        <f t="shared" si="56"/>
        <v>#N/A</v>
      </c>
      <c r="AD247" s="65">
        <f t="shared" si="64"/>
        <v>0</v>
      </c>
      <c r="AE247" s="66" t="e">
        <f t="shared" si="65"/>
        <v>#N/A</v>
      </c>
    </row>
    <row r="248" spans="1:31">
      <c r="A248" s="105" t="s">
        <v>431</v>
      </c>
      <c r="B248" s="33"/>
      <c r="C248" s="115"/>
      <c r="D248" s="55"/>
      <c r="E248" s="45"/>
      <c r="F248" s="21"/>
      <c r="G248" s="21"/>
      <c r="H248" s="42"/>
      <c r="I248" s="42"/>
      <c r="J248" s="42"/>
      <c r="K248" s="42"/>
      <c r="L248" s="42"/>
      <c r="M248" s="31" t="str">
        <f>IFERROR(VLOOKUP(W248,送料!$J$3:$K$42,2,FALSE),"")</f>
        <v/>
      </c>
      <c r="N248" s="108"/>
      <c r="O248" s="30"/>
      <c r="P248" s="30"/>
      <c r="Q248" s="30"/>
      <c r="R248" s="30"/>
      <c r="S248" s="30"/>
      <c r="T248" s="53">
        <f t="shared" si="57"/>
        <v>0</v>
      </c>
      <c r="U248" s="53">
        <f t="shared" si="58"/>
        <v>0</v>
      </c>
      <c r="V248" s="53">
        <f t="shared" si="59"/>
        <v>0</v>
      </c>
      <c r="W248" s="54">
        <f t="shared" si="60"/>
        <v>0</v>
      </c>
      <c r="X248" s="51" t="e">
        <f>VLOOKUP(W248,送料!$J$3:$K$42,2,FALSE)</f>
        <v>#N/A</v>
      </c>
      <c r="Y248" s="51" t="e">
        <f>VLOOKUP(X248,送料!$A$1:$B$40,2,FALSE)</f>
        <v>#N/A</v>
      </c>
      <c r="Z248" s="59">
        <f t="shared" si="61"/>
        <v>0</v>
      </c>
      <c r="AA248" s="62">
        <f t="shared" si="62"/>
        <v>4.5</v>
      </c>
      <c r="AB248" s="62">
        <f t="shared" si="63"/>
        <v>0</v>
      </c>
      <c r="AC248" s="65" t="e">
        <f t="shared" si="56"/>
        <v>#N/A</v>
      </c>
      <c r="AD248" s="65">
        <f t="shared" si="64"/>
        <v>0</v>
      </c>
      <c r="AE248" s="66" t="e">
        <f t="shared" si="65"/>
        <v>#N/A</v>
      </c>
    </row>
    <row r="249" spans="1:31">
      <c r="A249" s="105" t="s">
        <v>432</v>
      </c>
      <c r="B249" s="33"/>
      <c r="C249" s="115"/>
      <c r="D249" s="55"/>
      <c r="E249" s="45"/>
      <c r="F249" s="21"/>
      <c r="G249" s="21"/>
      <c r="H249" s="42"/>
      <c r="I249" s="42"/>
      <c r="J249" s="42"/>
      <c r="K249" s="42"/>
      <c r="L249" s="42"/>
      <c r="M249" s="31" t="str">
        <f>IFERROR(VLOOKUP(W249,送料!$J$3:$K$42,2,FALSE),"")</f>
        <v/>
      </c>
      <c r="N249" s="108"/>
      <c r="O249" s="30"/>
      <c r="P249" s="30"/>
      <c r="Q249" s="30"/>
      <c r="R249" s="30"/>
      <c r="S249" s="30"/>
      <c r="T249" s="53">
        <f t="shared" si="57"/>
        <v>0</v>
      </c>
      <c r="U249" s="53">
        <f t="shared" si="58"/>
        <v>0</v>
      </c>
      <c r="V249" s="53">
        <f t="shared" si="59"/>
        <v>0</v>
      </c>
      <c r="W249" s="54">
        <f t="shared" si="60"/>
        <v>0</v>
      </c>
      <c r="X249" s="51" t="e">
        <f>VLOOKUP(W249,送料!$J$3:$K$42,2,FALSE)</f>
        <v>#N/A</v>
      </c>
      <c r="Y249" s="51" t="e">
        <f>VLOOKUP(X249,送料!$A$1:$B$40,2,FALSE)</f>
        <v>#N/A</v>
      </c>
      <c r="Z249" s="59">
        <f t="shared" si="61"/>
        <v>0</v>
      </c>
      <c r="AA249" s="62">
        <f t="shared" si="62"/>
        <v>4.5</v>
      </c>
      <c r="AB249" s="62">
        <f t="shared" si="63"/>
        <v>0</v>
      </c>
      <c r="AC249" s="65" t="e">
        <f t="shared" si="56"/>
        <v>#N/A</v>
      </c>
      <c r="AD249" s="65">
        <f t="shared" si="64"/>
        <v>0</v>
      </c>
      <c r="AE249" s="66" t="e">
        <f t="shared" si="65"/>
        <v>#N/A</v>
      </c>
    </row>
    <row r="250" spans="1:31">
      <c r="A250" s="105" t="s">
        <v>433</v>
      </c>
      <c r="B250" s="33"/>
      <c r="C250" s="115"/>
      <c r="D250" s="55"/>
      <c r="E250" s="45"/>
      <c r="F250" s="21"/>
      <c r="G250" s="21"/>
      <c r="H250" s="42"/>
      <c r="I250" s="42"/>
      <c r="J250" s="42"/>
      <c r="K250" s="42"/>
      <c r="L250" s="42"/>
      <c r="M250" s="31" t="str">
        <f>IFERROR(VLOOKUP(W250,送料!$J$3:$K$42,2,FALSE),"")</f>
        <v/>
      </c>
      <c r="N250" s="108"/>
      <c r="O250" s="30"/>
      <c r="P250" s="30"/>
      <c r="Q250" s="30"/>
      <c r="R250" s="30"/>
      <c r="S250" s="30"/>
      <c r="T250" s="53">
        <f t="shared" si="57"/>
        <v>0</v>
      </c>
      <c r="U250" s="53">
        <f t="shared" si="58"/>
        <v>0</v>
      </c>
      <c r="V250" s="53">
        <f t="shared" si="59"/>
        <v>0</v>
      </c>
      <c r="W250" s="54">
        <f t="shared" si="60"/>
        <v>0</v>
      </c>
      <c r="X250" s="51" t="e">
        <f>VLOOKUP(W250,送料!$J$3:$K$42,2,FALSE)</f>
        <v>#N/A</v>
      </c>
      <c r="Y250" s="51" t="e">
        <f>VLOOKUP(X250,送料!$A$1:$B$40,2,FALSE)</f>
        <v>#N/A</v>
      </c>
      <c r="Z250" s="59">
        <f t="shared" si="61"/>
        <v>0</v>
      </c>
      <c r="AA250" s="62">
        <f t="shared" si="62"/>
        <v>4.5</v>
      </c>
      <c r="AB250" s="62">
        <f t="shared" si="63"/>
        <v>0</v>
      </c>
      <c r="AC250" s="65" t="e">
        <f t="shared" si="56"/>
        <v>#N/A</v>
      </c>
      <c r="AD250" s="65">
        <f t="shared" si="64"/>
        <v>0</v>
      </c>
      <c r="AE250" s="66" t="e">
        <f t="shared" si="65"/>
        <v>#N/A</v>
      </c>
    </row>
    <row r="251" spans="1:31">
      <c r="A251" s="105" t="s">
        <v>434</v>
      </c>
      <c r="B251" s="33"/>
      <c r="C251" s="115"/>
      <c r="D251" s="55"/>
      <c r="E251" s="45"/>
      <c r="F251" s="21"/>
      <c r="G251" s="21"/>
      <c r="H251" s="42"/>
      <c r="I251" s="42"/>
      <c r="J251" s="42"/>
      <c r="K251" s="42"/>
      <c r="L251" s="42"/>
      <c r="M251" s="31" t="str">
        <f>IFERROR(VLOOKUP(W251,送料!$J$3:$K$42,2,FALSE),"")</f>
        <v/>
      </c>
      <c r="N251" s="108"/>
      <c r="O251" s="30"/>
      <c r="P251" s="30"/>
      <c r="Q251" s="30"/>
      <c r="R251" s="30"/>
      <c r="S251" s="30"/>
      <c r="T251" s="53">
        <f t="shared" si="57"/>
        <v>0</v>
      </c>
      <c r="U251" s="53">
        <f t="shared" si="58"/>
        <v>0</v>
      </c>
      <c r="V251" s="53">
        <f t="shared" si="59"/>
        <v>0</v>
      </c>
      <c r="W251" s="54">
        <f t="shared" si="60"/>
        <v>0</v>
      </c>
      <c r="X251" s="51" t="e">
        <f>VLOOKUP(W251,送料!$J$3:$K$42,2,FALSE)</f>
        <v>#N/A</v>
      </c>
      <c r="Y251" s="51" t="e">
        <f>VLOOKUP(X251,送料!$A$1:$B$40,2,FALSE)</f>
        <v>#N/A</v>
      </c>
      <c r="Z251" s="59">
        <f t="shared" si="61"/>
        <v>0</v>
      </c>
      <c r="AA251" s="62">
        <f t="shared" si="62"/>
        <v>4.5</v>
      </c>
      <c r="AB251" s="62">
        <f t="shared" si="63"/>
        <v>0</v>
      </c>
      <c r="AC251" s="65" t="e">
        <f t="shared" si="56"/>
        <v>#N/A</v>
      </c>
      <c r="AD251" s="65">
        <f t="shared" si="64"/>
        <v>0</v>
      </c>
      <c r="AE251" s="66" t="e">
        <f t="shared" si="65"/>
        <v>#N/A</v>
      </c>
    </row>
    <row r="252" spans="1:31">
      <c r="A252" s="105" t="s">
        <v>435</v>
      </c>
      <c r="B252" s="33"/>
      <c r="C252" s="115"/>
      <c r="D252" s="55"/>
      <c r="E252" s="45"/>
      <c r="F252" s="21"/>
      <c r="G252" s="21"/>
      <c r="H252" s="42"/>
      <c r="I252" s="42"/>
      <c r="J252" s="42"/>
      <c r="K252" s="42"/>
      <c r="L252" s="42"/>
      <c r="M252" s="31" t="str">
        <f>IFERROR(VLOOKUP(W252,送料!$J$3:$K$42,2,FALSE),"")</f>
        <v/>
      </c>
      <c r="N252" s="108"/>
      <c r="O252" s="30"/>
      <c r="P252" s="30"/>
      <c r="Q252" s="30"/>
      <c r="R252" s="30"/>
      <c r="S252" s="30"/>
      <c r="T252" s="53">
        <f t="shared" si="57"/>
        <v>0</v>
      </c>
      <c r="U252" s="53">
        <f t="shared" si="58"/>
        <v>0</v>
      </c>
      <c r="V252" s="53">
        <f t="shared" si="59"/>
        <v>0</v>
      </c>
      <c r="W252" s="54">
        <f t="shared" si="60"/>
        <v>0</v>
      </c>
      <c r="X252" s="51" t="e">
        <f>VLOOKUP(W252,送料!$J$3:$K$42,2,FALSE)</f>
        <v>#N/A</v>
      </c>
      <c r="Y252" s="51" t="e">
        <f>VLOOKUP(X252,送料!$A$1:$B$40,2,FALSE)</f>
        <v>#N/A</v>
      </c>
      <c r="Z252" s="59">
        <f t="shared" si="61"/>
        <v>0</v>
      </c>
      <c r="AA252" s="62">
        <f t="shared" si="62"/>
        <v>4.5</v>
      </c>
      <c r="AB252" s="62">
        <f t="shared" si="63"/>
        <v>0</v>
      </c>
      <c r="AC252" s="65" t="e">
        <f t="shared" si="56"/>
        <v>#N/A</v>
      </c>
      <c r="AD252" s="65">
        <f t="shared" si="64"/>
        <v>0</v>
      </c>
      <c r="AE252" s="66" t="e">
        <f t="shared" si="65"/>
        <v>#N/A</v>
      </c>
    </row>
    <row r="253" spans="1:31">
      <c r="A253" s="105" t="s">
        <v>436</v>
      </c>
      <c r="B253" s="33"/>
      <c r="C253" s="115"/>
      <c r="D253" s="55"/>
      <c r="E253" s="45"/>
      <c r="F253" s="21"/>
      <c r="G253" s="21"/>
      <c r="H253" s="42"/>
      <c r="I253" s="42"/>
      <c r="J253" s="42"/>
      <c r="K253" s="42"/>
      <c r="L253" s="42"/>
      <c r="M253" s="31" t="str">
        <f>IFERROR(VLOOKUP(W253,送料!$J$3:$K$42,2,FALSE),"")</f>
        <v/>
      </c>
      <c r="N253" s="108"/>
      <c r="O253" s="30"/>
      <c r="P253" s="30"/>
      <c r="Q253" s="30"/>
      <c r="R253" s="30"/>
      <c r="S253" s="30"/>
      <c r="T253" s="53">
        <f t="shared" si="57"/>
        <v>0</v>
      </c>
      <c r="U253" s="53">
        <f t="shared" si="58"/>
        <v>0</v>
      </c>
      <c r="V253" s="53">
        <f t="shared" si="59"/>
        <v>0</v>
      </c>
      <c r="W253" s="54">
        <f t="shared" si="60"/>
        <v>0</v>
      </c>
      <c r="X253" s="51" t="e">
        <f>VLOOKUP(W253,送料!$J$3:$K$42,2,FALSE)</f>
        <v>#N/A</v>
      </c>
      <c r="Y253" s="51" t="e">
        <f>VLOOKUP(X253,送料!$A$1:$B$40,2,FALSE)</f>
        <v>#N/A</v>
      </c>
      <c r="Z253" s="59">
        <f t="shared" si="61"/>
        <v>0</v>
      </c>
      <c r="AA253" s="62">
        <f t="shared" si="62"/>
        <v>4.5</v>
      </c>
      <c r="AB253" s="62">
        <f t="shared" si="63"/>
        <v>0</v>
      </c>
      <c r="AC253" s="65" t="e">
        <f t="shared" si="56"/>
        <v>#N/A</v>
      </c>
      <c r="AD253" s="65">
        <f t="shared" si="64"/>
        <v>0</v>
      </c>
      <c r="AE253" s="66" t="e">
        <f t="shared" si="65"/>
        <v>#N/A</v>
      </c>
    </row>
    <row r="254" spans="1:31">
      <c r="A254" s="105" t="s">
        <v>437</v>
      </c>
      <c r="B254" s="33"/>
      <c r="C254" s="115"/>
      <c r="D254" s="55"/>
      <c r="E254" s="45"/>
      <c r="F254" s="21"/>
      <c r="G254" s="21"/>
      <c r="H254" s="42"/>
      <c r="I254" s="42"/>
      <c r="J254" s="42"/>
      <c r="K254" s="42"/>
      <c r="L254" s="42"/>
      <c r="M254" s="31" t="str">
        <f>IFERROR(VLOOKUP(W254,送料!$J$3:$K$42,2,FALSE),"")</f>
        <v/>
      </c>
      <c r="N254" s="108"/>
      <c r="O254" s="30"/>
      <c r="P254" s="30"/>
      <c r="Q254" s="30"/>
      <c r="R254" s="30"/>
      <c r="S254" s="30"/>
      <c r="T254" s="53">
        <f t="shared" si="57"/>
        <v>0</v>
      </c>
      <c r="U254" s="53">
        <f t="shared" si="58"/>
        <v>0</v>
      </c>
      <c r="V254" s="53">
        <f t="shared" si="59"/>
        <v>0</v>
      </c>
      <c r="W254" s="54">
        <f t="shared" si="60"/>
        <v>0</v>
      </c>
      <c r="X254" s="51" t="e">
        <f>VLOOKUP(W254,送料!$J$3:$K$42,2,FALSE)</f>
        <v>#N/A</v>
      </c>
      <c r="Y254" s="51" t="e">
        <f>VLOOKUP(X254,送料!$A$1:$B$40,2,FALSE)</f>
        <v>#N/A</v>
      </c>
      <c r="Z254" s="59">
        <f t="shared" si="61"/>
        <v>0</v>
      </c>
      <c r="AA254" s="62">
        <f t="shared" si="62"/>
        <v>4.5</v>
      </c>
      <c r="AB254" s="62">
        <f t="shared" si="63"/>
        <v>0</v>
      </c>
      <c r="AC254" s="65" t="e">
        <f t="shared" si="56"/>
        <v>#N/A</v>
      </c>
      <c r="AD254" s="65">
        <f t="shared" si="64"/>
        <v>0</v>
      </c>
      <c r="AE254" s="66" t="e">
        <f t="shared" si="65"/>
        <v>#N/A</v>
      </c>
    </row>
    <row r="255" spans="1:31">
      <c r="A255" s="105" t="s">
        <v>438</v>
      </c>
      <c r="B255" s="33"/>
      <c r="C255" s="115"/>
      <c r="D255" s="55"/>
      <c r="E255" s="45"/>
      <c r="F255" s="21"/>
      <c r="G255" s="21"/>
      <c r="H255" s="42"/>
      <c r="I255" s="42"/>
      <c r="J255" s="42"/>
      <c r="K255" s="42"/>
      <c r="L255" s="42"/>
      <c r="M255" s="31" t="str">
        <f>IFERROR(VLOOKUP(W255,送料!$J$3:$K$42,2,FALSE),"")</f>
        <v/>
      </c>
      <c r="N255" s="108"/>
      <c r="O255" s="30"/>
      <c r="P255" s="30"/>
      <c r="Q255" s="30"/>
      <c r="R255" s="30"/>
      <c r="S255" s="30"/>
      <c r="T255" s="53">
        <f t="shared" si="57"/>
        <v>0</v>
      </c>
      <c r="U255" s="53">
        <f t="shared" si="58"/>
        <v>0</v>
      </c>
      <c r="V255" s="53">
        <f t="shared" si="59"/>
        <v>0</v>
      </c>
      <c r="W255" s="54">
        <f t="shared" si="60"/>
        <v>0</v>
      </c>
      <c r="X255" s="51" t="e">
        <f>VLOOKUP(W255,送料!$J$3:$K$42,2,FALSE)</f>
        <v>#N/A</v>
      </c>
      <c r="Y255" s="51" t="e">
        <f>VLOOKUP(X255,送料!$A$1:$B$40,2,FALSE)</f>
        <v>#N/A</v>
      </c>
      <c r="Z255" s="59">
        <f t="shared" si="61"/>
        <v>0</v>
      </c>
      <c r="AA255" s="62">
        <f t="shared" si="62"/>
        <v>4.5</v>
      </c>
      <c r="AB255" s="62">
        <f t="shared" si="63"/>
        <v>0</v>
      </c>
      <c r="AC255" s="65" t="e">
        <f t="shared" si="56"/>
        <v>#N/A</v>
      </c>
      <c r="AD255" s="65">
        <f t="shared" si="64"/>
        <v>0</v>
      </c>
      <c r="AE255" s="66" t="e">
        <f t="shared" si="65"/>
        <v>#N/A</v>
      </c>
    </row>
    <row r="256" spans="1:31">
      <c r="A256" s="105" t="s">
        <v>439</v>
      </c>
      <c r="B256" s="33"/>
      <c r="C256" s="115"/>
      <c r="D256" s="55"/>
      <c r="E256" s="45"/>
      <c r="F256" s="21"/>
      <c r="G256" s="21"/>
      <c r="H256" s="42"/>
      <c r="I256" s="42"/>
      <c r="J256" s="42"/>
      <c r="K256" s="42"/>
      <c r="L256" s="42"/>
      <c r="M256" s="31" t="str">
        <f>IFERROR(VLOOKUP(W256,送料!$J$3:$K$42,2,FALSE),"")</f>
        <v/>
      </c>
      <c r="N256" s="108"/>
      <c r="O256" s="30"/>
      <c r="P256" s="30"/>
      <c r="Q256" s="30"/>
      <c r="R256" s="30"/>
      <c r="S256" s="30"/>
      <c r="T256" s="53">
        <f t="shared" si="57"/>
        <v>0</v>
      </c>
      <c r="U256" s="53">
        <f t="shared" si="58"/>
        <v>0</v>
      </c>
      <c r="V256" s="53">
        <f t="shared" si="59"/>
        <v>0</v>
      </c>
      <c r="W256" s="54">
        <f t="shared" si="60"/>
        <v>0</v>
      </c>
      <c r="X256" s="51" t="e">
        <f>VLOOKUP(W256,送料!$J$3:$K$42,2,FALSE)</f>
        <v>#N/A</v>
      </c>
      <c r="Y256" s="51" t="e">
        <f>VLOOKUP(X256,送料!$A$1:$B$40,2,FALSE)</f>
        <v>#N/A</v>
      </c>
      <c r="Z256" s="59">
        <f t="shared" si="61"/>
        <v>0</v>
      </c>
      <c r="AA256" s="62">
        <f t="shared" si="62"/>
        <v>4.5</v>
      </c>
      <c r="AB256" s="62">
        <f t="shared" si="63"/>
        <v>0</v>
      </c>
      <c r="AC256" s="65" t="e">
        <f t="shared" si="56"/>
        <v>#N/A</v>
      </c>
      <c r="AD256" s="65">
        <f t="shared" si="64"/>
        <v>0</v>
      </c>
      <c r="AE256" s="66" t="e">
        <f t="shared" si="65"/>
        <v>#N/A</v>
      </c>
    </row>
    <row r="257" spans="1:31">
      <c r="A257" s="105" t="s">
        <v>440</v>
      </c>
      <c r="B257" s="33"/>
      <c r="C257" s="115"/>
      <c r="D257" s="55"/>
      <c r="E257" s="45"/>
      <c r="F257" s="21"/>
      <c r="G257" s="21"/>
      <c r="H257" s="42"/>
      <c r="I257" s="42"/>
      <c r="J257" s="42"/>
      <c r="K257" s="42"/>
      <c r="L257" s="42"/>
      <c r="M257" s="31" t="str">
        <f>IFERROR(VLOOKUP(W257,送料!$J$3:$K$42,2,FALSE),"")</f>
        <v/>
      </c>
      <c r="N257" s="108"/>
      <c r="O257" s="30"/>
      <c r="P257" s="30"/>
      <c r="Q257" s="30"/>
      <c r="R257" s="30"/>
      <c r="S257" s="30"/>
      <c r="T257" s="53">
        <f t="shared" si="57"/>
        <v>0</v>
      </c>
      <c r="U257" s="53">
        <f t="shared" si="58"/>
        <v>0</v>
      </c>
      <c r="V257" s="53">
        <f t="shared" si="59"/>
        <v>0</v>
      </c>
      <c r="W257" s="54">
        <f t="shared" si="60"/>
        <v>0</v>
      </c>
      <c r="X257" s="51" t="e">
        <f>VLOOKUP(W257,送料!$J$3:$K$42,2,FALSE)</f>
        <v>#N/A</v>
      </c>
      <c r="Y257" s="51" t="e">
        <f>VLOOKUP(X257,送料!$A$1:$B$40,2,FALSE)</f>
        <v>#N/A</v>
      </c>
      <c r="Z257" s="59">
        <f t="shared" si="61"/>
        <v>0</v>
      </c>
      <c r="AA257" s="62">
        <f t="shared" si="62"/>
        <v>4.5</v>
      </c>
      <c r="AB257" s="62">
        <f t="shared" si="63"/>
        <v>0</v>
      </c>
      <c r="AC257" s="65" t="e">
        <f t="shared" si="56"/>
        <v>#N/A</v>
      </c>
      <c r="AD257" s="65">
        <f t="shared" si="64"/>
        <v>0</v>
      </c>
      <c r="AE257" s="66" t="e">
        <f t="shared" si="65"/>
        <v>#N/A</v>
      </c>
    </row>
    <row r="258" spans="1:31">
      <c r="A258" s="105" t="s">
        <v>441</v>
      </c>
      <c r="B258" s="33"/>
      <c r="C258" s="115"/>
      <c r="D258" s="55"/>
      <c r="E258" s="45"/>
      <c r="F258" s="21"/>
      <c r="G258" s="21"/>
      <c r="H258" s="42"/>
      <c r="I258" s="42"/>
      <c r="J258" s="42"/>
      <c r="K258" s="42"/>
      <c r="L258" s="42"/>
      <c r="M258" s="31" t="str">
        <f>IFERROR(VLOOKUP(W258,送料!$J$3:$K$42,2,FALSE),"")</f>
        <v/>
      </c>
      <c r="N258" s="108"/>
      <c r="O258" s="30"/>
      <c r="P258" s="30"/>
      <c r="Q258" s="30"/>
      <c r="R258" s="30"/>
      <c r="S258" s="30"/>
      <c r="T258" s="53">
        <f t="shared" si="57"/>
        <v>0</v>
      </c>
      <c r="U258" s="53">
        <f t="shared" si="58"/>
        <v>0</v>
      </c>
      <c r="V258" s="53">
        <f t="shared" si="59"/>
        <v>0</v>
      </c>
      <c r="W258" s="54">
        <f t="shared" si="60"/>
        <v>0</v>
      </c>
      <c r="X258" s="51" t="e">
        <f>VLOOKUP(W258,送料!$J$3:$K$42,2,FALSE)</f>
        <v>#N/A</v>
      </c>
      <c r="Y258" s="51" t="e">
        <f>VLOOKUP(X258,送料!$A$1:$B$40,2,FALSE)</f>
        <v>#N/A</v>
      </c>
      <c r="Z258" s="59">
        <f t="shared" si="61"/>
        <v>0</v>
      </c>
      <c r="AA258" s="62">
        <f t="shared" si="62"/>
        <v>4.5</v>
      </c>
      <c r="AB258" s="62">
        <f t="shared" si="63"/>
        <v>0</v>
      </c>
      <c r="AC258" s="65" t="e">
        <f t="shared" ref="AC258:AC321" si="66">Y258+Z258+AB258+D258</f>
        <v>#N/A</v>
      </c>
      <c r="AD258" s="65">
        <f t="shared" si="64"/>
        <v>0</v>
      </c>
      <c r="AE258" s="66" t="e">
        <f t="shared" si="65"/>
        <v>#N/A</v>
      </c>
    </row>
    <row r="259" spans="1:31">
      <c r="A259" s="105" t="s">
        <v>442</v>
      </c>
      <c r="B259" s="33"/>
      <c r="C259" s="115"/>
      <c r="D259" s="55"/>
      <c r="E259" s="45"/>
      <c r="F259" s="21"/>
      <c r="G259" s="21"/>
      <c r="H259" s="42"/>
      <c r="I259" s="42"/>
      <c r="J259" s="42"/>
      <c r="K259" s="42"/>
      <c r="L259" s="42"/>
      <c r="M259" s="31" t="str">
        <f>IFERROR(VLOOKUP(W259,送料!$J$3:$K$42,2,FALSE),"")</f>
        <v/>
      </c>
      <c r="N259" s="108"/>
      <c r="O259" s="30"/>
      <c r="P259" s="30"/>
      <c r="Q259" s="30"/>
      <c r="R259" s="30"/>
      <c r="S259" s="30"/>
      <c r="T259" s="53">
        <f t="shared" si="57"/>
        <v>0</v>
      </c>
      <c r="U259" s="53">
        <f t="shared" si="58"/>
        <v>0</v>
      </c>
      <c r="V259" s="53">
        <f t="shared" si="59"/>
        <v>0</v>
      </c>
      <c r="W259" s="54">
        <f t="shared" si="60"/>
        <v>0</v>
      </c>
      <c r="X259" s="51" t="e">
        <f>VLOOKUP(W259,送料!$J$3:$K$42,2,FALSE)</f>
        <v>#N/A</v>
      </c>
      <c r="Y259" s="51" t="e">
        <f>VLOOKUP(X259,送料!$A$1:$B$40,2,FALSE)</f>
        <v>#N/A</v>
      </c>
      <c r="Z259" s="59">
        <f t="shared" si="61"/>
        <v>0</v>
      </c>
      <c r="AA259" s="62">
        <f t="shared" si="62"/>
        <v>4.5</v>
      </c>
      <c r="AB259" s="62">
        <f t="shared" si="63"/>
        <v>0</v>
      </c>
      <c r="AC259" s="65" t="e">
        <f t="shared" si="66"/>
        <v>#N/A</v>
      </c>
      <c r="AD259" s="65">
        <f t="shared" si="64"/>
        <v>0</v>
      </c>
      <c r="AE259" s="66" t="e">
        <f t="shared" si="65"/>
        <v>#N/A</v>
      </c>
    </row>
    <row r="260" spans="1:31">
      <c r="A260" s="105" t="s">
        <v>443</v>
      </c>
      <c r="B260" s="33"/>
      <c r="C260" s="115"/>
      <c r="D260" s="55"/>
      <c r="E260" s="45"/>
      <c r="F260" s="21"/>
      <c r="G260" s="21"/>
      <c r="H260" s="42"/>
      <c r="I260" s="42"/>
      <c r="J260" s="42"/>
      <c r="K260" s="42"/>
      <c r="L260" s="42"/>
      <c r="M260" s="31" t="str">
        <f>IFERROR(VLOOKUP(W260,送料!$J$3:$K$42,2,FALSE),"")</f>
        <v/>
      </c>
      <c r="N260" s="108"/>
      <c r="O260" s="30"/>
      <c r="P260" s="30"/>
      <c r="Q260" s="30"/>
      <c r="R260" s="30"/>
      <c r="S260" s="30"/>
      <c r="T260" s="53">
        <f t="shared" si="57"/>
        <v>0</v>
      </c>
      <c r="U260" s="53">
        <f t="shared" si="58"/>
        <v>0</v>
      </c>
      <c r="V260" s="53">
        <f t="shared" si="59"/>
        <v>0</v>
      </c>
      <c r="W260" s="54">
        <f t="shared" si="60"/>
        <v>0</v>
      </c>
      <c r="X260" s="51" t="e">
        <f>VLOOKUP(W260,送料!$J$3:$K$42,2,FALSE)</f>
        <v>#N/A</v>
      </c>
      <c r="Y260" s="51" t="e">
        <f>VLOOKUP(X260,送料!$A$1:$B$40,2,FALSE)</f>
        <v>#N/A</v>
      </c>
      <c r="Z260" s="59">
        <f t="shared" si="61"/>
        <v>0</v>
      </c>
      <c r="AA260" s="62">
        <f t="shared" si="62"/>
        <v>4.5</v>
      </c>
      <c r="AB260" s="62">
        <f t="shared" si="63"/>
        <v>0</v>
      </c>
      <c r="AC260" s="65" t="e">
        <f t="shared" si="66"/>
        <v>#N/A</v>
      </c>
      <c r="AD260" s="65">
        <f t="shared" si="64"/>
        <v>0</v>
      </c>
      <c r="AE260" s="66" t="e">
        <f t="shared" si="65"/>
        <v>#N/A</v>
      </c>
    </row>
    <row r="261" spans="1:31">
      <c r="A261" s="105" t="s">
        <v>444</v>
      </c>
      <c r="B261" s="33"/>
      <c r="C261" s="115"/>
      <c r="D261" s="55"/>
      <c r="E261" s="45"/>
      <c r="F261" s="21"/>
      <c r="G261" s="21"/>
      <c r="H261" s="42"/>
      <c r="I261" s="42"/>
      <c r="J261" s="42"/>
      <c r="K261" s="42"/>
      <c r="L261" s="42"/>
      <c r="M261" s="31" t="str">
        <f>IFERROR(VLOOKUP(W261,送料!$J$3:$K$42,2,FALSE),"")</f>
        <v/>
      </c>
      <c r="N261" s="108"/>
      <c r="O261" s="30"/>
      <c r="P261" s="30"/>
      <c r="Q261" s="30"/>
      <c r="R261" s="30"/>
      <c r="S261" s="30"/>
      <c r="T261" s="53">
        <f t="shared" si="57"/>
        <v>0</v>
      </c>
      <c r="U261" s="53">
        <f t="shared" si="58"/>
        <v>0</v>
      </c>
      <c r="V261" s="53">
        <f t="shared" si="59"/>
        <v>0</v>
      </c>
      <c r="W261" s="54">
        <f t="shared" si="60"/>
        <v>0</v>
      </c>
      <c r="X261" s="51" t="e">
        <f>VLOOKUP(W261,送料!$J$3:$K$42,2,FALSE)</f>
        <v>#N/A</v>
      </c>
      <c r="Y261" s="51" t="e">
        <f>VLOOKUP(X261,送料!$A$1:$B$40,2,FALSE)</f>
        <v>#N/A</v>
      </c>
      <c r="Z261" s="59">
        <f t="shared" si="61"/>
        <v>0</v>
      </c>
      <c r="AA261" s="62">
        <f t="shared" si="62"/>
        <v>4.5</v>
      </c>
      <c r="AB261" s="62">
        <f t="shared" si="63"/>
        <v>0</v>
      </c>
      <c r="AC261" s="65" t="e">
        <f t="shared" si="66"/>
        <v>#N/A</v>
      </c>
      <c r="AD261" s="65">
        <f t="shared" si="64"/>
        <v>0</v>
      </c>
      <c r="AE261" s="66" t="e">
        <f t="shared" si="65"/>
        <v>#N/A</v>
      </c>
    </row>
    <row r="262" spans="1:31">
      <c r="A262" s="105" t="s">
        <v>445</v>
      </c>
      <c r="B262" s="33"/>
      <c r="C262" s="115"/>
      <c r="D262" s="55"/>
      <c r="E262" s="45"/>
      <c r="F262" s="21"/>
      <c r="G262" s="21"/>
      <c r="H262" s="42"/>
      <c r="I262" s="42"/>
      <c r="J262" s="42"/>
      <c r="K262" s="42"/>
      <c r="L262" s="42"/>
      <c r="M262" s="31" t="str">
        <f>IFERROR(VLOOKUP(W262,送料!$J$3:$K$42,2,FALSE),"")</f>
        <v/>
      </c>
      <c r="N262" s="108"/>
      <c r="O262" s="30"/>
      <c r="P262" s="30"/>
      <c r="Q262" s="30"/>
      <c r="R262" s="30"/>
      <c r="S262" s="30"/>
      <c r="T262" s="53">
        <f t="shared" si="57"/>
        <v>0</v>
      </c>
      <c r="U262" s="53">
        <f t="shared" si="58"/>
        <v>0</v>
      </c>
      <c r="V262" s="53">
        <f t="shared" si="59"/>
        <v>0</v>
      </c>
      <c r="W262" s="54">
        <f t="shared" si="60"/>
        <v>0</v>
      </c>
      <c r="X262" s="51" t="e">
        <f>VLOOKUP(W262,送料!$J$3:$K$42,2,FALSE)</f>
        <v>#N/A</v>
      </c>
      <c r="Y262" s="51" t="e">
        <f>VLOOKUP(X262,送料!$A$1:$B$40,2,FALSE)</f>
        <v>#N/A</v>
      </c>
      <c r="Z262" s="59">
        <f t="shared" si="61"/>
        <v>0</v>
      </c>
      <c r="AA262" s="62">
        <f t="shared" si="62"/>
        <v>4.5</v>
      </c>
      <c r="AB262" s="62">
        <f t="shared" si="63"/>
        <v>0</v>
      </c>
      <c r="AC262" s="65" t="e">
        <f t="shared" si="66"/>
        <v>#N/A</v>
      </c>
      <c r="AD262" s="65">
        <f t="shared" si="64"/>
        <v>0</v>
      </c>
      <c r="AE262" s="66" t="e">
        <f t="shared" si="65"/>
        <v>#N/A</v>
      </c>
    </row>
    <row r="263" spans="1:31">
      <c r="A263" s="105" t="s">
        <v>446</v>
      </c>
      <c r="B263" s="33"/>
      <c r="C263" s="115"/>
      <c r="D263" s="55"/>
      <c r="E263" s="45"/>
      <c r="F263" s="21"/>
      <c r="G263" s="21"/>
      <c r="H263" s="42"/>
      <c r="I263" s="42"/>
      <c r="J263" s="42"/>
      <c r="K263" s="42"/>
      <c r="L263" s="42"/>
      <c r="M263" s="31" t="str">
        <f>IFERROR(VLOOKUP(W263,送料!$J$3:$K$42,2,FALSE),"")</f>
        <v/>
      </c>
      <c r="N263" s="108"/>
      <c r="O263" s="30"/>
      <c r="P263" s="30"/>
      <c r="Q263" s="30"/>
      <c r="R263" s="30"/>
      <c r="S263" s="30"/>
      <c r="T263" s="53">
        <f t="shared" si="57"/>
        <v>0</v>
      </c>
      <c r="U263" s="53">
        <f t="shared" si="58"/>
        <v>0</v>
      </c>
      <c r="V263" s="53">
        <f t="shared" si="59"/>
        <v>0</v>
      </c>
      <c r="W263" s="54">
        <f t="shared" si="60"/>
        <v>0</v>
      </c>
      <c r="X263" s="51" t="e">
        <f>VLOOKUP(W263,送料!$J$3:$K$42,2,FALSE)</f>
        <v>#N/A</v>
      </c>
      <c r="Y263" s="51" t="e">
        <f>VLOOKUP(X263,送料!$A$1:$B$40,2,FALSE)</f>
        <v>#N/A</v>
      </c>
      <c r="Z263" s="59">
        <f t="shared" si="61"/>
        <v>0</v>
      </c>
      <c r="AA263" s="62">
        <f t="shared" si="62"/>
        <v>4.5</v>
      </c>
      <c r="AB263" s="62">
        <f t="shared" si="63"/>
        <v>0</v>
      </c>
      <c r="AC263" s="65" t="e">
        <f t="shared" si="66"/>
        <v>#N/A</v>
      </c>
      <c r="AD263" s="65">
        <f t="shared" si="64"/>
        <v>0</v>
      </c>
      <c r="AE263" s="66" t="e">
        <f t="shared" si="65"/>
        <v>#N/A</v>
      </c>
    </row>
    <row r="264" spans="1:31">
      <c r="A264" s="105" t="s">
        <v>447</v>
      </c>
      <c r="B264" s="33"/>
      <c r="C264" s="115"/>
      <c r="D264" s="55"/>
      <c r="E264" s="45"/>
      <c r="F264" s="21"/>
      <c r="G264" s="21"/>
      <c r="H264" s="42"/>
      <c r="I264" s="42"/>
      <c r="J264" s="42"/>
      <c r="K264" s="42"/>
      <c r="L264" s="42"/>
      <c r="M264" s="31" t="str">
        <f>IFERROR(VLOOKUP(W264,送料!$J$3:$K$42,2,FALSE),"")</f>
        <v/>
      </c>
      <c r="N264" s="108"/>
      <c r="O264" s="30"/>
      <c r="P264" s="30"/>
      <c r="Q264" s="30"/>
      <c r="R264" s="30"/>
      <c r="S264" s="30"/>
      <c r="T264" s="53">
        <f t="shared" si="57"/>
        <v>0</v>
      </c>
      <c r="U264" s="53">
        <f t="shared" si="58"/>
        <v>0</v>
      </c>
      <c r="V264" s="53">
        <f t="shared" si="59"/>
        <v>0</v>
      </c>
      <c r="W264" s="54">
        <f t="shared" si="60"/>
        <v>0</v>
      </c>
      <c r="X264" s="51" t="e">
        <f>VLOOKUP(W264,送料!$J$3:$K$42,2,FALSE)</f>
        <v>#N/A</v>
      </c>
      <c r="Y264" s="51" t="e">
        <f>VLOOKUP(X264,送料!$A$1:$B$40,2,FALSE)</f>
        <v>#N/A</v>
      </c>
      <c r="Z264" s="59">
        <f t="shared" si="61"/>
        <v>0</v>
      </c>
      <c r="AA264" s="62">
        <f t="shared" si="62"/>
        <v>4.5</v>
      </c>
      <c r="AB264" s="62">
        <f t="shared" si="63"/>
        <v>0</v>
      </c>
      <c r="AC264" s="65" t="e">
        <f t="shared" si="66"/>
        <v>#N/A</v>
      </c>
      <c r="AD264" s="65">
        <f t="shared" si="64"/>
        <v>0</v>
      </c>
      <c r="AE264" s="66" t="e">
        <f t="shared" si="65"/>
        <v>#N/A</v>
      </c>
    </row>
    <row r="265" spans="1:31">
      <c r="A265" s="105" t="s">
        <v>448</v>
      </c>
      <c r="B265" s="33"/>
      <c r="C265" s="115"/>
      <c r="D265" s="55"/>
      <c r="E265" s="45"/>
      <c r="F265" s="21"/>
      <c r="G265" s="21"/>
      <c r="H265" s="42"/>
      <c r="I265" s="42"/>
      <c r="J265" s="42"/>
      <c r="K265" s="42"/>
      <c r="L265" s="42"/>
      <c r="M265" s="31" t="str">
        <f>IFERROR(VLOOKUP(W265,送料!$J$3:$K$42,2,FALSE),"")</f>
        <v/>
      </c>
      <c r="N265" s="108"/>
      <c r="O265" s="30"/>
      <c r="P265" s="30"/>
      <c r="Q265" s="30"/>
      <c r="R265" s="30"/>
      <c r="S265" s="30"/>
      <c r="T265" s="53">
        <f t="shared" si="57"/>
        <v>0</v>
      </c>
      <c r="U265" s="53">
        <f t="shared" si="58"/>
        <v>0</v>
      </c>
      <c r="V265" s="53">
        <f t="shared" si="59"/>
        <v>0</v>
      </c>
      <c r="W265" s="54">
        <f t="shared" si="60"/>
        <v>0</v>
      </c>
      <c r="X265" s="51" t="e">
        <f>VLOOKUP(W265,送料!$J$3:$K$42,2,FALSE)</f>
        <v>#N/A</v>
      </c>
      <c r="Y265" s="51" t="e">
        <f>VLOOKUP(X265,送料!$A$1:$B$40,2,FALSE)</f>
        <v>#N/A</v>
      </c>
      <c r="Z265" s="59">
        <f t="shared" si="61"/>
        <v>0</v>
      </c>
      <c r="AA265" s="62">
        <f t="shared" si="62"/>
        <v>4.5</v>
      </c>
      <c r="AB265" s="62">
        <f t="shared" si="63"/>
        <v>0</v>
      </c>
      <c r="AC265" s="65" t="e">
        <f t="shared" si="66"/>
        <v>#N/A</v>
      </c>
      <c r="AD265" s="65">
        <f t="shared" si="64"/>
        <v>0</v>
      </c>
      <c r="AE265" s="66" t="e">
        <f t="shared" si="65"/>
        <v>#N/A</v>
      </c>
    </row>
    <row r="266" spans="1:31">
      <c r="A266" s="105" t="s">
        <v>449</v>
      </c>
      <c r="B266" s="33"/>
      <c r="C266" s="115"/>
      <c r="D266" s="55"/>
      <c r="E266" s="45"/>
      <c r="F266" s="21"/>
      <c r="G266" s="21"/>
      <c r="H266" s="42"/>
      <c r="I266" s="42"/>
      <c r="J266" s="42"/>
      <c r="K266" s="42"/>
      <c r="L266" s="42"/>
      <c r="M266" s="31" t="str">
        <f>IFERROR(VLOOKUP(W266,送料!$J$3:$K$42,2,FALSE),"")</f>
        <v/>
      </c>
      <c r="N266" s="108"/>
      <c r="O266" s="30"/>
      <c r="P266" s="30"/>
      <c r="Q266" s="30"/>
      <c r="R266" s="30"/>
      <c r="S266" s="30"/>
      <c r="T266" s="53">
        <f t="shared" si="57"/>
        <v>0</v>
      </c>
      <c r="U266" s="53">
        <f t="shared" si="58"/>
        <v>0</v>
      </c>
      <c r="V266" s="53">
        <f t="shared" si="59"/>
        <v>0</v>
      </c>
      <c r="W266" s="54">
        <f t="shared" si="60"/>
        <v>0</v>
      </c>
      <c r="X266" s="51" t="e">
        <f>VLOOKUP(W266,送料!$J$3:$K$42,2,FALSE)</f>
        <v>#N/A</v>
      </c>
      <c r="Y266" s="51" t="e">
        <f>VLOOKUP(X266,送料!$A$1:$B$40,2,FALSE)</f>
        <v>#N/A</v>
      </c>
      <c r="Z266" s="59">
        <f t="shared" si="61"/>
        <v>0</v>
      </c>
      <c r="AA266" s="62">
        <f t="shared" si="62"/>
        <v>4.5</v>
      </c>
      <c r="AB266" s="62">
        <f t="shared" si="63"/>
        <v>0</v>
      </c>
      <c r="AC266" s="65" t="e">
        <f t="shared" si="66"/>
        <v>#N/A</v>
      </c>
      <c r="AD266" s="65">
        <f t="shared" si="64"/>
        <v>0</v>
      </c>
      <c r="AE266" s="66" t="e">
        <f t="shared" si="65"/>
        <v>#N/A</v>
      </c>
    </row>
    <row r="267" spans="1:31">
      <c r="A267" s="105" t="s">
        <v>450</v>
      </c>
      <c r="B267" s="33"/>
      <c r="C267" s="115"/>
      <c r="D267" s="55"/>
      <c r="E267" s="45"/>
      <c r="F267" s="21"/>
      <c r="G267" s="21"/>
      <c r="H267" s="42"/>
      <c r="I267" s="42"/>
      <c r="J267" s="42"/>
      <c r="K267" s="42"/>
      <c r="L267" s="42"/>
      <c r="M267" s="31" t="str">
        <f>IFERROR(VLOOKUP(W267,送料!$J$3:$K$42,2,FALSE),"")</f>
        <v/>
      </c>
      <c r="N267" s="108"/>
      <c r="O267" s="30"/>
      <c r="P267" s="30"/>
      <c r="Q267" s="30"/>
      <c r="R267" s="30"/>
      <c r="S267" s="30"/>
      <c r="T267" s="53">
        <f t="shared" si="57"/>
        <v>0</v>
      </c>
      <c r="U267" s="53">
        <f t="shared" si="58"/>
        <v>0</v>
      </c>
      <c r="V267" s="53">
        <f t="shared" si="59"/>
        <v>0</v>
      </c>
      <c r="W267" s="54">
        <f t="shared" si="60"/>
        <v>0</v>
      </c>
      <c r="X267" s="51" t="e">
        <f>VLOOKUP(W267,送料!$J$3:$K$42,2,FALSE)</f>
        <v>#N/A</v>
      </c>
      <c r="Y267" s="51" t="e">
        <f>VLOOKUP(X267,送料!$A$1:$B$40,2,FALSE)</f>
        <v>#N/A</v>
      </c>
      <c r="Z267" s="59">
        <f t="shared" si="61"/>
        <v>0</v>
      </c>
      <c r="AA267" s="62">
        <f t="shared" si="62"/>
        <v>4.5</v>
      </c>
      <c r="AB267" s="62">
        <f t="shared" si="63"/>
        <v>0</v>
      </c>
      <c r="AC267" s="65" t="e">
        <f t="shared" si="66"/>
        <v>#N/A</v>
      </c>
      <c r="AD267" s="65">
        <f t="shared" si="64"/>
        <v>0</v>
      </c>
      <c r="AE267" s="66" t="e">
        <f t="shared" si="65"/>
        <v>#N/A</v>
      </c>
    </row>
    <row r="268" spans="1:31">
      <c r="A268" s="105" t="s">
        <v>451</v>
      </c>
      <c r="B268" s="33"/>
      <c r="C268" s="115"/>
      <c r="D268" s="55"/>
      <c r="E268" s="45"/>
      <c r="F268" s="21"/>
      <c r="G268" s="21"/>
      <c r="H268" s="42"/>
      <c r="I268" s="42"/>
      <c r="J268" s="42"/>
      <c r="K268" s="42"/>
      <c r="L268" s="42"/>
      <c r="M268" s="31" t="str">
        <f>IFERROR(VLOOKUP(W268,送料!$J$3:$K$42,2,FALSE),"")</f>
        <v/>
      </c>
      <c r="N268" s="108"/>
      <c r="O268" s="30"/>
      <c r="P268" s="30"/>
      <c r="Q268" s="30"/>
      <c r="R268" s="30"/>
      <c r="S268" s="30"/>
      <c r="T268" s="53">
        <f t="shared" si="57"/>
        <v>0</v>
      </c>
      <c r="U268" s="53">
        <f t="shared" si="58"/>
        <v>0</v>
      </c>
      <c r="V268" s="53">
        <f t="shared" si="59"/>
        <v>0</v>
      </c>
      <c r="W268" s="54">
        <f t="shared" si="60"/>
        <v>0</v>
      </c>
      <c r="X268" s="51" t="e">
        <f>VLOOKUP(W268,送料!$J$3:$K$42,2,FALSE)</f>
        <v>#N/A</v>
      </c>
      <c r="Y268" s="51" t="e">
        <f>VLOOKUP(X268,送料!$A$1:$B$40,2,FALSE)</f>
        <v>#N/A</v>
      </c>
      <c r="Z268" s="59">
        <f t="shared" si="61"/>
        <v>0</v>
      </c>
      <c r="AA268" s="62">
        <f t="shared" si="62"/>
        <v>4.5</v>
      </c>
      <c r="AB268" s="62">
        <f t="shared" si="63"/>
        <v>0</v>
      </c>
      <c r="AC268" s="65" t="e">
        <f t="shared" si="66"/>
        <v>#N/A</v>
      </c>
      <c r="AD268" s="65">
        <f t="shared" si="64"/>
        <v>0</v>
      </c>
      <c r="AE268" s="66" t="e">
        <f t="shared" si="65"/>
        <v>#N/A</v>
      </c>
    </row>
    <row r="269" spans="1:31">
      <c r="A269" s="105" t="s">
        <v>452</v>
      </c>
      <c r="B269" s="33"/>
      <c r="C269" s="115"/>
      <c r="D269" s="55"/>
      <c r="E269" s="45"/>
      <c r="F269" s="21"/>
      <c r="G269" s="21"/>
      <c r="H269" s="42"/>
      <c r="I269" s="42"/>
      <c r="J269" s="42"/>
      <c r="K269" s="42"/>
      <c r="L269" s="42"/>
      <c r="M269" s="31" t="str">
        <f>IFERROR(VLOOKUP(W269,送料!$J$3:$K$42,2,FALSE),"")</f>
        <v/>
      </c>
      <c r="N269" s="108"/>
      <c r="O269" s="30"/>
      <c r="P269" s="30"/>
      <c r="Q269" s="30"/>
      <c r="R269" s="30"/>
      <c r="S269" s="30"/>
      <c r="T269" s="53">
        <f t="shared" si="57"/>
        <v>0</v>
      </c>
      <c r="U269" s="53">
        <f t="shared" si="58"/>
        <v>0</v>
      </c>
      <c r="V269" s="53">
        <f t="shared" si="59"/>
        <v>0</v>
      </c>
      <c r="W269" s="54">
        <f t="shared" si="60"/>
        <v>0</v>
      </c>
      <c r="X269" s="51" t="e">
        <f>VLOOKUP(W269,送料!$J$3:$K$42,2,FALSE)</f>
        <v>#N/A</v>
      </c>
      <c r="Y269" s="51" t="e">
        <f>VLOOKUP(X269,送料!$A$1:$B$40,2,FALSE)</f>
        <v>#N/A</v>
      </c>
      <c r="Z269" s="59">
        <f t="shared" si="61"/>
        <v>0</v>
      </c>
      <c r="AA269" s="62">
        <f t="shared" si="62"/>
        <v>4.5</v>
      </c>
      <c r="AB269" s="62">
        <f t="shared" si="63"/>
        <v>0</v>
      </c>
      <c r="AC269" s="65" t="e">
        <f t="shared" si="66"/>
        <v>#N/A</v>
      </c>
      <c r="AD269" s="65">
        <f t="shared" si="64"/>
        <v>0</v>
      </c>
      <c r="AE269" s="66" t="e">
        <f t="shared" si="65"/>
        <v>#N/A</v>
      </c>
    </row>
    <row r="270" spans="1:31">
      <c r="A270" s="105" t="s">
        <v>453</v>
      </c>
      <c r="B270" s="33"/>
      <c r="C270" s="115"/>
      <c r="D270" s="55"/>
      <c r="E270" s="45"/>
      <c r="F270" s="21"/>
      <c r="G270" s="21"/>
      <c r="H270" s="42"/>
      <c r="I270" s="42"/>
      <c r="J270" s="42"/>
      <c r="K270" s="42"/>
      <c r="L270" s="42"/>
      <c r="M270" s="31" t="str">
        <f>IFERROR(VLOOKUP(W270,送料!$J$3:$K$42,2,FALSE),"")</f>
        <v/>
      </c>
      <c r="N270" s="108"/>
      <c r="O270" s="30"/>
      <c r="P270" s="30"/>
      <c r="Q270" s="30"/>
      <c r="R270" s="30"/>
      <c r="S270" s="30"/>
      <c r="T270" s="53">
        <f t="shared" si="57"/>
        <v>0</v>
      </c>
      <c r="U270" s="53">
        <f t="shared" si="58"/>
        <v>0</v>
      </c>
      <c r="V270" s="53">
        <f t="shared" si="59"/>
        <v>0</v>
      </c>
      <c r="W270" s="54">
        <f t="shared" si="60"/>
        <v>0</v>
      </c>
      <c r="X270" s="51" t="e">
        <f>VLOOKUP(W270,送料!$J$3:$K$42,2,FALSE)</f>
        <v>#N/A</v>
      </c>
      <c r="Y270" s="51" t="e">
        <f>VLOOKUP(X270,送料!$A$1:$B$40,2,FALSE)</f>
        <v>#N/A</v>
      </c>
      <c r="Z270" s="59">
        <f t="shared" si="61"/>
        <v>0</v>
      </c>
      <c r="AA270" s="62">
        <f t="shared" si="62"/>
        <v>4.5</v>
      </c>
      <c r="AB270" s="62">
        <f t="shared" si="63"/>
        <v>0</v>
      </c>
      <c r="AC270" s="65" t="e">
        <f t="shared" si="66"/>
        <v>#N/A</v>
      </c>
      <c r="AD270" s="65">
        <f t="shared" si="64"/>
        <v>0</v>
      </c>
      <c r="AE270" s="66" t="e">
        <f t="shared" si="65"/>
        <v>#N/A</v>
      </c>
    </row>
    <row r="271" spans="1:31">
      <c r="A271" s="105" t="s">
        <v>454</v>
      </c>
      <c r="B271" s="33"/>
      <c r="C271" s="115"/>
      <c r="D271" s="55"/>
      <c r="E271" s="45"/>
      <c r="F271" s="21"/>
      <c r="G271" s="21"/>
      <c r="H271" s="42"/>
      <c r="I271" s="42"/>
      <c r="J271" s="42"/>
      <c r="K271" s="42"/>
      <c r="L271" s="42"/>
      <c r="M271" s="31" t="str">
        <f>IFERROR(VLOOKUP(W271,送料!$J$3:$K$42,2,FALSE),"")</f>
        <v/>
      </c>
      <c r="N271" s="108"/>
      <c r="O271" s="30"/>
      <c r="P271" s="30"/>
      <c r="Q271" s="30"/>
      <c r="R271" s="30"/>
      <c r="S271" s="30"/>
      <c r="T271" s="53">
        <f t="shared" si="57"/>
        <v>0</v>
      </c>
      <c r="U271" s="53">
        <f t="shared" si="58"/>
        <v>0</v>
      </c>
      <c r="V271" s="53">
        <f t="shared" si="59"/>
        <v>0</v>
      </c>
      <c r="W271" s="54">
        <f t="shared" si="60"/>
        <v>0</v>
      </c>
      <c r="X271" s="51" t="e">
        <f>VLOOKUP(W271,送料!$J$3:$K$42,2,FALSE)</f>
        <v>#N/A</v>
      </c>
      <c r="Y271" s="51" t="e">
        <f>VLOOKUP(X271,送料!$A$1:$B$40,2,FALSE)</f>
        <v>#N/A</v>
      </c>
      <c r="Z271" s="59">
        <f t="shared" si="61"/>
        <v>0</v>
      </c>
      <c r="AA271" s="62">
        <f t="shared" si="62"/>
        <v>4.5</v>
      </c>
      <c r="AB271" s="62">
        <f t="shared" si="63"/>
        <v>0</v>
      </c>
      <c r="AC271" s="65" t="e">
        <f t="shared" si="66"/>
        <v>#N/A</v>
      </c>
      <c r="AD271" s="65">
        <f t="shared" si="64"/>
        <v>0</v>
      </c>
      <c r="AE271" s="66" t="e">
        <f t="shared" si="65"/>
        <v>#N/A</v>
      </c>
    </row>
    <row r="272" spans="1:31">
      <c r="A272" s="105" t="s">
        <v>455</v>
      </c>
      <c r="B272" s="33"/>
      <c r="C272" s="115"/>
      <c r="D272" s="55"/>
      <c r="E272" s="45"/>
      <c r="F272" s="21"/>
      <c r="G272" s="21"/>
      <c r="H272" s="42"/>
      <c r="I272" s="42"/>
      <c r="J272" s="42"/>
      <c r="K272" s="42"/>
      <c r="L272" s="42"/>
      <c r="M272" s="31" t="str">
        <f>IFERROR(VLOOKUP(W272,送料!$J$3:$K$42,2,FALSE),"")</f>
        <v/>
      </c>
      <c r="N272" s="108"/>
      <c r="O272" s="30"/>
      <c r="P272" s="30"/>
      <c r="Q272" s="30"/>
      <c r="R272" s="30"/>
      <c r="S272" s="30"/>
      <c r="T272" s="53">
        <f t="shared" si="57"/>
        <v>0</v>
      </c>
      <c r="U272" s="53">
        <f t="shared" si="58"/>
        <v>0</v>
      </c>
      <c r="V272" s="53">
        <f t="shared" si="59"/>
        <v>0</v>
      </c>
      <c r="W272" s="54">
        <f t="shared" si="60"/>
        <v>0</v>
      </c>
      <c r="X272" s="51" t="e">
        <f>VLOOKUP(W272,送料!$J$3:$K$42,2,FALSE)</f>
        <v>#N/A</v>
      </c>
      <c r="Y272" s="51" t="e">
        <f>VLOOKUP(X272,送料!$A$1:$B$40,2,FALSE)</f>
        <v>#N/A</v>
      </c>
      <c r="Z272" s="59">
        <f t="shared" si="61"/>
        <v>0</v>
      </c>
      <c r="AA272" s="62">
        <f t="shared" si="62"/>
        <v>4.5</v>
      </c>
      <c r="AB272" s="62">
        <f t="shared" si="63"/>
        <v>0</v>
      </c>
      <c r="AC272" s="65" t="e">
        <f t="shared" si="66"/>
        <v>#N/A</v>
      </c>
      <c r="AD272" s="65">
        <f t="shared" si="64"/>
        <v>0</v>
      </c>
      <c r="AE272" s="66" t="e">
        <f t="shared" si="65"/>
        <v>#N/A</v>
      </c>
    </row>
    <row r="273" spans="1:31">
      <c r="A273" s="105" t="s">
        <v>456</v>
      </c>
      <c r="B273" s="33"/>
      <c r="C273" s="115"/>
      <c r="D273" s="55"/>
      <c r="E273" s="45"/>
      <c r="F273" s="21"/>
      <c r="G273" s="21"/>
      <c r="H273" s="42"/>
      <c r="I273" s="42"/>
      <c r="J273" s="42"/>
      <c r="K273" s="42"/>
      <c r="L273" s="42"/>
      <c r="M273" s="31" t="str">
        <f>IFERROR(VLOOKUP(W273,送料!$J$3:$K$42,2,FALSE),"")</f>
        <v/>
      </c>
      <c r="N273" s="108"/>
      <c r="O273" s="30"/>
      <c r="P273" s="30"/>
      <c r="Q273" s="30"/>
      <c r="R273" s="30"/>
      <c r="S273" s="30"/>
      <c r="T273" s="53">
        <f t="shared" si="57"/>
        <v>0</v>
      </c>
      <c r="U273" s="53">
        <f t="shared" si="58"/>
        <v>0</v>
      </c>
      <c r="V273" s="53">
        <f t="shared" si="59"/>
        <v>0</v>
      </c>
      <c r="W273" s="54">
        <f t="shared" si="60"/>
        <v>0</v>
      </c>
      <c r="X273" s="51" t="e">
        <f>VLOOKUP(W273,送料!$J$3:$K$42,2,FALSE)</f>
        <v>#N/A</v>
      </c>
      <c r="Y273" s="51" t="e">
        <f>VLOOKUP(X273,送料!$A$1:$B$40,2,FALSE)</f>
        <v>#N/A</v>
      </c>
      <c r="Z273" s="59">
        <f t="shared" si="61"/>
        <v>0</v>
      </c>
      <c r="AA273" s="62">
        <f t="shared" si="62"/>
        <v>4.5</v>
      </c>
      <c r="AB273" s="62">
        <f t="shared" si="63"/>
        <v>0</v>
      </c>
      <c r="AC273" s="65" t="e">
        <f t="shared" si="66"/>
        <v>#N/A</v>
      </c>
      <c r="AD273" s="65">
        <f t="shared" si="64"/>
        <v>0</v>
      </c>
      <c r="AE273" s="66" t="e">
        <f t="shared" si="65"/>
        <v>#N/A</v>
      </c>
    </row>
    <row r="274" spans="1:31">
      <c r="A274" s="105" t="s">
        <v>457</v>
      </c>
      <c r="B274" s="33"/>
      <c r="C274" s="115"/>
      <c r="D274" s="55"/>
      <c r="E274" s="45"/>
      <c r="F274" s="21"/>
      <c r="G274" s="21"/>
      <c r="H274" s="42"/>
      <c r="I274" s="42"/>
      <c r="J274" s="42"/>
      <c r="K274" s="42"/>
      <c r="L274" s="42"/>
      <c r="M274" s="31" t="str">
        <f>IFERROR(VLOOKUP(W274,送料!$J$3:$K$42,2,FALSE),"")</f>
        <v/>
      </c>
      <c r="N274" s="108"/>
      <c r="O274" s="30"/>
      <c r="P274" s="30"/>
      <c r="Q274" s="30"/>
      <c r="R274" s="30"/>
      <c r="S274" s="30"/>
      <c r="T274" s="53">
        <f t="shared" si="57"/>
        <v>0</v>
      </c>
      <c r="U274" s="53">
        <f t="shared" si="58"/>
        <v>0</v>
      </c>
      <c r="V274" s="53">
        <f t="shared" si="59"/>
        <v>0</v>
      </c>
      <c r="W274" s="54">
        <f t="shared" si="60"/>
        <v>0</v>
      </c>
      <c r="X274" s="51" t="e">
        <f>VLOOKUP(W274,送料!$J$3:$K$42,2,FALSE)</f>
        <v>#N/A</v>
      </c>
      <c r="Y274" s="51" t="e">
        <f>VLOOKUP(X274,送料!$A$1:$B$40,2,FALSE)</f>
        <v>#N/A</v>
      </c>
      <c r="Z274" s="59">
        <f t="shared" si="61"/>
        <v>0</v>
      </c>
      <c r="AA274" s="62">
        <f t="shared" si="62"/>
        <v>4.5</v>
      </c>
      <c r="AB274" s="62">
        <f t="shared" si="63"/>
        <v>0</v>
      </c>
      <c r="AC274" s="65" t="e">
        <f t="shared" si="66"/>
        <v>#N/A</v>
      </c>
      <c r="AD274" s="65">
        <f t="shared" si="64"/>
        <v>0</v>
      </c>
      <c r="AE274" s="66" t="e">
        <f t="shared" si="65"/>
        <v>#N/A</v>
      </c>
    </row>
    <row r="275" spans="1:31">
      <c r="A275" s="105" t="s">
        <v>458</v>
      </c>
      <c r="B275" s="33"/>
      <c r="C275" s="115"/>
      <c r="D275" s="55"/>
      <c r="E275" s="45"/>
      <c r="F275" s="21"/>
      <c r="G275" s="21"/>
      <c r="H275" s="42"/>
      <c r="I275" s="42"/>
      <c r="J275" s="42"/>
      <c r="K275" s="42"/>
      <c r="L275" s="42"/>
      <c r="M275" s="31" t="str">
        <f>IFERROR(VLOOKUP(W275,送料!$J$3:$K$42,2,FALSE),"")</f>
        <v/>
      </c>
      <c r="N275" s="108"/>
      <c r="O275" s="30"/>
      <c r="P275" s="30"/>
      <c r="Q275" s="30"/>
      <c r="R275" s="30"/>
      <c r="S275" s="30"/>
      <c r="T275" s="53">
        <f t="shared" si="57"/>
        <v>0</v>
      </c>
      <c r="U275" s="53">
        <f t="shared" si="58"/>
        <v>0</v>
      </c>
      <c r="V275" s="53">
        <f t="shared" si="59"/>
        <v>0</v>
      </c>
      <c r="W275" s="54">
        <f t="shared" si="60"/>
        <v>0</v>
      </c>
      <c r="X275" s="51" t="e">
        <f>VLOOKUP(W275,送料!$J$3:$K$42,2,FALSE)</f>
        <v>#N/A</v>
      </c>
      <c r="Y275" s="51" t="e">
        <f>VLOOKUP(X275,送料!$A$1:$B$40,2,FALSE)</f>
        <v>#N/A</v>
      </c>
      <c r="Z275" s="59">
        <f t="shared" si="61"/>
        <v>0</v>
      </c>
      <c r="AA275" s="62">
        <f t="shared" si="62"/>
        <v>4.5</v>
      </c>
      <c r="AB275" s="62">
        <f t="shared" si="63"/>
        <v>0</v>
      </c>
      <c r="AC275" s="65" t="e">
        <f t="shared" si="66"/>
        <v>#N/A</v>
      </c>
      <c r="AD275" s="65">
        <f t="shared" si="64"/>
        <v>0</v>
      </c>
      <c r="AE275" s="66" t="e">
        <f t="shared" si="65"/>
        <v>#N/A</v>
      </c>
    </row>
    <row r="276" spans="1:31">
      <c r="A276" s="105" t="s">
        <v>459</v>
      </c>
      <c r="B276" s="33"/>
      <c r="C276" s="115"/>
      <c r="D276" s="55"/>
      <c r="E276" s="45"/>
      <c r="F276" s="21"/>
      <c r="G276" s="21"/>
      <c r="H276" s="42"/>
      <c r="I276" s="42"/>
      <c r="J276" s="42"/>
      <c r="K276" s="42"/>
      <c r="L276" s="42"/>
      <c r="M276" s="31" t="str">
        <f>IFERROR(VLOOKUP(W276,送料!$J$3:$K$42,2,FALSE),"")</f>
        <v/>
      </c>
      <c r="N276" s="108"/>
      <c r="O276" s="30"/>
      <c r="P276" s="30"/>
      <c r="Q276" s="30"/>
      <c r="R276" s="30"/>
      <c r="S276" s="30"/>
      <c r="T276" s="53">
        <f t="shared" si="57"/>
        <v>0</v>
      </c>
      <c r="U276" s="53">
        <f t="shared" si="58"/>
        <v>0</v>
      </c>
      <c r="V276" s="53">
        <f t="shared" si="59"/>
        <v>0</v>
      </c>
      <c r="W276" s="54">
        <f t="shared" si="60"/>
        <v>0</v>
      </c>
      <c r="X276" s="51" t="e">
        <f>VLOOKUP(W276,送料!$J$3:$K$42,2,FALSE)</f>
        <v>#N/A</v>
      </c>
      <c r="Y276" s="51" t="e">
        <f>VLOOKUP(X276,送料!$A$1:$B$40,2,FALSE)</f>
        <v>#N/A</v>
      </c>
      <c r="Z276" s="59">
        <f t="shared" si="61"/>
        <v>0</v>
      </c>
      <c r="AA276" s="62">
        <f t="shared" si="62"/>
        <v>4.5</v>
      </c>
      <c r="AB276" s="62">
        <f t="shared" si="63"/>
        <v>0</v>
      </c>
      <c r="AC276" s="65" t="e">
        <f t="shared" si="66"/>
        <v>#N/A</v>
      </c>
      <c r="AD276" s="65">
        <f t="shared" si="64"/>
        <v>0</v>
      </c>
      <c r="AE276" s="66" t="e">
        <f t="shared" si="65"/>
        <v>#N/A</v>
      </c>
    </row>
    <row r="277" spans="1:31">
      <c r="A277" s="105" t="s">
        <v>460</v>
      </c>
      <c r="B277" s="33"/>
      <c r="C277" s="115"/>
      <c r="D277" s="55"/>
      <c r="E277" s="45"/>
      <c r="F277" s="21"/>
      <c r="G277" s="21"/>
      <c r="H277" s="42"/>
      <c r="I277" s="42"/>
      <c r="J277" s="42"/>
      <c r="K277" s="42"/>
      <c r="L277" s="42"/>
      <c r="M277" s="31" t="str">
        <f>IFERROR(VLOOKUP(W277,送料!$J$3:$K$42,2,FALSE),"")</f>
        <v/>
      </c>
      <c r="N277" s="108"/>
      <c r="O277" s="30"/>
      <c r="P277" s="30"/>
      <c r="Q277" s="30"/>
      <c r="R277" s="30"/>
      <c r="S277" s="30"/>
      <c r="T277" s="53">
        <f t="shared" si="57"/>
        <v>0</v>
      </c>
      <c r="U277" s="53">
        <f t="shared" si="58"/>
        <v>0</v>
      </c>
      <c r="V277" s="53">
        <f t="shared" si="59"/>
        <v>0</v>
      </c>
      <c r="W277" s="54">
        <f t="shared" si="60"/>
        <v>0</v>
      </c>
      <c r="X277" s="51" t="e">
        <f>VLOOKUP(W277,送料!$J$3:$K$42,2,FALSE)</f>
        <v>#N/A</v>
      </c>
      <c r="Y277" s="51" t="e">
        <f>VLOOKUP(X277,送料!$A$1:$B$40,2,FALSE)</f>
        <v>#N/A</v>
      </c>
      <c r="Z277" s="59">
        <f t="shared" si="61"/>
        <v>0</v>
      </c>
      <c r="AA277" s="62">
        <f t="shared" si="62"/>
        <v>4.5</v>
      </c>
      <c r="AB277" s="62">
        <f t="shared" si="63"/>
        <v>0</v>
      </c>
      <c r="AC277" s="65" t="e">
        <f t="shared" si="66"/>
        <v>#N/A</v>
      </c>
      <c r="AD277" s="65">
        <f t="shared" si="64"/>
        <v>0</v>
      </c>
      <c r="AE277" s="66" t="e">
        <f t="shared" si="65"/>
        <v>#N/A</v>
      </c>
    </row>
    <row r="278" spans="1:31">
      <c r="A278" s="105" t="s">
        <v>461</v>
      </c>
      <c r="B278" s="33"/>
      <c r="C278" s="115"/>
      <c r="D278" s="55"/>
      <c r="E278" s="45"/>
      <c r="F278" s="21"/>
      <c r="G278" s="21"/>
      <c r="H278" s="42"/>
      <c r="I278" s="42"/>
      <c r="J278" s="42"/>
      <c r="K278" s="42"/>
      <c r="L278" s="42"/>
      <c r="M278" s="31" t="str">
        <f>IFERROR(VLOOKUP(W278,送料!$J$3:$K$42,2,FALSE),"")</f>
        <v/>
      </c>
      <c r="N278" s="108"/>
      <c r="O278" s="30"/>
      <c r="P278" s="30"/>
      <c r="Q278" s="30"/>
      <c r="R278" s="30"/>
      <c r="S278" s="30"/>
      <c r="T278" s="53">
        <f t="shared" si="57"/>
        <v>0</v>
      </c>
      <c r="U278" s="53">
        <f t="shared" si="58"/>
        <v>0</v>
      </c>
      <c r="V278" s="53">
        <f t="shared" si="59"/>
        <v>0</v>
      </c>
      <c r="W278" s="54">
        <f t="shared" si="60"/>
        <v>0</v>
      </c>
      <c r="X278" s="51" t="e">
        <f>VLOOKUP(W278,送料!$J$3:$K$42,2,FALSE)</f>
        <v>#N/A</v>
      </c>
      <c r="Y278" s="51" t="e">
        <f>VLOOKUP(X278,送料!$A$1:$B$40,2,FALSE)</f>
        <v>#N/A</v>
      </c>
      <c r="Z278" s="59">
        <f t="shared" si="61"/>
        <v>0</v>
      </c>
      <c r="AA278" s="62">
        <f t="shared" si="62"/>
        <v>4.5</v>
      </c>
      <c r="AB278" s="62">
        <f t="shared" si="63"/>
        <v>0</v>
      </c>
      <c r="AC278" s="65" t="e">
        <f t="shared" si="66"/>
        <v>#N/A</v>
      </c>
      <c r="AD278" s="65">
        <f t="shared" si="64"/>
        <v>0</v>
      </c>
      <c r="AE278" s="66" t="e">
        <f t="shared" si="65"/>
        <v>#N/A</v>
      </c>
    </row>
    <row r="279" spans="1:31">
      <c r="A279" s="105" t="s">
        <v>462</v>
      </c>
      <c r="B279" s="33"/>
      <c r="C279" s="115"/>
      <c r="D279" s="55"/>
      <c r="E279" s="45"/>
      <c r="F279" s="21"/>
      <c r="G279" s="21"/>
      <c r="H279" s="42"/>
      <c r="I279" s="42"/>
      <c r="J279" s="42"/>
      <c r="K279" s="42"/>
      <c r="L279" s="42"/>
      <c r="M279" s="31" t="str">
        <f>IFERROR(VLOOKUP(W279,送料!$J$3:$K$42,2,FALSE),"")</f>
        <v/>
      </c>
      <c r="N279" s="108"/>
      <c r="O279" s="30"/>
      <c r="P279" s="30"/>
      <c r="Q279" s="30"/>
      <c r="R279" s="30"/>
      <c r="S279" s="30"/>
      <c r="T279" s="53">
        <f t="shared" si="57"/>
        <v>0</v>
      </c>
      <c r="U279" s="53">
        <f t="shared" si="58"/>
        <v>0</v>
      </c>
      <c r="V279" s="53">
        <f t="shared" si="59"/>
        <v>0</v>
      </c>
      <c r="W279" s="54">
        <f t="shared" si="60"/>
        <v>0</v>
      </c>
      <c r="X279" s="51" t="e">
        <f>VLOOKUP(W279,送料!$J$3:$K$42,2,FALSE)</f>
        <v>#N/A</v>
      </c>
      <c r="Y279" s="51" t="e">
        <f>VLOOKUP(X279,送料!$A$1:$B$40,2,FALSE)</f>
        <v>#N/A</v>
      </c>
      <c r="Z279" s="59">
        <f t="shared" si="61"/>
        <v>0</v>
      </c>
      <c r="AA279" s="62">
        <f t="shared" si="62"/>
        <v>4.5</v>
      </c>
      <c r="AB279" s="62">
        <f t="shared" si="63"/>
        <v>0</v>
      </c>
      <c r="AC279" s="65" t="e">
        <f t="shared" si="66"/>
        <v>#N/A</v>
      </c>
      <c r="AD279" s="65">
        <f t="shared" si="64"/>
        <v>0</v>
      </c>
      <c r="AE279" s="66" t="e">
        <f t="shared" si="65"/>
        <v>#N/A</v>
      </c>
    </row>
    <row r="280" spans="1:31">
      <c r="A280" s="105" t="s">
        <v>463</v>
      </c>
      <c r="B280" s="33"/>
      <c r="C280" s="115"/>
      <c r="D280" s="55"/>
      <c r="E280" s="45"/>
      <c r="F280" s="21"/>
      <c r="G280" s="21"/>
      <c r="H280" s="42"/>
      <c r="I280" s="42"/>
      <c r="J280" s="42"/>
      <c r="K280" s="42"/>
      <c r="L280" s="42"/>
      <c r="M280" s="31" t="str">
        <f>IFERROR(VLOOKUP(W280,送料!$J$3:$K$42,2,FALSE),"")</f>
        <v/>
      </c>
      <c r="N280" s="108"/>
      <c r="O280" s="30"/>
      <c r="P280" s="30"/>
      <c r="Q280" s="30"/>
      <c r="R280" s="30"/>
      <c r="S280" s="30"/>
      <c r="T280" s="53">
        <f t="shared" si="57"/>
        <v>0</v>
      </c>
      <c r="U280" s="53">
        <f t="shared" si="58"/>
        <v>0</v>
      </c>
      <c r="V280" s="53">
        <f t="shared" si="59"/>
        <v>0</v>
      </c>
      <c r="W280" s="54">
        <f t="shared" si="60"/>
        <v>0</v>
      </c>
      <c r="X280" s="51" t="e">
        <f>VLOOKUP(W280,送料!$J$3:$K$42,2,FALSE)</f>
        <v>#N/A</v>
      </c>
      <c r="Y280" s="51" t="e">
        <f>VLOOKUP(X280,送料!$A$1:$B$40,2,FALSE)</f>
        <v>#N/A</v>
      </c>
      <c r="Z280" s="59">
        <f t="shared" si="61"/>
        <v>0</v>
      </c>
      <c r="AA280" s="62">
        <f t="shared" si="62"/>
        <v>4.5</v>
      </c>
      <c r="AB280" s="62">
        <f t="shared" si="63"/>
        <v>0</v>
      </c>
      <c r="AC280" s="65" t="e">
        <f t="shared" si="66"/>
        <v>#N/A</v>
      </c>
      <c r="AD280" s="65">
        <f t="shared" si="64"/>
        <v>0</v>
      </c>
      <c r="AE280" s="66" t="e">
        <f t="shared" si="65"/>
        <v>#N/A</v>
      </c>
    </row>
    <row r="281" spans="1:31">
      <c r="A281" s="105" t="s">
        <v>464</v>
      </c>
      <c r="B281" s="33"/>
      <c r="C281" s="115"/>
      <c r="D281" s="55"/>
      <c r="E281" s="45"/>
      <c r="F281" s="21"/>
      <c r="G281" s="21"/>
      <c r="H281" s="42"/>
      <c r="I281" s="42"/>
      <c r="J281" s="42"/>
      <c r="K281" s="42"/>
      <c r="L281" s="42"/>
      <c r="M281" s="31" t="str">
        <f>IFERROR(VLOOKUP(W281,送料!$J$3:$K$42,2,FALSE),"")</f>
        <v/>
      </c>
      <c r="N281" s="108"/>
      <c r="O281" s="30"/>
      <c r="P281" s="30"/>
      <c r="Q281" s="30"/>
      <c r="R281" s="30"/>
      <c r="S281" s="30"/>
      <c r="T281" s="53">
        <f t="shared" si="57"/>
        <v>0</v>
      </c>
      <c r="U281" s="53">
        <f t="shared" si="58"/>
        <v>0</v>
      </c>
      <c r="V281" s="53">
        <f t="shared" si="59"/>
        <v>0</v>
      </c>
      <c r="W281" s="54">
        <f t="shared" si="60"/>
        <v>0</v>
      </c>
      <c r="X281" s="51" t="e">
        <f>VLOOKUP(W281,送料!$J$3:$K$42,2,FALSE)</f>
        <v>#N/A</v>
      </c>
      <c r="Y281" s="51" t="e">
        <f>VLOOKUP(X281,送料!$A$1:$B$40,2,FALSE)</f>
        <v>#N/A</v>
      </c>
      <c r="Z281" s="59">
        <f t="shared" si="61"/>
        <v>0</v>
      </c>
      <c r="AA281" s="62">
        <f t="shared" si="62"/>
        <v>4.5</v>
      </c>
      <c r="AB281" s="62">
        <f t="shared" si="63"/>
        <v>0</v>
      </c>
      <c r="AC281" s="65" t="e">
        <f t="shared" si="66"/>
        <v>#N/A</v>
      </c>
      <c r="AD281" s="65">
        <f t="shared" si="64"/>
        <v>0</v>
      </c>
      <c r="AE281" s="66" t="e">
        <f t="shared" si="65"/>
        <v>#N/A</v>
      </c>
    </row>
    <row r="282" spans="1:31">
      <c r="A282" s="105" t="s">
        <v>465</v>
      </c>
      <c r="B282" s="33"/>
      <c r="C282" s="115"/>
      <c r="D282" s="55"/>
      <c r="E282" s="45"/>
      <c r="F282" s="21"/>
      <c r="G282" s="21"/>
      <c r="H282" s="42"/>
      <c r="I282" s="42"/>
      <c r="J282" s="42"/>
      <c r="K282" s="42"/>
      <c r="L282" s="42"/>
      <c r="M282" s="31" t="str">
        <f>IFERROR(VLOOKUP(W282,送料!$J$3:$K$42,2,FALSE),"")</f>
        <v/>
      </c>
      <c r="N282" s="108"/>
      <c r="O282" s="30"/>
      <c r="P282" s="30"/>
      <c r="Q282" s="30"/>
      <c r="R282" s="30"/>
      <c r="S282" s="30"/>
      <c r="T282" s="53">
        <f t="shared" si="57"/>
        <v>0</v>
      </c>
      <c r="U282" s="53">
        <f t="shared" si="58"/>
        <v>0</v>
      </c>
      <c r="V282" s="53">
        <f t="shared" si="59"/>
        <v>0</v>
      </c>
      <c r="W282" s="54">
        <f t="shared" si="60"/>
        <v>0</v>
      </c>
      <c r="X282" s="51" t="e">
        <f>VLOOKUP(W282,送料!$J$3:$K$42,2,FALSE)</f>
        <v>#N/A</v>
      </c>
      <c r="Y282" s="51" t="e">
        <f>VLOOKUP(X282,送料!$A$1:$B$40,2,FALSE)</f>
        <v>#N/A</v>
      </c>
      <c r="Z282" s="59">
        <f t="shared" si="61"/>
        <v>0</v>
      </c>
      <c r="AA282" s="62">
        <f t="shared" si="62"/>
        <v>4.5</v>
      </c>
      <c r="AB282" s="62">
        <f t="shared" si="63"/>
        <v>0</v>
      </c>
      <c r="AC282" s="65" t="e">
        <f t="shared" si="66"/>
        <v>#N/A</v>
      </c>
      <c r="AD282" s="65">
        <f t="shared" si="64"/>
        <v>0</v>
      </c>
      <c r="AE282" s="66" t="e">
        <f t="shared" si="65"/>
        <v>#N/A</v>
      </c>
    </row>
    <row r="283" spans="1:31">
      <c r="A283" s="105" t="s">
        <v>466</v>
      </c>
      <c r="B283" s="33"/>
      <c r="C283" s="115"/>
      <c r="D283" s="55"/>
      <c r="E283" s="45"/>
      <c r="F283" s="21"/>
      <c r="G283" s="21"/>
      <c r="H283" s="42"/>
      <c r="I283" s="42"/>
      <c r="J283" s="42"/>
      <c r="K283" s="42"/>
      <c r="L283" s="42"/>
      <c r="M283" s="31" t="str">
        <f>IFERROR(VLOOKUP(W283,送料!$J$3:$K$42,2,FALSE),"")</f>
        <v/>
      </c>
      <c r="N283" s="108"/>
      <c r="O283" s="30"/>
      <c r="P283" s="30"/>
      <c r="Q283" s="30"/>
      <c r="R283" s="30"/>
      <c r="S283" s="30"/>
      <c r="T283" s="53">
        <f t="shared" si="57"/>
        <v>0</v>
      </c>
      <c r="U283" s="53">
        <f t="shared" si="58"/>
        <v>0</v>
      </c>
      <c r="V283" s="53">
        <f t="shared" si="59"/>
        <v>0</v>
      </c>
      <c r="W283" s="54">
        <f t="shared" si="60"/>
        <v>0</v>
      </c>
      <c r="X283" s="51" t="e">
        <f>VLOOKUP(W283,送料!$J$3:$K$42,2,FALSE)</f>
        <v>#N/A</v>
      </c>
      <c r="Y283" s="51" t="e">
        <f>VLOOKUP(X283,送料!$A$1:$B$40,2,FALSE)</f>
        <v>#N/A</v>
      </c>
      <c r="Z283" s="59">
        <f t="shared" si="61"/>
        <v>0</v>
      </c>
      <c r="AA283" s="62">
        <f t="shared" si="62"/>
        <v>4.5</v>
      </c>
      <c r="AB283" s="62">
        <f t="shared" si="63"/>
        <v>0</v>
      </c>
      <c r="AC283" s="65" t="e">
        <f t="shared" si="66"/>
        <v>#N/A</v>
      </c>
      <c r="AD283" s="65">
        <f t="shared" si="64"/>
        <v>0</v>
      </c>
      <c r="AE283" s="66" t="e">
        <f t="shared" si="65"/>
        <v>#N/A</v>
      </c>
    </row>
    <row r="284" spans="1:31">
      <c r="A284" s="105" t="s">
        <v>467</v>
      </c>
      <c r="B284" s="33"/>
      <c r="C284" s="115"/>
      <c r="D284" s="55"/>
      <c r="E284" s="45"/>
      <c r="F284" s="21"/>
      <c r="G284" s="21"/>
      <c r="H284" s="42"/>
      <c r="I284" s="42"/>
      <c r="J284" s="42"/>
      <c r="K284" s="42"/>
      <c r="L284" s="42"/>
      <c r="M284" s="31" t="str">
        <f>IFERROR(VLOOKUP(W284,送料!$J$3:$K$42,2,FALSE),"")</f>
        <v/>
      </c>
      <c r="N284" s="108"/>
      <c r="O284" s="30"/>
      <c r="P284" s="30"/>
      <c r="Q284" s="30"/>
      <c r="R284" s="30"/>
      <c r="S284" s="30"/>
      <c r="T284" s="53">
        <f t="shared" si="57"/>
        <v>0</v>
      </c>
      <c r="U284" s="53">
        <f t="shared" si="58"/>
        <v>0</v>
      </c>
      <c r="V284" s="53">
        <f t="shared" si="59"/>
        <v>0</v>
      </c>
      <c r="W284" s="54">
        <f t="shared" si="60"/>
        <v>0</v>
      </c>
      <c r="X284" s="51" t="e">
        <f>VLOOKUP(W284,送料!$J$3:$K$42,2,FALSE)</f>
        <v>#N/A</v>
      </c>
      <c r="Y284" s="51" t="e">
        <f>VLOOKUP(X284,送料!$A$1:$B$40,2,FALSE)</f>
        <v>#N/A</v>
      </c>
      <c r="Z284" s="59">
        <f t="shared" si="61"/>
        <v>0</v>
      </c>
      <c r="AA284" s="62">
        <f t="shared" si="62"/>
        <v>4.5</v>
      </c>
      <c r="AB284" s="62">
        <f t="shared" si="63"/>
        <v>0</v>
      </c>
      <c r="AC284" s="65" t="e">
        <f t="shared" si="66"/>
        <v>#N/A</v>
      </c>
      <c r="AD284" s="65">
        <f t="shared" si="64"/>
        <v>0</v>
      </c>
      <c r="AE284" s="66" t="e">
        <f t="shared" si="65"/>
        <v>#N/A</v>
      </c>
    </row>
    <row r="285" spans="1:31">
      <c r="A285" s="105" t="s">
        <v>468</v>
      </c>
      <c r="B285" s="33"/>
      <c r="C285" s="115"/>
      <c r="D285" s="55"/>
      <c r="E285" s="45"/>
      <c r="F285" s="21"/>
      <c r="G285" s="21"/>
      <c r="H285" s="42"/>
      <c r="I285" s="42"/>
      <c r="J285" s="42"/>
      <c r="K285" s="42"/>
      <c r="L285" s="42"/>
      <c r="M285" s="31" t="str">
        <f>IFERROR(VLOOKUP(W285,送料!$J$3:$K$42,2,FALSE),"")</f>
        <v/>
      </c>
      <c r="N285" s="108"/>
      <c r="O285" s="30"/>
      <c r="P285" s="30"/>
      <c r="Q285" s="30"/>
      <c r="R285" s="30"/>
      <c r="S285" s="30"/>
      <c r="T285" s="53">
        <f t="shared" si="57"/>
        <v>0</v>
      </c>
      <c r="U285" s="53">
        <f t="shared" si="58"/>
        <v>0</v>
      </c>
      <c r="V285" s="53">
        <f t="shared" si="59"/>
        <v>0</v>
      </c>
      <c r="W285" s="54">
        <f t="shared" si="60"/>
        <v>0</v>
      </c>
      <c r="X285" s="51" t="e">
        <f>VLOOKUP(W285,送料!$J$3:$K$42,2,FALSE)</f>
        <v>#N/A</v>
      </c>
      <c r="Y285" s="51" t="e">
        <f>VLOOKUP(X285,送料!$A$1:$B$40,2,FALSE)</f>
        <v>#N/A</v>
      </c>
      <c r="Z285" s="59">
        <f t="shared" si="61"/>
        <v>0</v>
      </c>
      <c r="AA285" s="62">
        <f t="shared" si="62"/>
        <v>4.5</v>
      </c>
      <c r="AB285" s="62">
        <f t="shared" si="63"/>
        <v>0</v>
      </c>
      <c r="AC285" s="65" t="e">
        <f t="shared" si="66"/>
        <v>#N/A</v>
      </c>
      <c r="AD285" s="65">
        <f t="shared" si="64"/>
        <v>0</v>
      </c>
      <c r="AE285" s="66" t="e">
        <f t="shared" si="65"/>
        <v>#N/A</v>
      </c>
    </row>
    <row r="286" spans="1:31">
      <c r="A286" s="105" t="s">
        <v>469</v>
      </c>
      <c r="B286" s="33"/>
      <c r="C286" s="115"/>
      <c r="D286" s="55"/>
      <c r="E286" s="45"/>
      <c r="F286" s="21"/>
      <c r="G286" s="21"/>
      <c r="H286" s="42"/>
      <c r="I286" s="42"/>
      <c r="J286" s="42"/>
      <c r="K286" s="42"/>
      <c r="L286" s="42"/>
      <c r="M286" s="31" t="str">
        <f>IFERROR(VLOOKUP(W286,送料!$J$3:$K$42,2,FALSE),"")</f>
        <v/>
      </c>
      <c r="N286" s="108"/>
      <c r="O286" s="30"/>
      <c r="P286" s="30"/>
      <c r="Q286" s="30"/>
      <c r="R286" s="30"/>
      <c r="S286" s="30"/>
      <c r="T286" s="53">
        <f t="shared" si="57"/>
        <v>0</v>
      </c>
      <c r="U286" s="53">
        <f t="shared" si="58"/>
        <v>0</v>
      </c>
      <c r="V286" s="53">
        <f t="shared" si="59"/>
        <v>0</v>
      </c>
      <c r="W286" s="54">
        <f t="shared" si="60"/>
        <v>0</v>
      </c>
      <c r="X286" s="51" t="e">
        <f>VLOOKUP(W286,送料!$J$3:$K$42,2,FALSE)</f>
        <v>#N/A</v>
      </c>
      <c r="Y286" s="51" t="e">
        <f>VLOOKUP(X286,送料!$A$1:$B$40,2,FALSE)</f>
        <v>#N/A</v>
      </c>
      <c r="Z286" s="59">
        <f t="shared" si="61"/>
        <v>0</v>
      </c>
      <c r="AA286" s="62">
        <f t="shared" si="62"/>
        <v>4.5</v>
      </c>
      <c r="AB286" s="62">
        <f t="shared" si="63"/>
        <v>0</v>
      </c>
      <c r="AC286" s="65" t="e">
        <f t="shared" si="66"/>
        <v>#N/A</v>
      </c>
      <c r="AD286" s="65">
        <f t="shared" si="64"/>
        <v>0</v>
      </c>
      <c r="AE286" s="66" t="e">
        <f t="shared" si="65"/>
        <v>#N/A</v>
      </c>
    </row>
    <row r="287" spans="1:31">
      <c r="A287" s="105" t="s">
        <v>470</v>
      </c>
      <c r="B287" s="33"/>
      <c r="C287" s="115"/>
      <c r="D287" s="55"/>
      <c r="E287" s="45"/>
      <c r="F287" s="21"/>
      <c r="G287" s="21"/>
      <c r="H287" s="42"/>
      <c r="I287" s="42"/>
      <c r="J287" s="42"/>
      <c r="K287" s="42"/>
      <c r="L287" s="42"/>
      <c r="M287" s="31" t="str">
        <f>IFERROR(VLOOKUP(W287,送料!$J$3:$K$42,2,FALSE),"")</f>
        <v/>
      </c>
      <c r="N287" s="108"/>
      <c r="O287" s="30"/>
      <c r="P287" s="30"/>
      <c r="Q287" s="30"/>
      <c r="R287" s="30"/>
      <c r="S287" s="30"/>
      <c r="T287" s="53">
        <f t="shared" si="57"/>
        <v>0</v>
      </c>
      <c r="U287" s="53">
        <f t="shared" si="58"/>
        <v>0</v>
      </c>
      <c r="V287" s="53">
        <f t="shared" si="59"/>
        <v>0</v>
      </c>
      <c r="W287" s="54">
        <f t="shared" si="60"/>
        <v>0</v>
      </c>
      <c r="X287" s="51" t="e">
        <f>VLOOKUP(W287,送料!$J$3:$K$42,2,FALSE)</f>
        <v>#N/A</v>
      </c>
      <c r="Y287" s="51" t="e">
        <f>VLOOKUP(X287,送料!$A$1:$B$40,2,FALSE)</f>
        <v>#N/A</v>
      </c>
      <c r="Z287" s="59">
        <f t="shared" si="61"/>
        <v>0</v>
      </c>
      <c r="AA287" s="62">
        <f t="shared" si="62"/>
        <v>4.5</v>
      </c>
      <c r="AB287" s="62">
        <f t="shared" si="63"/>
        <v>0</v>
      </c>
      <c r="AC287" s="65" t="e">
        <f t="shared" si="66"/>
        <v>#N/A</v>
      </c>
      <c r="AD287" s="65">
        <f t="shared" si="64"/>
        <v>0</v>
      </c>
      <c r="AE287" s="66" t="e">
        <f t="shared" si="65"/>
        <v>#N/A</v>
      </c>
    </row>
    <row r="288" spans="1:31">
      <c r="A288" s="105" t="s">
        <v>471</v>
      </c>
      <c r="B288" s="33"/>
      <c r="C288" s="115"/>
      <c r="D288" s="55"/>
      <c r="E288" s="45"/>
      <c r="F288" s="21"/>
      <c r="G288" s="21"/>
      <c r="H288" s="42"/>
      <c r="I288" s="42"/>
      <c r="J288" s="42"/>
      <c r="K288" s="42"/>
      <c r="L288" s="42"/>
      <c r="M288" s="31" t="str">
        <f>IFERROR(VLOOKUP(W288,送料!$J$3:$K$42,2,FALSE),"")</f>
        <v/>
      </c>
      <c r="N288" s="108"/>
      <c r="O288" s="30"/>
      <c r="P288" s="30"/>
      <c r="Q288" s="30"/>
      <c r="R288" s="30"/>
      <c r="S288" s="30"/>
      <c r="T288" s="53">
        <f t="shared" si="57"/>
        <v>0</v>
      </c>
      <c r="U288" s="53">
        <f t="shared" si="58"/>
        <v>0</v>
      </c>
      <c r="V288" s="53">
        <f t="shared" si="59"/>
        <v>0</v>
      </c>
      <c r="W288" s="54">
        <f t="shared" si="60"/>
        <v>0</v>
      </c>
      <c r="X288" s="51" t="e">
        <f>VLOOKUP(W288,送料!$J$3:$K$42,2,FALSE)</f>
        <v>#N/A</v>
      </c>
      <c r="Y288" s="51" t="e">
        <f>VLOOKUP(X288,送料!$A$1:$B$40,2,FALSE)</f>
        <v>#N/A</v>
      </c>
      <c r="Z288" s="59">
        <f t="shared" si="61"/>
        <v>0</v>
      </c>
      <c r="AA288" s="62">
        <f t="shared" si="62"/>
        <v>4.5</v>
      </c>
      <c r="AB288" s="62">
        <f t="shared" si="63"/>
        <v>0</v>
      </c>
      <c r="AC288" s="65" t="e">
        <f t="shared" si="66"/>
        <v>#N/A</v>
      </c>
      <c r="AD288" s="65">
        <f t="shared" si="64"/>
        <v>0</v>
      </c>
      <c r="AE288" s="66" t="e">
        <f t="shared" si="65"/>
        <v>#N/A</v>
      </c>
    </row>
    <row r="289" spans="1:31">
      <c r="A289" s="105" t="s">
        <v>472</v>
      </c>
      <c r="B289" s="33"/>
      <c r="C289" s="115"/>
      <c r="D289" s="55"/>
      <c r="E289" s="45"/>
      <c r="F289" s="21"/>
      <c r="G289" s="21"/>
      <c r="H289" s="42"/>
      <c r="I289" s="42"/>
      <c r="J289" s="42"/>
      <c r="K289" s="42"/>
      <c r="L289" s="42"/>
      <c r="M289" s="31" t="str">
        <f>IFERROR(VLOOKUP(W289,送料!$J$3:$K$42,2,FALSE),"")</f>
        <v/>
      </c>
      <c r="N289" s="108"/>
      <c r="O289" s="30"/>
      <c r="P289" s="30"/>
      <c r="Q289" s="30"/>
      <c r="R289" s="30"/>
      <c r="S289" s="30"/>
      <c r="T289" s="53">
        <f t="shared" si="57"/>
        <v>0</v>
      </c>
      <c r="U289" s="53">
        <f t="shared" si="58"/>
        <v>0</v>
      </c>
      <c r="V289" s="53">
        <f t="shared" si="59"/>
        <v>0</v>
      </c>
      <c r="W289" s="54">
        <f t="shared" si="60"/>
        <v>0</v>
      </c>
      <c r="X289" s="51" t="e">
        <f>VLOOKUP(W289,送料!$J$3:$K$42,2,FALSE)</f>
        <v>#N/A</v>
      </c>
      <c r="Y289" s="51" t="e">
        <f>VLOOKUP(X289,送料!$A$1:$B$40,2,FALSE)</f>
        <v>#N/A</v>
      </c>
      <c r="Z289" s="59">
        <f t="shared" si="61"/>
        <v>0</v>
      </c>
      <c r="AA289" s="62">
        <f t="shared" si="62"/>
        <v>4.5</v>
      </c>
      <c r="AB289" s="62">
        <f t="shared" si="63"/>
        <v>0</v>
      </c>
      <c r="AC289" s="65" t="e">
        <f t="shared" si="66"/>
        <v>#N/A</v>
      </c>
      <c r="AD289" s="65">
        <f t="shared" si="64"/>
        <v>0</v>
      </c>
      <c r="AE289" s="66" t="e">
        <f t="shared" si="65"/>
        <v>#N/A</v>
      </c>
    </row>
    <row r="290" spans="1:31">
      <c r="A290" s="105" t="s">
        <v>473</v>
      </c>
      <c r="B290" s="33"/>
      <c r="C290" s="115"/>
      <c r="D290" s="55"/>
      <c r="E290" s="45"/>
      <c r="F290" s="21"/>
      <c r="G290" s="21"/>
      <c r="H290" s="42"/>
      <c r="I290" s="42"/>
      <c r="J290" s="42"/>
      <c r="K290" s="42"/>
      <c r="L290" s="42"/>
      <c r="M290" s="31" t="str">
        <f>IFERROR(VLOOKUP(W290,送料!$J$3:$K$42,2,FALSE),"")</f>
        <v/>
      </c>
      <c r="N290" s="108"/>
      <c r="O290" s="30"/>
      <c r="P290" s="30"/>
      <c r="Q290" s="30"/>
      <c r="R290" s="30"/>
      <c r="S290" s="30"/>
      <c r="T290" s="53">
        <f t="shared" si="57"/>
        <v>0</v>
      </c>
      <c r="U290" s="53">
        <f t="shared" si="58"/>
        <v>0</v>
      </c>
      <c r="V290" s="53">
        <f t="shared" si="59"/>
        <v>0</v>
      </c>
      <c r="W290" s="54">
        <f t="shared" si="60"/>
        <v>0</v>
      </c>
      <c r="X290" s="51" t="e">
        <f>VLOOKUP(W290,送料!$J$3:$K$42,2,FALSE)</f>
        <v>#N/A</v>
      </c>
      <c r="Y290" s="51" t="e">
        <f>VLOOKUP(X290,送料!$A$1:$B$40,2,FALSE)</f>
        <v>#N/A</v>
      </c>
      <c r="Z290" s="59">
        <f t="shared" si="61"/>
        <v>0</v>
      </c>
      <c r="AA290" s="62">
        <f t="shared" si="62"/>
        <v>4.5</v>
      </c>
      <c r="AB290" s="62">
        <f t="shared" si="63"/>
        <v>0</v>
      </c>
      <c r="AC290" s="65" t="e">
        <f t="shared" si="66"/>
        <v>#N/A</v>
      </c>
      <c r="AD290" s="65">
        <f t="shared" si="64"/>
        <v>0</v>
      </c>
      <c r="AE290" s="66" t="e">
        <f t="shared" si="65"/>
        <v>#N/A</v>
      </c>
    </row>
    <row r="291" spans="1:31">
      <c r="A291" s="105" t="s">
        <v>474</v>
      </c>
      <c r="B291" s="33"/>
      <c r="C291" s="115"/>
      <c r="D291" s="55"/>
      <c r="E291" s="45"/>
      <c r="F291" s="21"/>
      <c r="G291" s="21"/>
      <c r="H291" s="42"/>
      <c r="I291" s="42"/>
      <c r="J291" s="42"/>
      <c r="K291" s="42"/>
      <c r="L291" s="42"/>
      <c r="M291" s="31" t="str">
        <f>IFERROR(VLOOKUP(W291,送料!$J$3:$K$42,2,FALSE),"")</f>
        <v/>
      </c>
      <c r="N291" s="108"/>
      <c r="O291" s="30"/>
      <c r="P291" s="30"/>
      <c r="Q291" s="30"/>
      <c r="R291" s="30"/>
      <c r="S291" s="30"/>
      <c r="T291" s="53">
        <f t="shared" si="57"/>
        <v>0</v>
      </c>
      <c r="U291" s="53">
        <f t="shared" si="58"/>
        <v>0</v>
      </c>
      <c r="V291" s="53">
        <f t="shared" si="59"/>
        <v>0</v>
      </c>
      <c r="W291" s="54">
        <f t="shared" si="60"/>
        <v>0</v>
      </c>
      <c r="X291" s="51" t="e">
        <f>VLOOKUP(W291,送料!$J$3:$K$42,2,FALSE)</f>
        <v>#N/A</v>
      </c>
      <c r="Y291" s="51" t="e">
        <f>VLOOKUP(X291,送料!$A$1:$B$40,2,FALSE)</f>
        <v>#N/A</v>
      </c>
      <c r="Z291" s="59">
        <f t="shared" si="61"/>
        <v>0</v>
      </c>
      <c r="AA291" s="62">
        <f t="shared" si="62"/>
        <v>4.5</v>
      </c>
      <c r="AB291" s="62">
        <f t="shared" si="63"/>
        <v>0</v>
      </c>
      <c r="AC291" s="65" t="e">
        <f t="shared" si="66"/>
        <v>#N/A</v>
      </c>
      <c r="AD291" s="65">
        <f t="shared" si="64"/>
        <v>0</v>
      </c>
      <c r="AE291" s="66" t="e">
        <f t="shared" si="65"/>
        <v>#N/A</v>
      </c>
    </row>
    <row r="292" spans="1:31">
      <c r="A292" s="105" t="s">
        <v>475</v>
      </c>
      <c r="B292" s="33"/>
      <c r="C292" s="115"/>
      <c r="D292" s="55"/>
      <c r="E292" s="45"/>
      <c r="F292" s="21"/>
      <c r="G292" s="21"/>
      <c r="H292" s="42"/>
      <c r="I292" s="42"/>
      <c r="J292" s="42"/>
      <c r="K292" s="42"/>
      <c r="L292" s="42"/>
      <c r="M292" s="31" t="str">
        <f>IFERROR(VLOOKUP(W292,送料!$J$3:$K$42,2,FALSE),"")</f>
        <v/>
      </c>
      <c r="N292" s="108"/>
      <c r="O292" s="30"/>
      <c r="P292" s="30"/>
      <c r="Q292" s="30"/>
      <c r="R292" s="30"/>
      <c r="S292" s="30"/>
      <c r="T292" s="53">
        <f t="shared" si="57"/>
        <v>0</v>
      </c>
      <c r="U292" s="53">
        <f t="shared" si="58"/>
        <v>0</v>
      </c>
      <c r="V292" s="53">
        <f t="shared" si="59"/>
        <v>0</v>
      </c>
      <c r="W292" s="54">
        <f t="shared" si="60"/>
        <v>0</v>
      </c>
      <c r="X292" s="51" t="e">
        <f>VLOOKUP(W292,送料!$J$3:$K$42,2,FALSE)</f>
        <v>#N/A</v>
      </c>
      <c r="Y292" s="51" t="e">
        <f>VLOOKUP(X292,送料!$A$1:$B$40,2,FALSE)</f>
        <v>#N/A</v>
      </c>
      <c r="Z292" s="59">
        <f t="shared" si="61"/>
        <v>0</v>
      </c>
      <c r="AA292" s="62">
        <f t="shared" si="62"/>
        <v>4.5</v>
      </c>
      <c r="AB292" s="62">
        <f t="shared" si="63"/>
        <v>0</v>
      </c>
      <c r="AC292" s="65" t="e">
        <f t="shared" si="66"/>
        <v>#N/A</v>
      </c>
      <c r="AD292" s="65">
        <f t="shared" si="64"/>
        <v>0</v>
      </c>
      <c r="AE292" s="66" t="e">
        <f t="shared" si="65"/>
        <v>#N/A</v>
      </c>
    </row>
    <row r="293" spans="1:31">
      <c r="A293" s="105" t="s">
        <v>476</v>
      </c>
      <c r="B293" s="33"/>
      <c r="C293" s="115"/>
      <c r="D293" s="55"/>
      <c r="E293" s="45"/>
      <c r="F293" s="21"/>
      <c r="G293" s="21"/>
      <c r="H293" s="42"/>
      <c r="I293" s="42"/>
      <c r="J293" s="42"/>
      <c r="K293" s="42"/>
      <c r="L293" s="42"/>
      <c r="M293" s="31" t="str">
        <f>IFERROR(VLOOKUP(W293,送料!$J$3:$K$42,2,FALSE),"")</f>
        <v/>
      </c>
      <c r="N293" s="108"/>
      <c r="O293" s="30"/>
      <c r="P293" s="30"/>
      <c r="Q293" s="30"/>
      <c r="R293" s="30"/>
      <c r="S293" s="30"/>
      <c r="T293" s="53">
        <f t="shared" si="57"/>
        <v>0</v>
      </c>
      <c r="U293" s="53">
        <f t="shared" si="58"/>
        <v>0</v>
      </c>
      <c r="V293" s="53">
        <f t="shared" si="59"/>
        <v>0</v>
      </c>
      <c r="W293" s="54">
        <f t="shared" si="60"/>
        <v>0</v>
      </c>
      <c r="X293" s="51" t="e">
        <f>VLOOKUP(W293,送料!$J$3:$K$42,2,FALSE)</f>
        <v>#N/A</v>
      </c>
      <c r="Y293" s="51" t="e">
        <f>VLOOKUP(X293,送料!$A$1:$B$40,2,FALSE)</f>
        <v>#N/A</v>
      </c>
      <c r="Z293" s="59">
        <f t="shared" si="61"/>
        <v>0</v>
      </c>
      <c r="AA293" s="62">
        <f t="shared" si="62"/>
        <v>4.5</v>
      </c>
      <c r="AB293" s="62">
        <f t="shared" si="63"/>
        <v>0</v>
      </c>
      <c r="AC293" s="65" t="e">
        <f t="shared" si="66"/>
        <v>#N/A</v>
      </c>
      <c r="AD293" s="65">
        <f t="shared" si="64"/>
        <v>0</v>
      </c>
      <c r="AE293" s="66" t="e">
        <f t="shared" si="65"/>
        <v>#N/A</v>
      </c>
    </row>
    <row r="294" spans="1:31">
      <c r="A294" s="105" t="s">
        <v>477</v>
      </c>
      <c r="B294" s="33"/>
      <c r="C294" s="115"/>
      <c r="D294" s="55"/>
      <c r="E294" s="45"/>
      <c r="F294" s="21"/>
      <c r="G294" s="21"/>
      <c r="H294" s="42"/>
      <c r="I294" s="42"/>
      <c r="J294" s="42"/>
      <c r="K294" s="42"/>
      <c r="L294" s="42"/>
      <c r="M294" s="31" t="str">
        <f>IFERROR(VLOOKUP(W294,送料!$J$3:$K$42,2,FALSE),"")</f>
        <v/>
      </c>
      <c r="N294" s="108"/>
      <c r="O294" s="30"/>
      <c r="P294" s="30"/>
      <c r="Q294" s="30"/>
      <c r="R294" s="30"/>
      <c r="S294" s="30"/>
      <c r="T294" s="53">
        <f t="shared" si="57"/>
        <v>0</v>
      </c>
      <c r="U294" s="53">
        <f t="shared" si="58"/>
        <v>0</v>
      </c>
      <c r="V294" s="53">
        <f t="shared" si="59"/>
        <v>0</v>
      </c>
      <c r="W294" s="54">
        <f t="shared" si="60"/>
        <v>0</v>
      </c>
      <c r="X294" s="51" t="e">
        <f>VLOOKUP(W294,送料!$J$3:$K$42,2,FALSE)</f>
        <v>#N/A</v>
      </c>
      <c r="Y294" s="51" t="e">
        <f>VLOOKUP(X294,送料!$A$1:$B$40,2,FALSE)</f>
        <v>#N/A</v>
      </c>
      <c r="Z294" s="59">
        <f t="shared" si="61"/>
        <v>0</v>
      </c>
      <c r="AA294" s="62">
        <f t="shared" si="62"/>
        <v>4.5</v>
      </c>
      <c r="AB294" s="62">
        <f t="shared" si="63"/>
        <v>0</v>
      </c>
      <c r="AC294" s="65" t="e">
        <f t="shared" si="66"/>
        <v>#N/A</v>
      </c>
      <c r="AD294" s="65">
        <f t="shared" si="64"/>
        <v>0</v>
      </c>
      <c r="AE294" s="66" t="e">
        <f t="shared" si="65"/>
        <v>#N/A</v>
      </c>
    </row>
    <row r="295" spans="1:31">
      <c r="A295" s="105" t="s">
        <v>478</v>
      </c>
      <c r="B295" s="33"/>
      <c r="C295" s="115"/>
      <c r="D295" s="55"/>
      <c r="E295" s="45"/>
      <c r="F295" s="21"/>
      <c r="G295" s="21"/>
      <c r="H295" s="42"/>
      <c r="I295" s="42"/>
      <c r="J295" s="42"/>
      <c r="K295" s="42"/>
      <c r="L295" s="42"/>
      <c r="M295" s="31" t="str">
        <f>IFERROR(VLOOKUP(W295,送料!$J$3:$K$42,2,FALSE),"")</f>
        <v/>
      </c>
      <c r="N295" s="108"/>
      <c r="O295" s="30"/>
      <c r="P295" s="30"/>
      <c r="Q295" s="30"/>
      <c r="R295" s="30"/>
      <c r="S295" s="30"/>
      <c r="T295" s="53">
        <f t="shared" si="57"/>
        <v>0</v>
      </c>
      <c r="U295" s="53">
        <f t="shared" si="58"/>
        <v>0</v>
      </c>
      <c r="V295" s="53">
        <f t="shared" si="59"/>
        <v>0</v>
      </c>
      <c r="W295" s="54">
        <f t="shared" si="60"/>
        <v>0</v>
      </c>
      <c r="X295" s="51" t="e">
        <f>VLOOKUP(W295,送料!$J$3:$K$42,2,FALSE)</f>
        <v>#N/A</v>
      </c>
      <c r="Y295" s="51" t="e">
        <f>VLOOKUP(X295,送料!$A$1:$B$40,2,FALSE)</f>
        <v>#N/A</v>
      </c>
      <c r="Z295" s="59">
        <f t="shared" si="61"/>
        <v>0</v>
      </c>
      <c r="AA295" s="62">
        <f t="shared" si="62"/>
        <v>4.5</v>
      </c>
      <c r="AB295" s="62">
        <f t="shared" si="63"/>
        <v>0</v>
      </c>
      <c r="AC295" s="65" t="e">
        <f t="shared" si="66"/>
        <v>#N/A</v>
      </c>
      <c r="AD295" s="65">
        <f t="shared" si="64"/>
        <v>0</v>
      </c>
      <c r="AE295" s="66" t="e">
        <f t="shared" si="65"/>
        <v>#N/A</v>
      </c>
    </row>
    <row r="296" spans="1:31">
      <c r="A296" s="105" t="s">
        <v>479</v>
      </c>
      <c r="B296" s="33"/>
      <c r="C296" s="115"/>
      <c r="D296" s="55"/>
      <c r="E296" s="45"/>
      <c r="F296" s="21"/>
      <c r="G296" s="21"/>
      <c r="H296" s="42"/>
      <c r="I296" s="42"/>
      <c r="J296" s="42"/>
      <c r="K296" s="42"/>
      <c r="L296" s="42"/>
      <c r="M296" s="31" t="str">
        <f>IFERROR(VLOOKUP(W296,送料!$J$3:$K$42,2,FALSE),"")</f>
        <v/>
      </c>
      <c r="N296" s="108"/>
      <c r="O296" s="30"/>
      <c r="P296" s="30"/>
      <c r="Q296" s="30"/>
      <c r="R296" s="30"/>
      <c r="S296" s="30"/>
      <c r="T296" s="53">
        <f t="shared" si="57"/>
        <v>0</v>
      </c>
      <c r="U296" s="53">
        <f t="shared" si="58"/>
        <v>0</v>
      </c>
      <c r="V296" s="53">
        <f t="shared" si="59"/>
        <v>0</v>
      </c>
      <c r="W296" s="54">
        <f t="shared" si="60"/>
        <v>0</v>
      </c>
      <c r="X296" s="51" t="e">
        <f>VLOOKUP(W296,送料!$J$3:$K$42,2,FALSE)</f>
        <v>#N/A</v>
      </c>
      <c r="Y296" s="51" t="e">
        <f>VLOOKUP(X296,送料!$A$1:$B$40,2,FALSE)</f>
        <v>#N/A</v>
      </c>
      <c r="Z296" s="59">
        <f t="shared" si="61"/>
        <v>0</v>
      </c>
      <c r="AA296" s="62">
        <f t="shared" si="62"/>
        <v>4.5</v>
      </c>
      <c r="AB296" s="62">
        <f t="shared" si="63"/>
        <v>0</v>
      </c>
      <c r="AC296" s="65" t="e">
        <f t="shared" si="66"/>
        <v>#N/A</v>
      </c>
      <c r="AD296" s="65">
        <f t="shared" si="64"/>
        <v>0</v>
      </c>
      <c r="AE296" s="66" t="e">
        <f t="shared" si="65"/>
        <v>#N/A</v>
      </c>
    </row>
    <row r="297" spans="1:31">
      <c r="A297" s="105" t="s">
        <v>480</v>
      </c>
      <c r="B297" s="33"/>
      <c r="C297" s="115"/>
      <c r="D297" s="55"/>
      <c r="E297" s="45"/>
      <c r="F297" s="21"/>
      <c r="G297" s="21"/>
      <c r="H297" s="42"/>
      <c r="I297" s="42"/>
      <c r="J297" s="42"/>
      <c r="K297" s="42"/>
      <c r="L297" s="42"/>
      <c r="M297" s="31" t="str">
        <f>IFERROR(VLOOKUP(W297,送料!$J$3:$K$42,2,FALSE),"")</f>
        <v/>
      </c>
      <c r="N297" s="108"/>
      <c r="O297" s="30"/>
      <c r="P297" s="30"/>
      <c r="Q297" s="30"/>
      <c r="R297" s="30"/>
      <c r="S297" s="30"/>
      <c r="T297" s="53">
        <f t="shared" si="57"/>
        <v>0</v>
      </c>
      <c r="U297" s="53">
        <f t="shared" si="58"/>
        <v>0</v>
      </c>
      <c r="V297" s="53">
        <f t="shared" si="59"/>
        <v>0</v>
      </c>
      <c r="W297" s="54">
        <f t="shared" si="60"/>
        <v>0</v>
      </c>
      <c r="X297" s="51" t="e">
        <f>VLOOKUP(W297,送料!$J$3:$K$42,2,FALSE)</f>
        <v>#N/A</v>
      </c>
      <c r="Y297" s="51" t="e">
        <f>VLOOKUP(X297,送料!$A$1:$B$40,2,FALSE)</f>
        <v>#N/A</v>
      </c>
      <c r="Z297" s="59">
        <f t="shared" si="61"/>
        <v>0</v>
      </c>
      <c r="AA297" s="62">
        <f t="shared" si="62"/>
        <v>4.5</v>
      </c>
      <c r="AB297" s="62">
        <f t="shared" si="63"/>
        <v>0</v>
      </c>
      <c r="AC297" s="65" t="e">
        <f t="shared" si="66"/>
        <v>#N/A</v>
      </c>
      <c r="AD297" s="65">
        <f t="shared" si="64"/>
        <v>0</v>
      </c>
      <c r="AE297" s="66" t="e">
        <f t="shared" si="65"/>
        <v>#N/A</v>
      </c>
    </row>
    <row r="298" spans="1:31">
      <c r="A298" s="105" t="s">
        <v>481</v>
      </c>
      <c r="B298" s="33"/>
      <c r="C298" s="115"/>
      <c r="D298" s="55"/>
      <c r="E298" s="45"/>
      <c r="F298" s="21"/>
      <c r="G298" s="21"/>
      <c r="H298" s="42"/>
      <c r="I298" s="42"/>
      <c r="J298" s="42"/>
      <c r="K298" s="42"/>
      <c r="L298" s="42"/>
      <c r="M298" s="31" t="str">
        <f>IFERROR(VLOOKUP(W298,送料!$J$3:$K$42,2,FALSE),"")</f>
        <v/>
      </c>
      <c r="N298" s="108"/>
      <c r="O298" s="30"/>
      <c r="P298" s="30"/>
      <c r="Q298" s="30"/>
      <c r="R298" s="30"/>
      <c r="S298" s="30"/>
      <c r="T298" s="53">
        <f t="shared" si="57"/>
        <v>0</v>
      </c>
      <c r="U298" s="53">
        <f t="shared" si="58"/>
        <v>0</v>
      </c>
      <c r="V298" s="53">
        <f t="shared" si="59"/>
        <v>0</v>
      </c>
      <c r="W298" s="54">
        <f t="shared" si="60"/>
        <v>0</v>
      </c>
      <c r="X298" s="51" t="e">
        <f>VLOOKUP(W298,送料!$J$3:$K$42,2,FALSE)</f>
        <v>#N/A</v>
      </c>
      <c r="Y298" s="51" t="e">
        <f>VLOOKUP(X298,送料!$A$1:$B$40,2,FALSE)</f>
        <v>#N/A</v>
      </c>
      <c r="Z298" s="59">
        <f t="shared" si="61"/>
        <v>0</v>
      </c>
      <c r="AA298" s="62">
        <f t="shared" si="62"/>
        <v>4.5</v>
      </c>
      <c r="AB298" s="62">
        <f t="shared" si="63"/>
        <v>0</v>
      </c>
      <c r="AC298" s="65" t="e">
        <f t="shared" si="66"/>
        <v>#N/A</v>
      </c>
      <c r="AD298" s="65">
        <f t="shared" si="64"/>
        <v>0</v>
      </c>
      <c r="AE298" s="66" t="e">
        <f t="shared" si="65"/>
        <v>#N/A</v>
      </c>
    </row>
    <row r="299" spans="1:31">
      <c r="A299" s="105" t="s">
        <v>482</v>
      </c>
      <c r="B299" s="33"/>
      <c r="C299" s="115"/>
      <c r="D299" s="55"/>
      <c r="E299" s="45"/>
      <c r="F299" s="21"/>
      <c r="G299" s="21"/>
      <c r="H299" s="42"/>
      <c r="I299" s="42"/>
      <c r="J299" s="42"/>
      <c r="K299" s="42"/>
      <c r="L299" s="42"/>
      <c r="M299" s="31" t="str">
        <f>IFERROR(VLOOKUP(W299,送料!$J$3:$K$42,2,FALSE),"")</f>
        <v/>
      </c>
      <c r="N299" s="108"/>
      <c r="O299" s="30"/>
      <c r="P299" s="30"/>
      <c r="Q299" s="30"/>
      <c r="R299" s="30"/>
      <c r="S299" s="30"/>
      <c r="T299" s="53">
        <f t="shared" si="57"/>
        <v>0</v>
      </c>
      <c r="U299" s="53">
        <f t="shared" si="58"/>
        <v>0</v>
      </c>
      <c r="V299" s="53">
        <f t="shared" si="59"/>
        <v>0</v>
      </c>
      <c r="W299" s="54">
        <f t="shared" si="60"/>
        <v>0</v>
      </c>
      <c r="X299" s="51" t="e">
        <f>VLOOKUP(W299,送料!$J$3:$K$42,2,FALSE)</f>
        <v>#N/A</v>
      </c>
      <c r="Y299" s="51" t="e">
        <f>VLOOKUP(X299,送料!$A$1:$B$40,2,FALSE)</f>
        <v>#N/A</v>
      </c>
      <c r="Z299" s="59">
        <f t="shared" si="61"/>
        <v>0</v>
      </c>
      <c r="AA299" s="62">
        <f t="shared" si="62"/>
        <v>4.5</v>
      </c>
      <c r="AB299" s="62">
        <f t="shared" si="63"/>
        <v>0</v>
      </c>
      <c r="AC299" s="65" t="e">
        <f t="shared" si="66"/>
        <v>#N/A</v>
      </c>
      <c r="AD299" s="65">
        <f t="shared" si="64"/>
        <v>0</v>
      </c>
      <c r="AE299" s="66" t="e">
        <f t="shared" si="65"/>
        <v>#N/A</v>
      </c>
    </row>
    <row r="300" spans="1:31">
      <c r="A300" s="105" t="s">
        <v>483</v>
      </c>
      <c r="B300" s="33"/>
      <c r="C300" s="115"/>
      <c r="D300" s="55"/>
      <c r="E300" s="45"/>
      <c r="F300" s="21"/>
      <c r="G300" s="21"/>
      <c r="H300" s="42"/>
      <c r="I300" s="42"/>
      <c r="J300" s="42"/>
      <c r="K300" s="42"/>
      <c r="L300" s="42"/>
      <c r="M300" s="31" t="str">
        <f>IFERROR(VLOOKUP(W300,送料!$J$3:$K$42,2,FALSE),"")</f>
        <v/>
      </c>
      <c r="N300" s="108"/>
      <c r="O300" s="30"/>
      <c r="P300" s="30"/>
      <c r="Q300" s="30"/>
      <c r="R300" s="30"/>
      <c r="S300" s="30"/>
      <c r="T300" s="53">
        <f t="shared" si="57"/>
        <v>0</v>
      </c>
      <c r="U300" s="53">
        <f t="shared" si="58"/>
        <v>0</v>
      </c>
      <c r="V300" s="53">
        <f t="shared" si="59"/>
        <v>0</v>
      </c>
      <c r="W300" s="54">
        <f t="shared" si="60"/>
        <v>0</v>
      </c>
      <c r="X300" s="51" t="e">
        <f>VLOOKUP(W300,送料!$J$3:$K$42,2,FALSE)</f>
        <v>#N/A</v>
      </c>
      <c r="Y300" s="51" t="e">
        <f>VLOOKUP(X300,送料!$A$1:$B$40,2,FALSE)</f>
        <v>#N/A</v>
      </c>
      <c r="Z300" s="59">
        <f t="shared" si="61"/>
        <v>0</v>
      </c>
      <c r="AA300" s="62">
        <f t="shared" si="62"/>
        <v>4.5</v>
      </c>
      <c r="AB300" s="62">
        <f t="shared" si="63"/>
        <v>0</v>
      </c>
      <c r="AC300" s="65" t="e">
        <f t="shared" si="66"/>
        <v>#N/A</v>
      </c>
      <c r="AD300" s="65">
        <f t="shared" si="64"/>
        <v>0</v>
      </c>
      <c r="AE300" s="66" t="e">
        <f t="shared" si="65"/>
        <v>#N/A</v>
      </c>
    </row>
    <row r="301" spans="1:31">
      <c r="A301" s="105" t="s">
        <v>484</v>
      </c>
      <c r="B301" s="33"/>
      <c r="C301" s="115"/>
      <c r="D301" s="55"/>
      <c r="E301" s="45"/>
      <c r="F301" s="21"/>
      <c r="G301" s="21"/>
      <c r="H301" s="42"/>
      <c r="I301" s="42"/>
      <c r="J301" s="42"/>
      <c r="K301" s="42"/>
      <c r="L301" s="42"/>
      <c r="M301" s="31" t="str">
        <f>IFERROR(VLOOKUP(W301,送料!$J$3:$K$42,2,FALSE),"")</f>
        <v/>
      </c>
      <c r="N301" s="108"/>
      <c r="O301" s="30"/>
      <c r="P301" s="30"/>
      <c r="Q301" s="30"/>
      <c r="R301" s="30"/>
      <c r="S301" s="30"/>
      <c r="T301" s="53">
        <f t="shared" si="57"/>
        <v>0</v>
      </c>
      <c r="U301" s="53">
        <f t="shared" si="58"/>
        <v>0</v>
      </c>
      <c r="V301" s="53">
        <f t="shared" si="59"/>
        <v>0</v>
      </c>
      <c r="W301" s="54">
        <f t="shared" si="60"/>
        <v>0</v>
      </c>
      <c r="X301" s="51" t="e">
        <f>VLOOKUP(W301,送料!$J$3:$K$42,2,FALSE)</f>
        <v>#N/A</v>
      </c>
      <c r="Y301" s="51" t="e">
        <f>VLOOKUP(X301,送料!$A$1:$B$40,2,FALSE)</f>
        <v>#N/A</v>
      </c>
      <c r="Z301" s="59">
        <f t="shared" si="61"/>
        <v>0</v>
      </c>
      <c r="AA301" s="62">
        <f t="shared" si="62"/>
        <v>4.5</v>
      </c>
      <c r="AB301" s="62">
        <f t="shared" si="63"/>
        <v>0</v>
      </c>
      <c r="AC301" s="65" t="e">
        <f t="shared" si="66"/>
        <v>#N/A</v>
      </c>
      <c r="AD301" s="65">
        <f t="shared" si="64"/>
        <v>0</v>
      </c>
      <c r="AE301" s="66" t="e">
        <f t="shared" si="65"/>
        <v>#N/A</v>
      </c>
    </row>
    <row r="302" spans="1:31">
      <c r="A302" s="105" t="s">
        <v>485</v>
      </c>
      <c r="B302" s="33"/>
      <c r="C302" s="115"/>
      <c r="D302" s="55"/>
      <c r="E302" s="45"/>
      <c r="F302" s="21"/>
      <c r="G302" s="21"/>
      <c r="H302" s="42"/>
      <c r="I302" s="42"/>
      <c r="J302" s="42"/>
      <c r="K302" s="42"/>
      <c r="L302" s="42"/>
      <c r="M302" s="31" t="str">
        <f>IFERROR(VLOOKUP(W302,送料!$J$3:$K$42,2,FALSE),"")</f>
        <v/>
      </c>
      <c r="N302" s="108"/>
      <c r="O302" s="30"/>
      <c r="P302" s="30"/>
      <c r="Q302" s="30"/>
      <c r="R302" s="30"/>
      <c r="S302" s="30"/>
      <c r="T302" s="53">
        <f t="shared" si="57"/>
        <v>0</v>
      </c>
      <c r="U302" s="53">
        <f t="shared" si="58"/>
        <v>0</v>
      </c>
      <c r="V302" s="53">
        <f t="shared" si="59"/>
        <v>0</v>
      </c>
      <c r="W302" s="54">
        <f t="shared" si="60"/>
        <v>0</v>
      </c>
      <c r="X302" s="51" t="e">
        <f>VLOOKUP(W302,送料!$J$3:$K$42,2,FALSE)</f>
        <v>#N/A</v>
      </c>
      <c r="Y302" s="51" t="e">
        <f>VLOOKUP(X302,送料!$A$1:$B$40,2,FALSE)</f>
        <v>#N/A</v>
      </c>
      <c r="Z302" s="59">
        <f t="shared" si="61"/>
        <v>0</v>
      </c>
      <c r="AA302" s="62">
        <f t="shared" si="62"/>
        <v>4.5</v>
      </c>
      <c r="AB302" s="62">
        <f t="shared" si="63"/>
        <v>0</v>
      </c>
      <c r="AC302" s="65" t="e">
        <f t="shared" si="66"/>
        <v>#N/A</v>
      </c>
      <c r="AD302" s="65">
        <f t="shared" si="64"/>
        <v>0</v>
      </c>
      <c r="AE302" s="66" t="e">
        <f t="shared" si="65"/>
        <v>#N/A</v>
      </c>
    </row>
    <row r="303" spans="1:31">
      <c r="A303" s="105" t="s">
        <v>486</v>
      </c>
      <c r="B303" s="33"/>
      <c r="C303" s="115"/>
      <c r="D303" s="55"/>
      <c r="E303" s="45"/>
      <c r="F303" s="21"/>
      <c r="G303" s="21"/>
      <c r="H303" s="42"/>
      <c r="I303" s="42"/>
      <c r="J303" s="42"/>
      <c r="K303" s="42"/>
      <c r="L303" s="42"/>
      <c r="M303" s="31" t="str">
        <f>IFERROR(VLOOKUP(W303,送料!$J$3:$K$42,2,FALSE),"")</f>
        <v/>
      </c>
      <c r="N303" s="108"/>
      <c r="O303" s="30"/>
      <c r="P303" s="30"/>
      <c r="Q303" s="30"/>
      <c r="R303" s="30"/>
      <c r="S303" s="30"/>
      <c r="T303" s="53">
        <f t="shared" si="57"/>
        <v>0</v>
      </c>
      <c r="U303" s="53">
        <f t="shared" si="58"/>
        <v>0</v>
      </c>
      <c r="V303" s="53">
        <f t="shared" si="59"/>
        <v>0</v>
      </c>
      <c r="W303" s="54">
        <f t="shared" si="60"/>
        <v>0</v>
      </c>
      <c r="X303" s="51" t="e">
        <f>VLOOKUP(W303,送料!$J$3:$K$42,2,FALSE)</f>
        <v>#N/A</v>
      </c>
      <c r="Y303" s="51" t="e">
        <f>VLOOKUP(X303,送料!$A$1:$B$40,2,FALSE)</f>
        <v>#N/A</v>
      </c>
      <c r="Z303" s="59">
        <f t="shared" si="61"/>
        <v>0</v>
      </c>
      <c r="AA303" s="62">
        <f t="shared" si="62"/>
        <v>4.5</v>
      </c>
      <c r="AB303" s="62">
        <f t="shared" si="63"/>
        <v>0</v>
      </c>
      <c r="AC303" s="65" t="e">
        <f t="shared" si="66"/>
        <v>#N/A</v>
      </c>
      <c r="AD303" s="65">
        <f t="shared" si="64"/>
        <v>0</v>
      </c>
      <c r="AE303" s="66" t="e">
        <f t="shared" si="65"/>
        <v>#N/A</v>
      </c>
    </row>
    <row r="304" spans="1:31">
      <c r="A304" s="105" t="s">
        <v>487</v>
      </c>
      <c r="B304" s="33"/>
      <c r="C304" s="115"/>
      <c r="D304" s="55"/>
      <c r="E304" s="45"/>
      <c r="F304" s="21"/>
      <c r="G304" s="21"/>
      <c r="H304" s="42"/>
      <c r="I304" s="42"/>
      <c r="J304" s="42"/>
      <c r="K304" s="42"/>
      <c r="L304" s="42"/>
      <c r="M304" s="31" t="str">
        <f>IFERROR(VLOOKUP(W304,送料!$J$3:$K$42,2,FALSE),"")</f>
        <v/>
      </c>
      <c r="N304" s="108"/>
      <c r="O304" s="30"/>
      <c r="P304" s="30"/>
      <c r="Q304" s="30"/>
      <c r="R304" s="30"/>
      <c r="S304" s="30"/>
      <c r="T304" s="53">
        <f t="shared" si="57"/>
        <v>0</v>
      </c>
      <c r="U304" s="53">
        <f t="shared" si="58"/>
        <v>0</v>
      </c>
      <c r="V304" s="53">
        <f t="shared" si="59"/>
        <v>0</v>
      </c>
      <c r="W304" s="54">
        <f t="shared" si="60"/>
        <v>0</v>
      </c>
      <c r="X304" s="51" t="e">
        <f>VLOOKUP(W304,送料!$J$3:$K$42,2,FALSE)</f>
        <v>#N/A</v>
      </c>
      <c r="Y304" s="51" t="e">
        <f>VLOOKUP(X304,送料!$A$1:$B$40,2,FALSE)</f>
        <v>#N/A</v>
      </c>
      <c r="Z304" s="59">
        <f t="shared" si="61"/>
        <v>0</v>
      </c>
      <c r="AA304" s="62">
        <f t="shared" si="62"/>
        <v>4.5</v>
      </c>
      <c r="AB304" s="62">
        <f t="shared" si="63"/>
        <v>0</v>
      </c>
      <c r="AC304" s="65" t="e">
        <f t="shared" si="66"/>
        <v>#N/A</v>
      </c>
      <c r="AD304" s="65">
        <f t="shared" si="64"/>
        <v>0</v>
      </c>
      <c r="AE304" s="66" t="e">
        <f t="shared" si="65"/>
        <v>#N/A</v>
      </c>
    </row>
    <row r="305" spans="1:31">
      <c r="A305" s="105" t="s">
        <v>488</v>
      </c>
      <c r="B305" s="33"/>
      <c r="C305" s="115"/>
      <c r="D305" s="55"/>
      <c r="E305" s="45"/>
      <c r="F305" s="21"/>
      <c r="G305" s="21"/>
      <c r="H305" s="42"/>
      <c r="I305" s="42"/>
      <c r="J305" s="42"/>
      <c r="K305" s="42"/>
      <c r="L305" s="42"/>
      <c r="M305" s="31" t="str">
        <f>IFERROR(VLOOKUP(W305,送料!$J$3:$K$42,2,FALSE),"")</f>
        <v/>
      </c>
      <c r="N305" s="108"/>
      <c r="O305" s="30"/>
      <c r="P305" s="30"/>
      <c r="Q305" s="30"/>
      <c r="R305" s="30"/>
      <c r="S305" s="30"/>
      <c r="T305" s="53">
        <f t="shared" si="57"/>
        <v>0</v>
      </c>
      <c r="U305" s="53">
        <f t="shared" si="58"/>
        <v>0</v>
      </c>
      <c r="V305" s="53">
        <f t="shared" si="59"/>
        <v>0</v>
      </c>
      <c r="W305" s="54">
        <f t="shared" si="60"/>
        <v>0</v>
      </c>
      <c r="X305" s="51" t="e">
        <f>VLOOKUP(W305,送料!$J$3:$K$42,2,FALSE)</f>
        <v>#N/A</v>
      </c>
      <c r="Y305" s="51" t="e">
        <f>VLOOKUP(X305,送料!$A$1:$B$40,2,FALSE)</f>
        <v>#N/A</v>
      </c>
      <c r="Z305" s="59">
        <f t="shared" si="61"/>
        <v>0</v>
      </c>
      <c r="AA305" s="62">
        <f t="shared" si="62"/>
        <v>4.5</v>
      </c>
      <c r="AB305" s="62">
        <f t="shared" si="63"/>
        <v>0</v>
      </c>
      <c r="AC305" s="65" t="e">
        <f t="shared" si="66"/>
        <v>#N/A</v>
      </c>
      <c r="AD305" s="65">
        <f t="shared" si="64"/>
        <v>0</v>
      </c>
      <c r="AE305" s="66" t="e">
        <f t="shared" si="65"/>
        <v>#N/A</v>
      </c>
    </row>
    <row r="306" spans="1:31">
      <c r="A306" s="105" t="s">
        <v>489</v>
      </c>
      <c r="B306" s="33"/>
      <c r="C306" s="115"/>
      <c r="D306" s="55"/>
      <c r="E306" s="45"/>
      <c r="F306" s="21"/>
      <c r="G306" s="21"/>
      <c r="H306" s="42"/>
      <c r="I306" s="42"/>
      <c r="J306" s="42"/>
      <c r="K306" s="42"/>
      <c r="L306" s="42"/>
      <c r="M306" s="31" t="str">
        <f>IFERROR(VLOOKUP(W306,送料!$J$3:$K$42,2,FALSE),"")</f>
        <v/>
      </c>
      <c r="N306" s="108"/>
      <c r="O306" s="30"/>
      <c r="P306" s="30"/>
      <c r="Q306" s="30"/>
      <c r="R306" s="30"/>
      <c r="S306" s="30"/>
      <c r="T306" s="53">
        <f t="shared" ref="T306:T369" si="67">O306</f>
        <v>0</v>
      </c>
      <c r="U306" s="53">
        <f t="shared" ref="U306:U369" si="68">(P306*Q306*R306)/5000</f>
        <v>0</v>
      </c>
      <c r="V306" s="53">
        <f t="shared" ref="V306:V369" si="69">MAX(T306,U306)</f>
        <v>0</v>
      </c>
      <c r="W306" s="54">
        <f t="shared" ref="W306:W369" si="70">CEILING(ROUNDDOWN(V306,2),0.5)</f>
        <v>0</v>
      </c>
      <c r="X306" s="51" t="e">
        <f>VLOOKUP(W306,送料!$J$3:$K$42,2,FALSE)</f>
        <v>#N/A</v>
      </c>
      <c r="Y306" s="51" t="e">
        <f>VLOOKUP(X306,送料!$A$1:$B$40,2,FALSE)</f>
        <v>#N/A</v>
      </c>
      <c r="Z306" s="59">
        <f t="shared" ref="Z306:Z369" si="71">(N306*S306)*0.16</f>
        <v>0</v>
      </c>
      <c r="AA306" s="62">
        <f t="shared" ref="AA306:AA369" si="72">(N306*0.15)+4.5</f>
        <v>4.5</v>
      </c>
      <c r="AB306" s="62">
        <f t="shared" ref="AB306:AB369" si="73">S306*AA306</f>
        <v>0</v>
      </c>
      <c r="AC306" s="65" t="e">
        <f t="shared" si="66"/>
        <v>#N/A</v>
      </c>
      <c r="AD306" s="65">
        <f t="shared" ref="AD306:AD369" si="74">N306*S306</f>
        <v>0</v>
      </c>
      <c r="AE306" s="66" t="e">
        <f t="shared" ref="AE306:AE369" si="75">AD306-AC306</f>
        <v>#N/A</v>
      </c>
    </row>
    <row r="307" spans="1:31">
      <c r="A307" s="105" t="s">
        <v>490</v>
      </c>
      <c r="B307" s="33"/>
      <c r="C307" s="115"/>
      <c r="D307" s="55"/>
      <c r="E307" s="45"/>
      <c r="F307" s="21"/>
      <c r="G307" s="21"/>
      <c r="H307" s="42"/>
      <c r="I307" s="42"/>
      <c r="J307" s="42"/>
      <c r="K307" s="42"/>
      <c r="L307" s="42"/>
      <c r="M307" s="31" t="str">
        <f>IFERROR(VLOOKUP(W307,送料!$J$3:$K$42,2,FALSE),"")</f>
        <v/>
      </c>
      <c r="N307" s="108"/>
      <c r="O307" s="30"/>
      <c r="P307" s="30"/>
      <c r="Q307" s="30"/>
      <c r="R307" s="30"/>
      <c r="S307" s="30"/>
      <c r="T307" s="53">
        <f t="shared" si="67"/>
        <v>0</v>
      </c>
      <c r="U307" s="53">
        <f t="shared" si="68"/>
        <v>0</v>
      </c>
      <c r="V307" s="53">
        <f t="shared" si="69"/>
        <v>0</v>
      </c>
      <c r="W307" s="54">
        <f t="shared" si="70"/>
        <v>0</v>
      </c>
      <c r="X307" s="51" t="e">
        <f>VLOOKUP(W307,送料!$J$3:$K$42,2,FALSE)</f>
        <v>#N/A</v>
      </c>
      <c r="Y307" s="51" t="e">
        <f>VLOOKUP(X307,送料!$A$1:$B$40,2,FALSE)</f>
        <v>#N/A</v>
      </c>
      <c r="Z307" s="59">
        <f t="shared" si="71"/>
        <v>0</v>
      </c>
      <c r="AA307" s="62">
        <f t="shared" si="72"/>
        <v>4.5</v>
      </c>
      <c r="AB307" s="62">
        <f t="shared" si="73"/>
        <v>0</v>
      </c>
      <c r="AC307" s="65" t="e">
        <f t="shared" si="66"/>
        <v>#N/A</v>
      </c>
      <c r="AD307" s="65">
        <f t="shared" si="74"/>
        <v>0</v>
      </c>
      <c r="AE307" s="66" t="e">
        <f t="shared" si="75"/>
        <v>#N/A</v>
      </c>
    </row>
    <row r="308" spans="1:31">
      <c r="A308" s="105" t="s">
        <v>491</v>
      </c>
      <c r="B308" s="33"/>
      <c r="C308" s="115"/>
      <c r="D308" s="55"/>
      <c r="E308" s="45"/>
      <c r="F308" s="21"/>
      <c r="G308" s="21"/>
      <c r="H308" s="42"/>
      <c r="I308" s="42"/>
      <c r="J308" s="42"/>
      <c r="K308" s="42"/>
      <c r="L308" s="42"/>
      <c r="M308" s="31" t="str">
        <f>IFERROR(VLOOKUP(W308,送料!$J$3:$K$42,2,FALSE),"")</f>
        <v/>
      </c>
      <c r="N308" s="108"/>
      <c r="O308" s="30"/>
      <c r="P308" s="30"/>
      <c r="Q308" s="30"/>
      <c r="R308" s="30"/>
      <c r="S308" s="30"/>
      <c r="T308" s="53">
        <f t="shared" si="67"/>
        <v>0</v>
      </c>
      <c r="U308" s="53">
        <f t="shared" si="68"/>
        <v>0</v>
      </c>
      <c r="V308" s="53">
        <f t="shared" si="69"/>
        <v>0</v>
      </c>
      <c r="W308" s="54">
        <f t="shared" si="70"/>
        <v>0</v>
      </c>
      <c r="X308" s="51" t="e">
        <f>VLOOKUP(W308,送料!$J$3:$K$42,2,FALSE)</f>
        <v>#N/A</v>
      </c>
      <c r="Y308" s="51" t="e">
        <f>VLOOKUP(X308,送料!$A$1:$B$40,2,FALSE)</f>
        <v>#N/A</v>
      </c>
      <c r="Z308" s="59">
        <f t="shared" si="71"/>
        <v>0</v>
      </c>
      <c r="AA308" s="62">
        <f t="shared" si="72"/>
        <v>4.5</v>
      </c>
      <c r="AB308" s="62">
        <f t="shared" si="73"/>
        <v>0</v>
      </c>
      <c r="AC308" s="65" t="e">
        <f t="shared" si="66"/>
        <v>#N/A</v>
      </c>
      <c r="AD308" s="65">
        <f t="shared" si="74"/>
        <v>0</v>
      </c>
      <c r="AE308" s="66" t="e">
        <f t="shared" si="75"/>
        <v>#N/A</v>
      </c>
    </row>
    <row r="309" spans="1:31">
      <c r="A309" s="105" t="s">
        <v>492</v>
      </c>
      <c r="B309" s="33"/>
      <c r="C309" s="115"/>
      <c r="D309" s="55"/>
      <c r="E309" s="45"/>
      <c r="F309" s="21"/>
      <c r="G309" s="21"/>
      <c r="H309" s="42"/>
      <c r="I309" s="42"/>
      <c r="J309" s="42"/>
      <c r="K309" s="42"/>
      <c r="L309" s="42"/>
      <c r="M309" s="31" t="str">
        <f>IFERROR(VLOOKUP(W309,送料!$J$3:$K$42,2,FALSE),"")</f>
        <v/>
      </c>
      <c r="N309" s="108"/>
      <c r="O309" s="30"/>
      <c r="P309" s="30"/>
      <c r="Q309" s="30"/>
      <c r="R309" s="30"/>
      <c r="S309" s="30"/>
      <c r="T309" s="53">
        <f t="shared" si="67"/>
        <v>0</v>
      </c>
      <c r="U309" s="53">
        <f t="shared" si="68"/>
        <v>0</v>
      </c>
      <c r="V309" s="53">
        <f t="shared" si="69"/>
        <v>0</v>
      </c>
      <c r="W309" s="54">
        <f t="shared" si="70"/>
        <v>0</v>
      </c>
      <c r="X309" s="51" t="e">
        <f>VLOOKUP(W309,送料!$J$3:$K$42,2,FALSE)</f>
        <v>#N/A</v>
      </c>
      <c r="Y309" s="51" t="e">
        <f>VLOOKUP(X309,送料!$A$1:$B$40,2,FALSE)</f>
        <v>#N/A</v>
      </c>
      <c r="Z309" s="59">
        <f t="shared" si="71"/>
        <v>0</v>
      </c>
      <c r="AA309" s="62">
        <f t="shared" si="72"/>
        <v>4.5</v>
      </c>
      <c r="AB309" s="62">
        <f t="shared" si="73"/>
        <v>0</v>
      </c>
      <c r="AC309" s="65" t="e">
        <f t="shared" si="66"/>
        <v>#N/A</v>
      </c>
      <c r="AD309" s="65">
        <f t="shared" si="74"/>
        <v>0</v>
      </c>
      <c r="AE309" s="66" t="e">
        <f t="shared" si="75"/>
        <v>#N/A</v>
      </c>
    </row>
    <row r="310" spans="1:31">
      <c r="A310" s="105" t="s">
        <v>493</v>
      </c>
      <c r="B310" s="33"/>
      <c r="C310" s="115"/>
      <c r="D310" s="55"/>
      <c r="E310" s="45"/>
      <c r="F310" s="21"/>
      <c r="G310" s="21"/>
      <c r="H310" s="42"/>
      <c r="I310" s="42"/>
      <c r="J310" s="42"/>
      <c r="K310" s="42"/>
      <c r="L310" s="42"/>
      <c r="M310" s="31" t="str">
        <f>IFERROR(VLOOKUP(W310,送料!$J$3:$K$42,2,FALSE),"")</f>
        <v/>
      </c>
      <c r="N310" s="108"/>
      <c r="O310" s="30"/>
      <c r="P310" s="30"/>
      <c r="Q310" s="30"/>
      <c r="R310" s="30"/>
      <c r="S310" s="30"/>
      <c r="T310" s="53">
        <f t="shared" si="67"/>
        <v>0</v>
      </c>
      <c r="U310" s="53">
        <f t="shared" si="68"/>
        <v>0</v>
      </c>
      <c r="V310" s="53">
        <f t="shared" si="69"/>
        <v>0</v>
      </c>
      <c r="W310" s="54">
        <f t="shared" si="70"/>
        <v>0</v>
      </c>
      <c r="X310" s="51" t="e">
        <f>VLOOKUP(W310,送料!$J$3:$K$42,2,FALSE)</f>
        <v>#N/A</v>
      </c>
      <c r="Y310" s="51" t="e">
        <f>VLOOKUP(X310,送料!$A$1:$B$40,2,FALSE)</f>
        <v>#N/A</v>
      </c>
      <c r="Z310" s="59">
        <f t="shared" si="71"/>
        <v>0</v>
      </c>
      <c r="AA310" s="62">
        <f t="shared" si="72"/>
        <v>4.5</v>
      </c>
      <c r="AB310" s="62">
        <f t="shared" si="73"/>
        <v>0</v>
      </c>
      <c r="AC310" s="65" t="e">
        <f t="shared" si="66"/>
        <v>#N/A</v>
      </c>
      <c r="AD310" s="65">
        <f t="shared" si="74"/>
        <v>0</v>
      </c>
      <c r="AE310" s="66" t="e">
        <f t="shared" si="75"/>
        <v>#N/A</v>
      </c>
    </row>
    <row r="311" spans="1:31">
      <c r="A311" s="105" t="s">
        <v>494</v>
      </c>
      <c r="B311" s="33"/>
      <c r="C311" s="115"/>
      <c r="D311" s="55"/>
      <c r="E311" s="45"/>
      <c r="F311" s="21"/>
      <c r="G311" s="21"/>
      <c r="H311" s="42"/>
      <c r="I311" s="42"/>
      <c r="J311" s="42"/>
      <c r="K311" s="42"/>
      <c r="L311" s="42"/>
      <c r="M311" s="31" t="str">
        <f>IFERROR(VLOOKUP(W311,送料!$J$3:$K$42,2,FALSE),"")</f>
        <v/>
      </c>
      <c r="N311" s="108"/>
      <c r="O311" s="30"/>
      <c r="P311" s="30"/>
      <c r="Q311" s="30"/>
      <c r="R311" s="30"/>
      <c r="S311" s="30"/>
      <c r="T311" s="53">
        <f t="shared" si="67"/>
        <v>0</v>
      </c>
      <c r="U311" s="53">
        <f t="shared" si="68"/>
        <v>0</v>
      </c>
      <c r="V311" s="53">
        <f t="shared" si="69"/>
        <v>0</v>
      </c>
      <c r="W311" s="54">
        <f t="shared" si="70"/>
        <v>0</v>
      </c>
      <c r="X311" s="51" t="e">
        <f>VLOOKUP(W311,送料!$J$3:$K$42,2,FALSE)</f>
        <v>#N/A</v>
      </c>
      <c r="Y311" s="51" t="e">
        <f>VLOOKUP(X311,送料!$A$1:$B$40,2,FALSE)</f>
        <v>#N/A</v>
      </c>
      <c r="Z311" s="59">
        <f t="shared" si="71"/>
        <v>0</v>
      </c>
      <c r="AA311" s="62">
        <f t="shared" si="72"/>
        <v>4.5</v>
      </c>
      <c r="AB311" s="62">
        <f t="shared" si="73"/>
        <v>0</v>
      </c>
      <c r="AC311" s="65" t="e">
        <f t="shared" si="66"/>
        <v>#N/A</v>
      </c>
      <c r="AD311" s="65">
        <f t="shared" si="74"/>
        <v>0</v>
      </c>
      <c r="AE311" s="66" t="e">
        <f t="shared" si="75"/>
        <v>#N/A</v>
      </c>
    </row>
    <row r="312" spans="1:31">
      <c r="A312" s="105" t="s">
        <v>495</v>
      </c>
      <c r="B312" s="33"/>
      <c r="C312" s="115"/>
      <c r="D312" s="55"/>
      <c r="E312" s="45"/>
      <c r="F312" s="21"/>
      <c r="G312" s="21"/>
      <c r="H312" s="42"/>
      <c r="I312" s="42"/>
      <c r="J312" s="42"/>
      <c r="K312" s="42"/>
      <c r="L312" s="42"/>
      <c r="M312" s="31" t="str">
        <f>IFERROR(VLOOKUP(W312,送料!$J$3:$K$42,2,FALSE),"")</f>
        <v/>
      </c>
      <c r="N312" s="108"/>
      <c r="O312" s="30"/>
      <c r="P312" s="30"/>
      <c r="Q312" s="30"/>
      <c r="R312" s="30"/>
      <c r="S312" s="30"/>
      <c r="T312" s="53">
        <f t="shared" si="67"/>
        <v>0</v>
      </c>
      <c r="U312" s="53">
        <f t="shared" si="68"/>
        <v>0</v>
      </c>
      <c r="V312" s="53">
        <f t="shared" si="69"/>
        <v>0</v>
      </c>
      <c r="W312" s="54">
        <f t="shared" si="70"/>
        <v>0</v>
      </c>
      <c r="X312" s="51" t="e">
        <f>VLOOKUP(W312,送料!$J$3:$K$42,2,FALSE)</f>
        <v>#N/A</v>
      </c>
      <c r="Y312" s="51" t="e">
        <f>VLOOKUP(X312,送料!$A$1:$B$40,2,FALSE)</f>
        <v>#N/A</v>
      </c>
      <c r="Z312" s="59">
        <f t="shared" si="71"/>
        <v>0</v>
      </c>
      <c r="AA312" s="62">
        <f t="shared" si="72"/>
        <v>4.5</v>
      </c>
      <c r="AB312" s="62">
        <f t="shared" si="73"/>
        <v>0</v>
      </c>
      <c r="AC312" s="65" t="e">
        <f t="shared" si="66"/>
        <v>#N/A</v>
      </c>
      <c r="AD312" s="65">
        <f t="shared" si="74"/>
        <v>0</v>
      </c>
      <c r="AE312" s="66" t="e">
        <f t="shared" si="75"/>
        <v>#N/A</v>
      </c>
    </row>
    <row r="313" spans="1:31">
      <c r="A313" s="105" t="s">
        <v>496</v>
      </c>
      <c r="B313" s="33"/>
      <c r="C313" s="115"/>
      <c r="D313" s="55"/>
      <c r="E313" s="45"/>
      <c r="F313" s="21"/>
      <c r="G313" s="21"/>
      <c r="H313" s="42"/>
      <c r="I313" s="42"/>
      <c r="J313" s="42"/>
      <c r="K313" s="42"/>
      <c r="L313" s="42"/>
      <c r="M313" s="31" t="str">
        <f>IFERROR(VLOOKUP(W313,送料!$J$3:$K$42,2,FALSE),"")</f>
        <v/>
      </c>
      <c r="N313" s="108"/>
      <c r="O313" s="30"/>
      <c r="P313" s="30"/>
      <c r="Q313" s="30"/>
      <c r="R313" s="30"/>
      <c r="S313" s="30"/>
      <c r="T313" s="53">
        <f t="shared" si="67"/>
        <v>0</v>
      </c>
      <c r="U313" s="53">
        <f t="shared" si="68"/>
        <v>0</v>
      </c>
      <c r="V313" s="53">
        <f t="shared" si="69"/>
        <v>0</v>
      </c>
      <c r="W313" s="54">
        <f t="shared" si="70"/>
        <v>0</v>
      </c>
      <c r="X313" s="51" t="e">
        <f>VLOOKUP(W313,送料!$J$3:$K$42,2,FALSE)</f>
        <v>#N/A</v>
      </c>
      <c r="Y313" s="51" t="e">
        <f>VLOOKUP(X313,送料!$A$1:$B$40,2,FALSE)</f>
        <v>#N/A</v>
      </c>
      <c r="Z313" s="59">
        <f t="shared" si="71"/>
        <v>0</v>
      </c>
      <c r="AA313" s="62">
        <f t="shared" si="72"/>
        <v>4.5</v>
      </c>
      <c r="AB313" s="62">
        <f t="shared" si="73"/>
        <v>0</v>
      </c>
      <c r="AC313" s="65" t="e">
        <f t="shared" si="66"/>
        <v>#N/A</v>
      </c>
      <c r="AD313" s="65">
        <f t="shared" si="74"/>
        <v>0</v>
      </c>
      <c r="AE313" s="66" t="e">
        <f t="shared" si="75"/>
        <v>#N/A</v>
      </c>
    </row>
    <row r="314" spans="1:31">
      <c r="A314" s="105" t="s">
        <v>497</v>
      </c>
      <c r="B314" s="33"/>
      <c r="C314" s="115"/>
      <c r="D314" s="55"/>
      <c r="E314" s="45"/>
      <c r="F314" s="21"/>
      <c r="G314" s="21"/>
      <c r="H314" s="42"/>
      <c r="I314" s="42"/>
      <c r="J314" s="42"/>
      <c r="K314" s="42"/>
      <c r="L314" s="42"/>
      <c r="M314" s="31" t="str">
        <f>IFERROR(VLOOKUP(W314,送料!$J$3:$K$42,2,FALSE),"")</f>
        <v/>
      </c>
      <c r="N314" s="108"/>
      <c r="O314" s="30"/>
      <c r="P314" s="30"/>
      <c r="Q314" s="30"/>
      <c r="R314" s="30"/>
      <c r="S314" s="30"/>
      <c r="T314" s="53">
        <f t="shared" si="67"/>
        <v>0</v>
      </c>
      <c r="U314" s="53">
        <f t="shared" si="68"/>
        <v>0</v>
      </c>
      <c r="V314" s="53">
        <f t="shared" si="69"/>
        <v>0</v>
      </c>
      <c r="W314" s="54">
        <f t="shared" si="70"/>
        <v>0</v>
      </c>
      <c r="X314" s="51" t="e">
        <f>VLOOKUP(W314,送料!$J$3:$K$42,2,FALSE)</f>
        <v>#N/A</v>
      </c>
      <c r="Y314" s="51" t="e">
        <f>VLOOKUP(X314,送料!$A$1:$B$40,2,FALSE)</f>
        <v>#N/A</v>
      </c>
      <c r="Z314" s="59">
        <f t="shared" si="71"/>
        <v>0</v>
      </c>
      <c r="AA314" s="62">
        <f t="shared" si="72"/>
        <v>4.5</v>
      </c>
      <c r="AB314" s="62">
        <f t="shared" si="73"/>
        <v>0</v>
      </c>
      <c r="AC314" s="65" t="e">
        <f t="shared" si="66"/>
        <v>#N/A</v>
      </c>
      <c r="AD314" s="65">
        <f t="shared" si="74"/>
        <v>0</v>
      </c>
      <c r="AE314" s="66" t="e">
        <f t="shared" si="75"/>
        <v>#N/A</v>
      </c>
    </row>
    <row r="315" spans="1:31">
      <c r="A315" s="105" t="s">
        <v>498</v>
      </c>
      <c r="B315" s="33"/>
      <c r="C315" s="115"/>
      <c r="D315" s="55"/>
      <c r="E315" s="45"/>
      <c r="F315" s="21"/>
      <c r="G315" s="21"/>
      <c r="H315" s="42"/>
      <c r="I315" s="42"/>
      <c r="J315" s="42"/>
      <c r="K315" s="42"/>
      <c r="L315" s="42"/>
      <c r="M315" s="31" t="str">
        <f>IFERROR(VLOOKUP(W315,送料!$J$3:$K$42,2,FALSE),"")</f>
        <v/>
      </c>
      <c r="N315" s="108"/>
      <c r="O315" s="30"/>
      <c r="P315" s="30"/>
      <c r="Q315" s="30"/>
      <c r="R315" s="30"/>
      <c r="S315" s="30"/>
      <c r="T315" s="53">
        <f t="shared" si="67"/>
        <v>0</v>
      </c>
      <c r="U315" s="53">
        <f t="shared" si="68"/>
        <v>0</v>
      </c>
      <c r="V315" s="53">
        <f t="shared" si="69"/>
        <v>0</v>
      </c>
      <c r="W315" s="54">
        <f t="shared" si="70"/>
        <v>0</v>
      </c>
      <c r="X315" s="51" t="e">
        <f>VLOOKUP(W315,送料!$J$3:$K$42,2,FALSE)</f>
        <v>#N/A</v>
      </c>
      <c r="Y315" s="51" t="e">
        <f>VLOOKUP(X315,送料!$A$1:$B$40,2,FALSE)</f>
        <v>#N/A</v>
      </c>
      <c r="Z315" s="59">
        <f t="shared" si="71"/>
        <v>0</v>
      </c>
      <c r="AA315" s="62">
        <f t="shared" si="72"/>
        <v>4.5</v>
      </c>
      <c r="AB315" s="62">
        <f t="shared" si="73"/>
        <v>0</v>
      </c>
      <c r="AC315" s="65" t="e">
        <f t="shared" si="66"/>
        <v>#N/A</v>
      </c>
      <c r="AD315" s="65">
        <f t="shared" si="74"/>
        <v>0</v>
      </c>
      <c r="AE315" s="66" t="e">
        <f t="shared" si="75"/>
        <v>#N/A</v>
      </c>
    </row>
    <row r="316" spans="1:31">
      <c r="A316" s="105" t="s">
        <v>499</v>
      </c>
      <c r="B316" s="33"/>
      <c r="C316" s="115"/>
      <c r="D316" s="55"/>
      <c r="E316" s="45"/>
      <c r="F316" s="21"/>
      <c r="G316" s="21"/>
      <c r="H316" s="42"/>
      <c r="I316" s="42"/>
      <c r="J316" s="42"/>
      <c r="K316" s="42"/>
      <c r="L316" s="42"/>
      <c r="M316" s="31" t="str">
        <f>IFERROR(VLOOKUP(W316,送料!$J$3:$K$42,2,FALSE),"")</f>
        <v/>
      </c>
      <c r="N316" s="108"/>
      <c r="O316" s="30"/>
      <c r="P316" s="30"/>
      <c r="Q316" s="30"/>
      <c r="R316" s="30"/>
      <c r="S316" s="30"/>
      <c r="T316" s="53">
        <f t="shared" si="67"/>
        <v>0</v>
      </c>
      <c r="U316" s="53">
        <f t="shared" si="68"/>
        <v>0</v>
      </c>
      <c r="V316" s="53">
        <f t="shared" si="69"/>
        <v>0</v>
      </c>
      <c r="W316" s="54">
        <f t="shared" si="70"/>
        <v>0</v>
      </c>
      <c r="X316" s="51" t="e">
        <f>VLOOKUP(W316,送料!$J$3:$K$42,2,FALSE)</f>
        <v>#N/A</v>
      </c>
      <c r="Y316" s="51" t="e">
        <f>VLOOKUP(X316,送料!$A$1:$B$40,2,FALSE)</f>
        <v>#N/A</v>
      </c>
      <c r="Z316" s="59">
        <f t="shared" si="71"/>
        <v>0</v>
      </c>
      <c r="AA316" s="62">
        <f t="shared" si="72"/>
        <v>4.5</v>
      </c>
      <c r="AB316" s="62">
        <f t="shared" si="73"/>
        <v>0</v>
      </c>
      <c r="AC316" s="65" t="e">
        <f t="shared" si="66"/>
        <v>#N/A</v>
      </c>
      <c r="AD316" s="65">
        <f t="shared" si="74"/>
        <v>0</v>
      </c>
      <c r="AE316" s="66" t="e">
        <f t="shared" si="75"/>
        <v>#N/A</v>
      </c>
    </row>
    <row r="317" spans="1:31">
      <c r="A317" s="105" t="s">
        <v>500</v>
      </c>
      <c r="B317" s="33"/>
      <c r="C317" s="115"/>
      <c r="D317" s="55"/>
      <c r="E317" s="45"/>
      <c r="F317" s="21"/>
      <c r="G317" s="21"/>
      <c r="H317" s="42"/>
      <c r="I317" s="42"/>
      <c r="J317" s="42"/>
      <c r="K317" s="42"/>
      <c r="L317" s="42"/>
      <c r="M317" s="31" t="str">
        <f>IFERROR(VLOOKUP(W317,送料!$J$3:$K$42,2,FALSE),"")</f>
        <v/>
      </c>
      <c r="N317" s="108"/>
      <c r="O317" s="30"/>
      <c r="P317" s="30"/>
      <c r="Q317" s="30"/>
      <c r="R317" s="30"/>
      <c r="S317" s="30"/>
      <c r="T317" s="53">
        <f t="shared" si="67"/>
        <v>0</v>
      </c>
      <c r="U317" s="53">
        <f t="shared" si="68"/>
        <v>0</v>
      </c>
      <c r="V317" s="53">
        <f t="shared" si="69"/>
        <v>0</v>
      </c>
      <c r="W317" s="54">
        <f t="shared" si="70"/>
        <v>0</v>
      </c>
      <c r="X317" s="51" t="e">
        <f>VLOOKUP(W317,送料!$J$3:$K$42,2,FALSE)</f>
        <v>#N/A</v>
      </c>
      <c r="Y317" s="51" t="e">
        <f>VLOOKUP(X317,送料!$A$1:$B$40,2,FALSE)</f>
        <v>#N/A</v>
      </c>
      <c r="Z317" s="59">
        <f t="shared" si="71"/>
        <v>0</v>
      </c>
      <c r="AA317" s="62">
        <f t="shared" si="72"/>
        <v>4.5</v>
      </c>
      <c r="AB317" s="62">
        <f t="shared" si="73"/>
        <v>0</v>
      </c>
      <c r="AC317" s="65" t="e">
        <f t="shared" si="66"/>
        <v>#N/A</v>
      </c>
      <c r="AD317" s="65">
        <f t="shared" si="74"/>
        <v>0</v>
      </c>
      <c r="AE317" s="66" t="e">
        <f t="shared" si="75"/>
        <v>#N/A</v>
      </c>
    </row>
    <row r="318" spans="1:31">
      <c r="A318" s="105" t="s">
        <v>501</v>
      </c>
      <c r="B318" s="33"/>
      <c r="C318" s="115"/>
      <c r="D318" s="55"/>
      <c r="E318" s="45"/>
      <c r="F318" s="21"/>
      <c r="G318" s="21"/>
      <c r="H318" s="42"/>
      <c r="I318" s="42"/>
      <c r="J318" s="42"/>
      <c r="K318" s="42"/>
      <c r="L318" s="42"/>
      <c r="M318" s="31" t="str">
        <f>IFERROR(VLOOKUP(W318,送料!$J$3:$K$42,2,FALSE),"")</f>
        <v/>
      </c>
      <c r="N318" s="108"/>
      <c r="O318" s="30"/>
      <c r="P318" s="30"/>
      <c r="Q318" s="30"/>
      <c r="R318" s="30"/>
      <c r="S318" s="30"/>
      <c r="T318" s="53">
        <f t="shared" si="67"/>
        <v>0</v>
      </c>
      <c r="U318" s="53">
        <f t="shared" si="68"/>
        <v>0</v>
      </c>
      <c r="V318" s="53">
        <f t="shared" si="69"/>
        <v>0</v>
      </c>
      <c r="W318" s="54">
        <f t="shared" si="70"/>
        <v>0</v>
      </c>
      <c r="X318" s="51" t="e">
        <f>VLOOKUP(W318,送料!$J$3:$K$42,2,FALSE)</f>
        <v>#N/A</v>
      </c>
      <c r="Y318" s="51" t="e">
        <f>VLOOKUP(X318,送料!$A$1:$B$40,2,FALSE)</f>
        <v>#N/A</v>
      </c>
      <c r="Z318" s="59">
        <f t="shared" si="71"/>
        <v>0</v>
      </c>
      <c r="AA318" s="62">
        <f t="shared" si="72"/>
        <v>4.5</v>
      </c>
      <c r="AB318" s="62">
        <f t="shared" si="73"/>
        <v>0</v>
      </c>
      <c r="AC318" s="65" t="e">
        <f t="shared" si="66"/>
        <v>#N/A</v>
      </c>
      <c r="AD318" s="65">
        <f t="shared" si="74"/>
        <v>0</v>
      </c>
      <c r="AE318" s="66" t="e">
        <f t="shared" si="75"/>
        <v>#N/A</v>
      </c>
    </row>
    <row r="319" spans="1:31">
      <c r="A319" s="105" t="s">
        <v>502</v>
      </c>
      <c r="B319" s="33"/>
      <c r="C319" s="115"/>
      <c r="D319" s="55"/>
      <c r="E319" s="45"/>
      <c r="F319" s="21"/>
      <c r="G319" s="21"/>
      <c r="H319" s="42"/>
      <c r="I319" s="42"/>
      <c r="J319" s="42"/>
      <c r="K319" s="42"/>
      <c r="L319" s="42"/>
      <c r="M319" s="31" t="str">
        <f>IFERROR(VLOOKUP(W319,送料!$J$3:$K$42,2,FALSE),"")</f>
        <v/>
      </c>
      <c r="N319" s="108"/>
      <c r="O319" s="30"/>
      <c r="P319" s="30"/>
      <c r="Q319" s="30"/>
      <c r="R319" s="30"/>
      <c r="S319" s="30"/>
      <c r="T319" s="53">
        <f t="shared" si="67"/>
        <v>0</v>
      </c>
      <c r="U319" s="53">
        <f t="shared" si="68"/>
        <v>0</v>
      </c>
      <c r="V319" s="53">
        <f t="shared" si="69"/>
        <v>0</v>
      </c>
      <c r="W319" s="54">
        <f t="shared" si="70"/>
        <v>0</v>
      </c>
      <c r="X319" s="51" t="e">
        <f>VLOOKUP(W319,送料!$J$3:$K$42,2,FALSE)</f>
        <v>#N/A</v>
      </c>
      <c r="Y319" s="51" t="e">
        <f>VLOOKUP(X319,送料!$A$1:$B$40,2,FALSE)</f>
        <v>#N/A</v>
      </c>
      <c r="Z319" s="59">
        <f t="shared" si="71"/>
        <v>0</v>
      </c>
      <c r="AA319" s="62">
        <f t="shared" si="72"/>
        <v>4.5</v>
      </c>
      <c r="AB319" s="62">
        <f t="shared" si="73"/>
        <v>0</v>
      </c>
      <c r="AC319" s="65" t="e">
        <f t="shared" si="66"/>
        <v>#N/A</v>
      </c>
      <c r="AD319" s="65">
        <f t="shared" si="74"/>
        <v>0</v>
      </c>
      <c r="AE319" s="66" t="e">
        <f t="shared" si="75"/>
        <v>#N/A</v>
      </c>
    </row>
    <row r="320" spans="1:31">
      <c r="A320" s="105" t="s">
        <v>503</v>
      </c>
      <c r="B320" s="33"/>
      <c r="C320" s="115"/>
      <c r="D320" s="55"/>
      <c r="E320" s="45"/>
      <c r="F320" s="21"/>
      <c r="G320" s="21"/>
      <c r="H320" s="42"/>
      <c r="I320" s="42"/>
      <c r="J320" s="42"/>
      <c r="K320" s="42"/>
      <c r="L320" s="42"/>
      <c r="M320" s="31" t="str">
        <f>IFERROR(VLOOKUP(W320,送料!$J$3:$K$42,2,FALSE),"")</f>
        <v/>
      </c>
      <c r="N320" s="108"/>
      <c r="O320" s="30"/>
      <c r="P320" s="30"/>
      <c r="Q320" s="30"/>
      <c r="R320" s="30"/>
      <c r="S320" s="30"/>
      <c r="T320" s="53">
        <f t="shared" si="67"/>
        <v>0</v>
      </c>
      <c r="U320" s="53">
        <f t="shared" si="68"/>
        <v>0</v>
      </c>
      <c r="V320" s="53">
        <f t="shared" si="69"/>
        <v>0</v>
      </c>
      <c r="W320" s="54">
        <f t="shared" si="70"/>
        <v>0</v>
      </c>
      <c r="X320" s="51" t="e">
        <f>VLOOKUP(W320,送料!$J$3:$K$42,2,FALSE)</f>
        <v>#N/A</v>
      </c>
      <c r="Y320" s="51" t="e">
        <f>VLOOKUP(X320,送料!$A$1:$B$40,2,FALSE)</f>
        <v>#N/A</v>
      </c>
      <c r="Z320" s="59">
        <f t="shared" si="71"/>
        <v>0</v>
      </c>
      <c r="AA320" s="62">
        <f t="shared" si="72"/>
        <v>4.5</v>
      </c>
      <c r="AB320" s="62">
        <f t="shared" si="73"/>
        <v>0</v>
      </c>
      <c r="AC320" s="65" t="e">
        <f t="shared" si="66"/>
        <v>#N/A</v>
      </c>
      <c r="AD320" s="65">
        <f t="shared" si="74"/>
        <v>0</v>
      </c>
      <c r="AE320" s="66" t="e">
        <f t="shared" si="75"/>
        <v>#N/A</v>
      </c>
    </row>
    <row r="321" spans="1:31">
      <c r="A321" s="105" t="s">
        <v>504</v>
      </c>
      <c r="B321" s="33"/>
      <c r="C321" s="115"/>
      <c r="D321" s="55"/>
      <c r="E321" s="45"/>
      <c r="F321" s="21"/>
      <c r="G321" s="21"/>
      <c r="H321" s="42"/>
      <c r="I321" s="42"/>
      <c r="J321" s="42"/>
      <c r="K321" s="42"/>
      <c r="L321" s="42"/>
      <c r="M321" s="31" t="str">
        <f>IFERROR(VLOOKUP(W321,送料!$J$3:$K$42,2,FALSE),"")</f>
        <v/>
      </c>
      <c r="N321" s="108"/>
      <c r="O321" s="30"/>
      <c r="P321" s="30"/>
      <c r="Q321" s="30"/>
      <c r="R321" s="30"/>
      <c r="S321" s="30"/>
      <c r="T321" s="53">
        <f t="shared" si="67"/>
        <v>0</v>
      </c>
      <c r="U321" s="53">
        <f t="shared" si="68"/>
        <v>0</v>
      </c>
      <c r="V321" s="53">
        <f t="shared" si="69"/>
        <v>0</v>
      </c>
      <c r="W321" s="54">
        <f t="shared" si="70"/>
        <v>0</v>
      </c>
      <c r="X321" s="51" t="e">
        <f>VLOOKUP(W321,送料!$J$3:$K$42,2,FALSE)</f>
        <v>#N/A</v>
      </c>
      <c r="Y321" s="51" t="e">
        <f>VLOOKUP(X321,送料!$A$1:$B$40,2,FALSE)</f>
        <v>#N/A</v>
      </c>
      <c r="Z321" s="59">
        <f t="shared" si="71"/>
        <v>0</v>
      </c>
      <c r="AA321" s="62">
        <f t="shared" si="72"/>
        <v>4.5</v>
      </c>
      <c r="AB321" s="62">
        <f t="shared" si="73"/>
        <v>0</v>
      </c>
      <c r="AC321" s="65" t="e">
        <f t="shared" si="66"/>
        <v>#N/A</v>
      </c>
      <c r="AD321" s="65">
        <f t="shared" si="74"/>
        <v>0</v>
      </c>
      <c r="AE321" s="66" t="e">
        <f t="shared" si="75"/>
        <v>#N/A</v>
      </c>
    </row>
    <row r="322" spans="1:31">
      <c r="A322" s="105" t="s">
        <v>505</v>
      </c>
      <c r="B322" s="33"/>
      <c r="C322" s="115"/>
      <c r="D322" s="55"/>
      <c r="E322" s="45"/>
      <c r="F322" s="21"/>
      <c r="G322" s="21"/>
      <c r="H322" s="42"/>
      <c r="I322" s="42"/>
      <c r="J322" s="42"/>
      <c r="K322" s="42"/>
      <c r="L322" s="42"/>
      <c r="M322" s="31" t="str">
        <f>IFERROR(VLOOKUP(W322,送料!$J$3:$K$42,2,FALSE),"")</f>
        <v/>
      </c>
      <c r="N322" s="108"/>
      <c r="O322" s="30"/>
      <c r="P322" s="30"/>
      <c r="Q322" s="30"/>
      <c r="R322" s="30"/>
      <c r="S322" s="30"/>
      <c r="T322" s="53">
        <f t="shared" si="67"/>
        <v>0</v>
      </c>
      <c r="U322" s="53">
        <f t="shared" si="68"/>
        <v>0</v>
      </c>
      <c r="V322" s="53">
        <f t="shared" si="69"/>
        <v>0</v>
      </c>
      <c r="W322" s="54">
        <f t="shared" si="70"/>
        <v>0</v>
      </c>
      <c r="X322" s="51" t="e">
        <f>VLOOKUP(W322,送料!$J$3:$K$42,2,FALSE)</f>
        <v>#N/A</v>
      </c>
      <c r="Y322" s="51" t="e">
        <f>VLOOKUP(X322,送料!$A$1:$B$40,2,FALSE)</f>
        <v>#N/A</v>
      </c>
      <c r="Z322" s="59">
        <f t="shared" si="71"/>
        <v>0</v>
      </c>
      <c r="AA322" s="62">
        <f t="shared" si="72"/>
        <v>4.5</v>
      </c>
      <c r="AB322" s="62">
        <f t="shared" si="73"/>
        <v>0</v>
      </c>
      <c r="AC322" s="65" t="e">
        <f t="shared" ref="AC322:AC385" si="76">Y322+Z322+AB322+D322</f>
        <v>#N/A</v>
      </c>
      <c r="AD322" s="65">
        <f t="shared" si="74"/>
        <v>0</v>
      </c>
      <c r="AE322" s="66" t="e">
        <f t="shared" si="75"/>
        <v>#N/A</v>
      </c>
    </row>
    <row r="323" spans="1:31">
      <c r="A323" s="105" t="s">
        <v>506</v>
      </c>
      <c r="B323" s="33"/>
      <c r="C323" s="115"/>
      <c r="D323" s="55"/>
      <c r="E323" s="45"/>
      <c r="F323" s="21"/>
      <c r="G323" s="21"/>
      <c r="H323" s="42"/>
      <c r="I323" s="42"/>
      <c r="J323" s="42"/>
      <c r="K323" s="42"/>
      <c r="L323" s="42"/>
      <c r="M323" s="31" t="str">
        <f>IFERROR(VLOOKUP(W323,送料!$J$3:$K$42,2,FALSE),"")</f>
        <v/>
      </c>
      <c r="N323" s="108"/>
      <c r="O323" s="30"/>
      <c r="P323" s="30"/>
      <c r="Q323" s="30"/>
      <c r="R323" s="30"/>
      <c r="S323" s="30"/>
      <c r="T323" s="53">
        <f t="shared" si="67"/>
        <v>0</v>
      </c>
      <c r="U323" s="53">
        <f t="shared" si="68"/>
        <v>0</v>
      </c>
      <c r="V323" s="53">
        <f t="shared" si="69"/>
        <v>0</v>
      </c>
      <c r="W323" s="54">
        <f t="shared" si="70"/>
        <v>0</v>
      </c>
      <c r="X323" s="51" t="e">
        <f>VLOOKUP(W323,送料!$J$3:$K$42,2,FALSE)</f>
        <v>#N/A</v>
      </c>
      <c r="Y323" s="51" t="e">
        <f>VLOOKUP(X323,送料!$A$1:$B$40,2,FALSE)</f>
        <v>#N/A</v>
      </c>
      <c r="Z323" s="59">
        <f t="shared" si="71"/>
        <v>0</v>
      </c>
      <c r="AA323" s="62">
        <f t="shared" si="72"/>
        <v>4.5</v>
      </c>
      <c r="AB323" s="62">
        <f t="shared" si="73"/>
        <v>0</v>
      </c>
      <c r="AC323" s="65" t="e">
        <f t="shared" si="76"/>
        <v>#N/A</v>
      </c>
      <c r="AD323" s="65">
        <f t="shared" si="74"/>
        <v>0</v>
      </c>
      <c r="AE323" s="66" t="e">
        <f t="shared" si="75"/>
        <v>#N/A</v>
      </c>
    </row>
    <row r="324" spans="1:31">
      <c r="A324" s="105" t="s">
        <v>507</v>
      </c>
      <c r="B324" s="33"/>
      <c r="C324" s="115"/>
      <c r="D324" s="55"/>
      <c r="E324" s="45"/>
      <c r="F324" s="21"/>
      <c r="G324" s="21"/>
      <c r="H324" s="42"/>
      <c r="I324" s="42"/>
      <c r="J324" s="42"/>
      <c r="K324" s="42"/>
      <c r="L324" s="42"/>
      <c r="M324" s="31" t="str">
        <f>IFERROR(VLOOKUP(W324,送料!$J$3:$K$42,2,FALSE),"")</f>
        <v/>
      </c>
      <c r="N324" s="108"/>
      <c r="O324" s="30"/>
      <c r="P324" s="30"/>
      <c r="Q324" s="30"/>
      <c r="R324" s="30"/>
      <c r="S324" s="30"/>
      <c r="T324" s="53">
        <f t="shared" si="67"/>
        <v>0</v>
      </c>
      <c r="U324" s="53">
        <f t="shared" si="68"/>
        <v>0</v>
      </c>
      <c r="V324" s="53">
        <f t="shared" si="69"/>
        <v>0</v>
      </c>
      <c r="W324" s="54">
        <f t="shared" si="70"/>
        <v>0</v>
      </c>
      <c r="X324" s="51" t="e">
        <f>VLOOKUP(W324,送料!$J$3:$K$42,2,FALSE)</f>
        <v>#N/A</v>
      </c>
      <c r="Y324" s="51" t="e">
        <f>VLOOKUP(X324,送料!$A$1:$B$40,2,FALSE)</f>
        <v>#N/A</v>
      </c>
      <c r="Z324" s="59">
        <f t="shared" si="71"/>
        <v>0</v>
      </c>
      <c r="AA324" s="62">
        <f t="shared" si="72"/>
        <v>4.5</v>
      </c>
      <c r="AB324" s="62">
        <f t="shared" si="73"/>
        <v>0</v>
      </c>
      <c r="AC324" s="65" t="e">
        <f t="shared" si="76"/>
        <v>#N/A</v>
      </c>
      <c r="AD324" s="65">
        <f t="shared" si="74"/>
        <v>0</v>
      </c>
      <c r="AE324" s="66" t="e">
        <f t="shared" si="75"/>
        <v>#N/A</v>
      </c>
    </row>
    <row r="325" spans="1:31">
      <c r="A325" s="105" t="s">
        <v>508</v>
      </c>
      <c r="B325" s="33"/>
      <c r="C325" s="115"/>
      <c r="D325" s="55"/>
      <c r="E325" s="45"/>
      <c r="F325" s="21"/>
      <c r="G325" s="21"/>
      <c r="H325" s="42"/>
      <c r="I325" s="42"/>
      <c r="J325" s="42"/>
      <c r="K325" s="42"/>
      <c r="L325" s="42"/>
      <c r="M325" s="31" t="str">
        <f>IFERROR(VLOOKUP(W325,送料!$J$3:$K$42,2,FALSE),"")</f>
        <v/>
      </c>
      <c r="N325" s="108"/>
      <c r="O325" s="30"/>
      <c r="P325" s="30"/>
      <c r="Q325" s="30"/>
      <c r="R325" s="30"/>
      <c r="S325" s="30"/>
      <c r="T325" s="53">
        <f t="shared" si="67"/>
        <v>0</v>
      </c>
      <c r="U325" s="53">
        <f t="shared" si="68"/>
        <v>0</v>
      </c>
      <c r="V325" s="53">
        <f t="shared" si="69"/>
        <v>0</v>
      </c>
      <c r="W325" s="54">
        <f t="shared" si="70"/>
        <v>0</v>
      </c>
      <c r="X325" s="51" t="e">
        <f>VLOOKUP(W325,送料!$J$3:$K$42,2,FALSE)</f>
        <v>#N/A</v>
      </c>
      <c r="Y325" s="51" t="e">
        <f>VLOOKUP(X325,送料!$A$1:$B$40,2,FALSE)</f>
        <v>#N/A</v>
      </c>
      <c r="Z325" s="59">
        <f t="shared" si="71"/>
        <v>0</v>
      </c>
      <c r="AA325" s="62">
        <f t="shared" si="72"/>
        <v>4.5</v>
      </c>
      <c r="AB325" s="62">
        <f t="shared" si="73"/>
        <v>0</v>
      </c>
      <c r="AC325" s="65" t="e">
        <f t="shared" si="76"/>
        <v>#N/A</v>
      </c>
      <c r="AD325" s="65">
        <f t="shared" si="74"/>
        <v>0</v>
      </c>
      <c r="AE325" s="66" t="e">
        <f t="shared" si="75"/>
        <v>#N/A</v>
      </c>
    </row>
    <row r="326" spans="1:31">
      <c r="A326" s="105" t="s">
        <v>509</v>
      </c>
      <c r="B326" s="33"/>
      <c r="C326" s="115"/>
      <c r="D326" s="55"/>
      <c r="E326" s="45"/>
      <c r="F326" s="21"/>
      <c r="G326" s="21"/>
      <c r="H326" s="42"/>
      <c r="I326" s="42"/>
      <c r="J326" s="42"/>
      <c r="K326" s="42"/>
      <c r="L326" s="42"/>
      <c r="M326" s="31" t="str">
        <f>IFERROR(VLOOKUP(W326,送料!$J$3:$K$42,2,FALSE),"")</f>
        <v/>
      </c>
      <c r="N326" s="108"/>
      <c r="O326" s="30"/>
      <c r="P326" s="30"/>
      <c r="Q326" s="30"/>
      <c r="R326" s="30"/>
      <c r="S326" s="30"/>
      <c r="T326" s="53">
        <f t="shared" si="67"/>
        <v>0</v>
      </c>
      <c r="U326" s="53">
        <f t="shared" si="68"/>
        <v>0</v>
      </c>
      <c r="V326" s="53">
        <f t="shared" si="69"/>
        <v>0</v>
      </c>
      <c r="W326" s="54">
        <f t="shared" si="70"/>
        <v>0</v>
      </c>
      <c r="X326" s="51" t="e">
        <f>VLOOKUP(W326,送料!$J$3:$K$42,2,FALSE)</f>
        <v>#N/A</v>
      </c>
      <c r="Y326" s="51" t="e">
        <f>VLOOKUP(X326,送料!$A$1:$B$40,2,FALSE)</f>
        <v>#N/A</v>
      </c>
      <c r="Z326" s="59">
        <f t="shared" si="71"/>
        <v>0</v>
      </c>
      <c r="AA326" s="62">
        <f t="shared" si="72"/>
        <v>4.5</v>
      </c>
      <c r="AB326" s="62">
        <f t="shared" si="73"/>
        <v>0</v>
      </c>
      <c r="AC326" s="65" t="e">
        <f t="shared" si="76"/>
        <v>#N/A</v>
      </c>
      <c r="AD326" s="65">
        <f t="shared" si="74"/>
        <v>0</v>
      </c>
      <c r="AE326" s="66" t="e">
        <f t="shared" si="75"/>
        <v>#N/A</v>
      </c>
    </row>
    <row r="327" spans="1:31">
      <c r="A327" s="105" t="s">
        <v>510</v>
      </c>
      <c r="B327" s="33"/>
      <c r="C327" s="115"/>
      <c r="D327" s="55"/>
      <c r="E327" s="45"/>
      <c r="F327" s="21"/>
      <c r="G327" s="21"/>
      <c r="H327" s="42"/>
      <c r="I327" s="42"/>
      <c r="J327" s="42"/>
      <c r="K327" s="42"/>
      <c r="L327" s="42"/>
      <c r="M327" s="31" t="str">
        <f>IFERROR(VLOOKUP(W327,送料!$J$3:$K$42,2,FALSE),"")</f>
        <v/>
      </c>
      <c r="N327" s="108"/>
      <c r="O327" s="30"/>
      <c r="P327" s="30"/>
      <c r="Q327" s="30"/>
      <c r="R327" s="30"/>
      <c r="S327" s="30"/>
      <c r="T327" s="53">
        <f t="shared" si="67"/>
        <v>0</v>
      </c>
      <c r="U327" s="53">
        <f t="shared" si="68"/>
        <v>0</v>
      </c>
      <c r="V327" s="53">
        <f t="shared" si="69"/>
        <v>0</v>
      </c>
      <c r="W327" s="54">
        <f t="shared" si="70"/>
        <v>0</v>
      </c>
      <c r="X327" s="51" t="e">
        <f>VLOOKUP(W327,送料!$J$3:$K$42,2,FALSE)</f>
        <v>#N/A</v>
      </c>
      <c r="Y327" s="51" t="e">
        <f>VLOOKUP(X327,送料!$A$1:$B$40,2,FALSE)</f>
        <v>#N/A</v>
      </c>
      <c r="Z327" s="59">
        <f t="shared" si="71"/>
        <v>0</v>
      </c>
      <c r="AA327" s="62">
        <f t="shared" si="72"/>
        <v>4.5</v>
      </c>
      <c r="AB327" s="62">
        <f t="shared" si="73"/>
        <v>0</v>
      </c>
      <c r="AC327" s="65" t="e">
        <f t="shared" si="76"/>
        <v>#N/A</v>
      </c>
      <c r="AD327" s="65">
        <f t="shared" si="74"/>
        <v>0</v>
      </c>
      <c r="AE327" s="66" t="e">
        <f t="shared" si="75"/>
        <v>#N/A</v>
      </c>
    </row>
    <row r="328" spans="1:31">
      <c r="A328" s="105" t="s">
        <v>511</v>
      </c>
      <c r="B328" s="33"/>
      <c r="C328" s="115"/>
      <c r="D328" s="55"/>
      <c r="E328" s="45"/>
      <c r="F328" s="21"/>
      <c r="G328" s="21"/>
      <c r="H328" s="42"/>
      <c r="I328" s="42"/>
      <c r="J328" s="42"/>
      <c r="K328" s="42"/>
      <c r="L328" s="42"/>
      <c r="M328" s="31" t="str">
        <f>IFERROR(VLOOKUP(W328,送料!$J$3:$K$42,2,FALSE),"")</f>
        <v/>
      </c>
      <c r="N328" s="108"/>
      <c r="O328" s="30"/>
      <c r="P328" s="30"/>
      <c r="Q328" s="30"/>
      <c r="R328" s="30"/>
      <c r="S328" s="30"/>
      <c r="T328" s="53">
        <f t="shared" si="67"/>
        <v>0</v>
      </c>
      <c r="U328" s="53">
        <f t="shared" si="68"/>
        <v>0</v>
      </c>
      <c r="V328" s="53">
        <f t="shared" si="69"/>
        <v>0</v>
      </c>
      <c r="W328" s="54">
        <f t="shared" si="70"/>
        <v>0</v>
      </c>
      <c r="X328" s="51" t="e">
        <f>VLOOKUP(W328,送料!$J$3:$K$42,2,FALSE)</f>
        <v>#N/A</v>
      </c>
      <c r="Y328" s="51" t="e">
        <f>VLOOKUP(X328,送料!$A$1:$B$40,2,FALSE)</f>
        <v>#N/A</v>
      </c>
      <c r="Z328" s="59">
        <f t="shared" si="71"/>
        <v>0</v>
      </c>
      <c r="AA328" s="62">
        <f t="shared" si="72"/>
        <v>4.5</v>
      </c>
      <c r="AB328" s="62">
        <f t="shared" si="73"/>
        <v>0</v>
      </c>
      <c r="AC328" s="65" t="e">
        <f t="shared" si="76"/>
        <v>#N/A</v>
      </c>
      <c r="AD328" s="65">
        <f t="shared" si="74"/>
        <v>0</v>
      </c>
      <c r="AE328" s="66" t="e">
        <f t="shared" si="75"/>
        <v>#N/A</v>
      </c>
    </row>
    <row r="329" spans="1:31">
      <c r="A329" s="105" t="s">
        <v>512</v>
      </c>
      <c r="B329" s="33"/>
      <c r="C329" s="115"/>
      <c r="D329" s="55"/>
      <c r="E329" s="45"/>
      <c r="F329" s="21"/>
      <c r="G329" s="21"/>
      <c r="H329" s="42"/>
      <c r="I329" s="42"/>
      <c r="J329" s="42"/>
      <c r="K329" s="42"/>
      <c r="L329" s="42"/>
      <c r="M329" s="31" t="str">
        <f>IFERROR(VLOOKUP(W329,送料!$J$3:$K$42,2,FALSE),"")</f>
        <v/>
      </c>
      <c r="N329" s="108"/>
      <c r="O329" s="30"/>
      <c r="P329" s="30"/>
      <c r="Q329" s="30"/>
      <c r="R329" s="30"/>
      <c r="S329" s="30"/>
      <c r="T329" s="53">
        <f t="shared" si="67"/>
        <v>0</v>
      </c>
      <c r="U329" s="53">
        <f t="shared" si="68"/>
        <v>0</v>
      </c>
      <c r="V329" s="53">
        <f t="shared" si="69"/>
        <v>0</v>
      </c>
      <c r="W329" s="54">
        <f t="shared" si="70"/>
        <v>0</v>
      </c>
      <c r="X329" s="51" t="e">
        <f>VLOOKUP(W329,送料!$J$3:$K$42,2,FALSE)</f>
        <v>#N/A</v>
      </c>
      <c r="Y329" s="51" t="e">
        <f>VLOOKUP(X329,送料!$A$1:$B$40,2,FALSE)</f>
        <v>#N/A</v>
      </c>
      <c r="Z329" s="59">
        <f t="shared" si="71"/>
        <v>0</v>
      </c>
      <c r="AA329" s="62">
        <f t="shared" si="72"/>
        <v>4.5</v>
      </c>
      <c r="AB329" s="62">
        <f t="shared" si="73"/>
        <v>0</v>
      </c>
      <c r="AC329" s="65" t="e">
        <f t="shared" si="76"/>
        <v>#N/A</v>
      </c>
      <c r="AD329" s="65">
        <f t="shared" si="74"/>
        <v>0</v>
      </c>
      <c r="AE329" s="66" t="e">
        <f t="shared" si="75"/>
        <v>#N/A</v>
      </c>
    </row>
    <row r="330" spans="1:31">
      <c r="A330" s="105" t="s">
        <v>513</v>
      </c>
      <c r="B330" s="33"/>
      <c r="C330" s="115"/>
      <c r="D330" s="55"/>
      <c r="E330" s="45"/>
      <c r="F330" s="21"/>
      <c r="G330" s="21"/>
      <c r="H330" s="42"/>
      <c r="I330" s="42"/>
      <c r="J330" s="42"/>
      <c r="K330" s="42"/>
      <c r="L330" s="42"/>
      <c r="M330" s="31" t="str">
        <f>IFERROR(VLOOKUP(W330,送料!$J$3:$K$42,2,FALSE),"")</f>
        <v/>
      </c>
      <c r="N330" s="108"/>
      <c r="O330" s="30"/>
      <c r="P330" s="30"/>
      <c r="Q330" s="30"/>
      <c r="R330" s="30"/>
      <c r="S330" s="30"/>
      <c r="T330" s="53">
        <f t="shared" si="67"/>
        <v>0</v>
      </c>
      <c r="U330" s="53">
        <f t="shared" si="68"/>
        <v>0</v>
      </c>
      <c r="V330" s="53">
        <f t="shared" si="69"/>
        <v>0</v>
      </c>
      <c r="W330" s="54">
        <f t="shared" si="70"/>
        <v>0</v>
      </c>
      <c r="X330" s="51" t="e">
        <f>VLOOKUP(W330,送料!$J$3:$K$42,2,FALSE)</f>
        <v>#N/A</v>
      </c>
      <c r="Y330" s="51" t="e">
        <f>VLOOKUP(X330,送料!$A$1:$B$40,2,FALSE)</f>
        <v>#N/A</v>
      </c>
      <c r="Z330" s="59">
        <f t="shared" si="71"/>
        <v>0</v>
      </c>
      <c r="AA330" s="62">
        <f t="shared" si="72"/>
        <v>4.5</v>
      </c>
      <c r="AB330" s="62">
        <f t="shared" si="73"/>
        <v>0</v>
      </c>
      <c r="AC330" s="65" t="e">
        <f t="shared" si="76"/>
        <v>#N/A</v>
      </c>
      <c r="AD330" s="65">
        <f t="shared" si="74"/>
        <v>0</v>
      </c>
      <c r="AE330" s="66" t="e">
        <f t="shared" si="75"/>
        <v>#N/A</v>
      </c>
    </row>
    <row r="331" spans="1:31">
      <c r="A331" s="105" t="s">
        <v>514</v>
      </c>
      <c r="B331" s="33"/>
      <c r="C331" s="115"/>
      <c r="D331" s="55"/>
      <c r="E331" s="45"/>
      <c r="F331" s="21"/>
      <c r="G331" s="21"/>
      <c r="H331" s="42"/>
      <c r="I331" s="42"/>
      <c r="J331" s="42"/>
      <c r="K331" s="42"/>
      <c r="L331" s="42"/>
      <c r="M331" s="31" t="str">
        <f>IFERROR(VLOOKUP(W331,送料!$J$3:$K$42,2,FALSE),"")</f>
        <v/>
      </c>
      <c r="N331" s="108"/>
      <c r="O331" s="30"/>
      <c r="P331" s="30"/>
      <c r="Q331" s="30"/>
      <c r="R331" s="30"/>
      <c r="S331" s="30"/>
      <c r="T331" s="53">
        <f t="shared" si="67"/>
        <v>0</v>
      </c>
      <c r="U331" s="53">
        <f t="shared" si="68"/>
        <v>0</v>
      </c>
      <c r="V331" s="53">
        <f t="shared" si="69"/>
        <v>0</v>
      </c>
      <c r="W331" s="54">
        <f t="shared" si="70"/>
        <v>0</v>
      </c>
      <c r="X331" s="51" t="e">
        <f>VLOOKUP(W331,送料!$J$3:$K$42,2,FALSE)</f>
        <v>#N/A</v>
      </c>
      <c r="Y331" s="51" t="e">
        <f>VLOOKUP(X331,送料!$A$1:$B$40,2,FALSE)</f>
        <v>#N/A</v>
      </c>
      <c r="Z331" s="59">
        <f t="shared" si="71"/>
        <v>0</v>
      </c>
      <c r="AA331" s="62">
        <f t="shared" si="72"/>
        <v>4.5</v>
      </c>
      <c r="AB331" s="62">
        <f t="shared" si="73"/>
        <v>0</v>
      </c>
      <c r="AC331" s="65" t="e">
        <f t="shared" si="76"/>
        <v>#N/A</v>
      </c>
      <c r="AD331" s="65">
        <f t="shared" si="74"/>
        <v>0</v>
      </c>
      <c r="AE331" s="66" t="e">
        <f t="shared" si="75"/>
        <v>#N/A</v>
      </c>
    </row>
    <row r="332" spans="1:31">
      <c r="A332" s="105" t="s">
        <v>515</v>
      </c>
      <c r="B332" s="33"/>
      <c r="C332" s="115"/>
      <c r="D332" s="55"/>
      <c r="E332" s="45"/>
      <c r="F332" s="21"/>
      <c r="G332" s="21"/>
      <c r="H332" s="42"/>
      <c r="I332" s="42"/>
      <c r="J332" s="42"/>
      <c r="K332" s="42"/>
      <c r="L332" s="42"/>
      <c r="M332" s="31" t="str">
        <f>IFERROR(VLOOKUP(W332,送料!$J$3:$K$42,2,FALSE),"")</f>
        <v/>
      </c>
      <c r="N332" s="108"/>
      <c r="O332" s="30"/>
      <c r="P332" s="30"/>
      <c r="Q332" s="30"/>
      <c r="R332" s="30"/>
      <c r="S332" s="30"/>
      <c r="T332" s="53">
        <f t="shared" si="67"/>
        <v>0</v>
      </c>
      <c r="U332" s="53">
        <f t="shared" si="68"/>
        <v>0</v>
      </c>
      <c r="V332" s="53">
        <f t="shared" si="69"/>
        <v>0</v>
      </c>
      <c r="W332" s="54">
        <f t="shared" si="70"/>
        <v>0</v>
      </c>
      <c r="X332" s="51" t="e">
        <f>VLOOKUP(W332,送料!$J$3:$K$42,2,FALSE)</f>
        <v>#N/A</v>
      </c>
      <c r="Y332" s="51" t="e">
        <f>VLOOKUP(X332,送料!$A$1:$B$40,2,FALSE)</f>
        <v>#N/A</v>
      </c>
      <c r="Z332" s="59">
        <f t="shared" si="71"/>
        <v>0</v>
      </c>
      <c r="AA332" s="62">
        <f t="shared" si="72"/>
        <v>4.5</v>
      </c>
      <c r="AB332" s="62">
        <f t="shared" si="73"/>
        <v>0</v>
      </c>
      <c r="AC332" s="65" t="e">
        <f t="shared" si="76"/>
        <v>#N/A</v>
      </c>
      <c r="AD332" s="65">
        <f t="shared" si="74"/>
        <v>0</v>
      </c>
      <c r="AE332" s="66" t="e">
        <f t="shared" si="75"/>
        <v>#N/A</v>
      </c>
    </row>
    <row r="333" spans="1:31">
      <c r="A333" s="105" t="s">
        <v>516</v>
      </c>
      <c r="B333" s="33"/>
      <c r="C333" s="115"/>
      <c r="D333" s="55"/>
      <c r="E333" s="45"/>
      <c r="F333" s="21"/>
      <c r="G333" s="21"/>
      <c r="H333" s="42"/>
      <c r="I333" s="42"/>
      <c r="J333" s="42"/>
      <c r="K333" s="42"/>
      <c r="L333" s="42"/>
      <c r="M333" s="31" t="str">
        <f>IFERROR(VLOOKUP(W333,送料!$J$3:$K$42,2,FALSE),"")</f>
        <v/>
      </c>
      <c r="N333" s="108"/>
      <c r="O333" s="30"/>
      <c r="P333" s="30"/>
      <c r="Q333" s="30"/>
      <c r="R333" s="30"/>
      <c r="S333" s="30"/>
      <c r="T333" s="53">
        <f t="shared" si="67"/>
        <v>0</v>
      </c>
      <c r="U333" s="53">
        <f t="shared" si="68"/>
        <v>0</v>
      </c>
      <c r="V333" s="53">
        <f t="shared" si="69"/>
        <v>0</v>
      </c>
      <c r="W333" s="54">
        <f t="shared" si="70"/>
        <v>0</v>
      </c>
      <c r="X333" s="51" t="e">
        <f>VLOOKUP(W333,送料!$J$3:$K$42,2,FALSE)</f>
        <v>#N/A</v>
      </c>
      <c r="Y333" s="51" t="e">
        <f>VLOOKUP(X333,送料!$A$1:$B$40,2,FALSE)</f>
        <v>#N/A</v>
      </c>
      <c r="Z333" s="59">
        <f t="shared" si="71"/>
        <v>0</v>
      </c>
      <c r="AA333" s="62">
        <f t="shared" si="72"/>
        <v>4.5</v>
      </c>
      <c r="AB333" s="62">
        <f t="shared" si="73"/>
        <v>0</v>
      </c>
      <c r="AC333" s="65" t="e">
        <f t="shared" si="76"/>
        <v>#N/A</v>
      </c>
      <c r="AD333" s="65">
        <f t="shared" si="74"/>
        <v>0</v>
      </c>
      <c r="AE333" s="66" t="e">
        <f t="shared" si="75"/>
        <v>#N/A</v>
      </c>
    </row>
    <row r="334" spans="1:31">
      <c r="A334" s="105" t="s">
        <v>517</v>
      </c>
      <c r="B334" s="33"/>
      <c r="C334" s="115"/>
      <c r="D334" s="55"/>
      <c r="E334" s="45"/>
      <c r="F334" s="21"/>
      <c r="G334" s="21"/>
      <c r="H334" s="42"/>
      <c r="I334" s="42"/>
      <c r="J334" s="42"/>
      <c r="K334" s="42"/>
      <c r="L334" s="42"/>
      <c r="M334" s="31" t="str">
        <f>IFERROR(VLOOKUP(W334,送料!$J$3:$K$42,2,FALSE),"")</f>
        <v/>
      </c>
      <c r="N334" s="108"/>
      <c r="O334" s="30"/>
      <c r="P334" s="30"/>
      <c r="Q334" s="30"/>
      <c r="R334" s="30"/>
      <c r="S334" s="30"/>
      <c r="T334" s="53">
        <f t="shared" si="67"/>
        <v>0</v>
      </c>
      <c r="U334" s="53">
        <f t="shared" si="68"/>
        <v>0</v>
      </c>
      <c r="V334" s="53">
        <f t="shared" si="69"/>
        <v>0</v>
      </c>
      <c r="W334" s="54">
        <f t="shared" si="70"/>
        <v>0</v>
      </c>
      <c r="X334" s="51" t="e">
        <f>VLOOKUP(W334,送料!$J$3:$K$42,2,FALSE)</f>
        <v>#N/A</v>
      </c>
      <c r="Y334" s="51" t="e">
        <f>VLOOKUP(X334,送料!$A$1:$B$40,2,FALSE)</f>
        <v>#N/A</v>
      </c>
      <c r="Z334" s="59">
        <f t="shared" si="71"/>
        <v>0</v>
      </c>
      <c r="AA334" s="62">
        <f t="shared" si="72"/>
        <v>4.5</v>
      </c>
      <c r="AB334" s="62">
        <f t="shared" si="73"/>
        <v>0</v>
      </c>
      <c r="AC334" s="65" t="e">
        <f t="shared" si="76"/>
        <v>#N/A</v>
      </c>
      <c r="AD334" s="65">
        <f t="shared" si="74"/>
        <v>0</v>
      </c>
      <c r="AE334" s="66" t="e">
        <f t="shared" si="75"/>
        <v>#N/A</v>
      </c>
    </row>
    <row r="335" spans="1:31">
      <c r="A335" s="105" t="s">
        <v>518</v>
      </c>
      <c r="B335" s="33"/>
      <c r="C335" s="115"/>
      <c r="D335" s="55"/>
      <c r="E335" s="45"/>
      <c r="F335" s="21"/>
      <c r="G335" s="21"/>
      <c r="H335" s="42"/>
      <c r="I335" s="42"/>
      <c r="J335" s="42"/>
      <c r="K335" s="42"/>
      <c r="L335" s="42"/>
      <c r="M335" s="31" t="str">
        <f>IFERROR(VLOOKUP(W335,送料!$J$3:$K$42,2,FALSE),"")</f>
        <v/>
      </c>
      <c r="N335" s="108"/>
      <c r="O335" s="30"/>
      <c r="P335" s="30"/>
      <c r="Q335" s="30"/>
      <c r="R335" s="30"/>
      <c r="S335" s="30"/>
      <c r="T335" s="53">
        <f t="shared" si="67"/>
        <v>0</v>
      </c>
      <c r="U335" s="53">
        <f t="shared" si="68"/>
        <v>0</v>
      </c>
      <c r="V335" s="53">
        <f t="shared" si="69"/>
        <v>0</v>
      </c>
      <c r="W335" s="54">
        <f t="shared" si="70"/>
        <v>0</v>
      </c>
      <c r="X335" s="51" t="e">
        <f>VLOOKUP(W335,送料!$J$3:$K$42,2,FALSE)</f>
        <v>#N/A</v>
      </c>
      <c r="Y335" s="51" t="e">
        <f>VLOOKUP(X335,送料!$A$1:$B$40,2,FALSE)</f>
        <v>#N/A</v>
      </c>
      <c r="Z335" s="59">
        <f t="shared" si="71"/>
        <v>0</v>
      </c>
      <c r="AA335" s="62">
        <f t="shared" si="72"/>
        <v>4.5</v>
      </c>
      <c r="AB335" s="62">
        <f t="shared" si="73"/>
        <v>0</v>
      </c>
      <c r="AC335" s="65" t="e">
        <f t="shared" si="76"/>
        <v>#N/A</v>
      </c>
      <c r="AD335" s="65">
        <f t="shared" si="74"/>
        <v>0</v>
      </c>
      <c r="AE335" s="66" t="e">
        <f t="shared" si="75"/>
        <v>#N/A</v>
      </c>
    </row>
    <row r="336" spans="1:31">
      <c r="A336" s="105" t="s">
        <v>519</v>
      </c>
      <c r="B336" s="33"/>
      <c r="C336" s="115"/>
      <c r="D336" s="55"/>
      <c r="E336" s="45"/>
      <c r="F336" s="21"/>
      <c r="G336" s="21"/>
      <c r="H336" s="42"/>
      <c r="I336" s="42"/>
      <c r="J336" s="42"/>
      <c r="K336" s="42"/>
      <c r="L336" s="42"/>
      <c r="M336" s="31" t="str">
        <f>IFERROR(VLOOKUP(W336,送料!$J$3:$K$42,2,FALSE),"")</f>
        <v/>
      </c>
      <c r="N336" s="108"/>
      <c r="O336" s="30"/>
      <c r="P336" s="30"/>
      <c r="Q336" s="30"/>
      <c r="R336" s="30"/>
      <c r="S336" s="30"/>
      <c r="T336" s="53">
        <f t="shared" si="67"/>
        <v>0</v>
      </c>
      <c r="U336" s="53">
        <f t="shared" si="68"/>
        <v>0</v>
      </c>
      <c r="V336" s="53">
        <f t="shared" si="69"/>
        <v>0</v>
      </c>
      <c r="W336" s="54">
        <f t="shared" si="70"/>
        <v>0</v>
      </c>
      <c r="X336" s="51" t="e">
        <f>VLOOKUP(W336,送料!$J$3:$K$42,2,FALSE)</f>
        <v>#N/A</v>
      </c>
      <c r="Y336" s="51" t="e">
        <f>VLOOKUP(X336,送料!$A$1:$B$40,2,FALSE)</f>
        <v>#N/A</v>
      </c>
      <c r="Z336" s="59">
        <f t="shared" si="71"/>
        <v>0</v>
      </c>
      <c r="AA336" s="62">
        <f t="shared" si="72"/>
        <v>4.5</v>
      </c>
      <c r="AB336" s="62">
        <f t="shared" si="73"/>
        <v>0</v>
      </c>
      <c r="AC336" s="65" t="e">
        <f t="shared" si="76"/>
        <v>#N/A</v>
      </c>
      <c r="AD336" s="65">
        <f t="shared" si="74"/>
        <v>0</v>
      </c>
      <c r="AE336" s="66" t="e">
        <f t="shared" si="75"/>
        <v>#N/A</v>
      </c>
    </row>
    <row r="337" spans="1:31">
      <c r="A337" s="105" t="s">
        <v>520</v>
      </c>
      <c r="B337" s="33"/>
      <c r="C337" s="115"/>
      <c r="D337" s="55"/>
      <c r="E337" s="45"/>
      <c r="F337" s="21"/>
      <c r="G337" s="21"/>
      <c r="H337" s="42"/>
      <c r="I337" s="42"/>
      <c r="J337" s="42"/>
      <c r="K337" s="42"/>
      <c r="L337" s="42"/>
      <c r="M337" s="31" t="str">
        <f>IFERROR(VLOOKUP(W337,送料!$J$3:$K$42,2,FALSE),"")</f>
        <v/>
      </c>
      <c r="N337" s="108"/>
      <c r="O337" s="30"/>
      <c r="P337" s="30"/>
      <c r="Q337" s="30"/>
      <c r="R337" s="30"/>
      <c r="S337" s="30"/>
      <c r="T337" s="53">
        <f t="shared" si="67"/>
        <v>0</v>
      </c>
      <c r="U337" s="53">
        <f t="shared" si="68"/>
        <v>0</v>
      </c>
      <c r="V337" s="53">
        <f t="shared" si="69"/>
        <v>0</v>
      </c>
      <c r="W337" s="54">
        <f t="shared" si="70"/>
        <v>0</v>
      </c>
      <c r="X337" s="51" t="e">
        <f>VLOOKUP(W337,送料!$J$3:$K$42,2,FALSE)</f>
        <v>#N/A</v>
      </c>
      <c r="Y337" s="51" t="e">
        <f>VLOOKUP(X337,送料!$A$1:$B$40,2,FALSE)</f>
        <v>#N/A</v>
      </c>
      <c r="Z337" s="59">
        <f t="shared" si="71"/>
        <v>0</v>
      </c>
      <c r="AA337" s="62">
        <f t="shared" si="72"/>
        <v>4.5</v>
      </c>
      <c r="AB337" s="62">
        <f t="shared" si="73"/>
        <v>0</v>
      </c>
      <c r="AC337" s="65" t="e">
        <f t="shared" si="76"/>
        <v>#N/A</v>
      </c>
      <c r="AD337" s="65">
        <f t="shared" si="74"/>
        <v>0</v>
      </c>
      <c r="AE337" s="66" t="e">
        <f t="shared" si="75"/>
        <v>#N/A</v>
      </c>
    </row>
    <row r="338" spans="1:31">
      <c r="A338" s="105" t="s">
        <v>521</v>
      </c>
      <c r="B338" s="33"/>
      <c r="C338" s="115"/>
      <c r="D338" s="55"/>
      <c r="E338" s="45"/>
      <c r="F338" s="21"/>
      <c r="G338" s="21"/>
      <c r="H338" s="42"/>
      <c r="I338" s="42"/>
      <c r="J338" s="42"/>
      <c r="K338" s="42"/>
      <c r="L338" s="42"/>
      <c r="M338" s="31" t="str">
        <f>IFERROR(VLOOKUP(W338,送料!$J$3:$K$42,2,FALSE),"")</f>
        <v/>
      </c>
      <c r="N338" s="108"/>
      <c r="O338" s="30"/>
      <c r="P338" s="30"/>
      <c r="Q338" s="30"/>
      <c r="R338" s="30"/>
      <c r="S338" s="30"/>
      <c r="T338" s="53">
        <f t="shared" si="67"/>
        <v>0</v>
      </c>
      <c r="U338" s="53">
        <f t="shared" si="68"/>
        <v>0</v>
      </c>
      <c r="V338" s="53">
        <f t="shared" si="69"/>
        <v>0</v>
      </c>
      <c r="W338" s="54">
        <f t="shared" si="70"/>
        <v>0</v>
      </c>
      <c r="X338" s="51" t="e">
        <f>VLOOKUP(W338,送料!$J$3:$K$42,2,FALSE)</f>
        <v>#N/A</v>
      </c>
      <c r="Y338" s="51" t="e">
        <f>VLOOKUP(X338,送料!$A$1:$B$40,2,FALSE)</f>
        <v>#N/A</v>
      </c>
      <c r="Z338" s="59">
        <f t="shared" si="71"/>
        <v>0</v>
      </c>
      <c r="AA338" s="62">
        <f t="shared" si="72"/>
        <v>4.5</v>
      </c>
      <c r="AB338" s="62">
        <f t="shared" si="73"/>
        <v>0</v>
      </c>
      <c r="AC338" s="65" t="e">
        <f t="shared" si="76"/>
        <v>#N/A</v>
      </c>
      <c r="AD338" s="65">
        <f t="shared" si="74"/>
        <v>0</v>
      </c>
      <c r="AE338" s="66" t="e">
        <f t="shared" si="75"/>
        <v>#N/A</v>
      </c>
    </row>
    <row r="339" spans="1:31">
      <c r="A339" s="105" t="s">
        <v>522</v>
      </c>
      <c r="B339" s="33"/>
      <c r="C339" s="115"/>
      <c r="D339" s="55"/>
      <c r="E339" s="45"/>
      <c r="F339" s="21"/>
      <c r="G339" s="21"/>
      <c r="H339" s="42"/>
      <c r="I339" s="42"/>
      <c r="J339" s="42"/>
      <c r="K339" s="42"/>
      <c r="L339" s="42"/>
      <c r="M339" s="31" t="str">
        <f>IFERROR(VLOOKUP(W339,送料!$J$3:$K$42,2,FALSE),"")</f>
        <v/>
      </c>
      <c r="N339" s="108"/>
      <c r="O339" s="30"/>
      <c r="P339" s="30"/>
      <c r="Q339" s="30"/>
      <c r="R339" s="30"/>
      <c r="S339" s="30"/>
      <c r="T339" s="53">
        <f t="shared" si="67"/>
        <v>0</v>
      </c>
      <c r="U339" s="53">
        <f t="shared" si="68"/>
        <v>0</v>
      </c>
      <c r="V339" s="53">
        <f t="shared" si="69"/>
        <v>0</v>
      </c>
      <c r="W339" s="54">
        <f t="shared" si="70"/>
        <v>0</v>
      </c>
      <c r="X339" s="51" t="e">
        <f>VLOOKUP(W339,送料!$J$3:$K$42,2,FALSE)</f>
        <v>#N/A</v>
      </c>
      <c r="Y339" s="51" t="e">
        <f>VLOOKUP(X339,送料!$A$1:$B$40,2,FALSE)</f>
        <v>#N/A</v>
      </c>
      <c r="Z339" s="59">
        <f t="shared" si="71"/>
        <v>0</v>
      </c>
      <c r="AA339" s="62">
        <f t="shared" si="72"/>
        <v>4.5</v>
      </c>
      <c r="AB339" s="62">
        <f t="shared" si="73"/>
        <v>0</v>
      </c>
      <c r="AC339" s="65" t="e">
        <f t="shared" si="76"/>
        <v>#N/A</v>
      </c>
      <c r="AD339" s="65">
        <f t="shared" si="74"/>
        <v>0</v>
      </c>
      <c r="AE339" s="66" t="e">
        <f t="shared" si="75"/>
        <v>#N/A</v>
      </c>
    </row>
    <row r="340" spans="1:31">
      <c r="A340" s="105" t="s">
        <v>523</v>
      </c>
      <c r="B340" s="33"/>
      <c r="C340" s="115"/>
      <c r="D340" s="55"/>
      <c r="E340" s="45"/>
      <c r="F340" s="21"/>
      <c r="G340" s="21"/>
      <c r="H340" s="42"/>
      <c r="I340" s="42"/>
      <c r="J340" s="42"/>
      <c r="K340" s="42"/>
      <c r="L340" s="42"/>
      <c r="M340" s="31" t="str">
        <f>IFERROR(VLOOKUP(W340,送料!$J$3:$K$42,2,FALSE),"")</f>
        <v/>
      </c>
      <c r="N340" s="108"/>
      <c r="O340" s="30"/>
      <c r="P340" s="30"/>
      <c r="Q340" s="30"/>
      <c r="R340" s="30"/>
      <c r="S340" s="30"/>
      <c r="T340" s="53">
        <f t="shared" si="67"/>
        <v>0</v>
      </c>
      <c r="U340" s="53">
        <f t="shared" si="68"/>
        <v>0</v>
      </c>
      <c r="V340" s="53">
        <f t="shared" si="69"/>
        <v>0</v>
      </c>
      <c r="W340" s="54">
        <f t="shared" si="70"/>
        <v>0</v>
      </c>
      <c r="X340" s="51" t="e">
        <f>VLOOKUP(W340,送料!$J$3:$K$42,2,FALSE)</f>
        <v>#N/A</v>
      </c>
      <c r="Y340" s="51" t="e">
        <f>VLOOKUP(X340,送料!$A$1:$B$40,2,FALSE)</f>
        <v>#N/A</v>
      </c>
      <c r="Z340" s="59">
        <f t="shared" si="71"/>
        <v>0</v>
      </c>
      <c r="AA340" s="62">
        <f t="shared" si="72"/>
        <v>4.5</v>
      </c>
      <c r="AB340" s="62">
        <f t="shared" si="73"/>
        <v>0</v>
      </c>
      <c r="AC340" s="65" t="e">
        <f t="shared" si="76"/>
        <v>#N/A</v>
      </c>
      <c r="AD340" s="65">
        <f t="shared" si="74"/>
        <v>0</v>
      </c>
      <c r="AE340" s="66" t="e">
        <f t="shared" si="75"/>
        <v>#N/A</v>
      </c>
    </row>
    <row r="341" spans="1:31">
      <c r="A341" s="105" t="s">
        <v>524</v>
      </c>
      <c r="B341" s="33"/>
      <c r="C341" s="115"/>
      <c r="D341" s="55"/>
      <c r="E341" s="45"/>
      <c r="F341" s="21"/>
      <c r="G341" s="21"/>
      <c r="H341" s="42"/>
      <c r="I341" s="42"/>
      <c r="J341" s="42"/>
      <c r="K341" s="42"/>
      <c r="L341" s="42"/>
      <c r="M341" s="31" t="str">
        <f>IFERROR(VLOOKUP(W341,送料!$J$3:$K$42,2,FALSE),"")</f>
        <v/>
      </c>
      <c r="N341" s="108"/>
      <c r="O341" s="30"/>
      <c r="P341" s="30"/>
      <c r="Q341" s="30"/>
      <c r="R341" s="30"/>
      <c r="S341" s="30"/>
      <c r="T341" s="53">
        <f t="shared" si="67"/>
        <v>0</v>
      </c>
      <c r="U341" s="53">
        <f t="shared" si="68"/>
        <v>0</v>
      </c>
      <c r="V341" s="53">
        <f t="shared" si="69"/>
        <v>0</v>
      </c>
      <c r="W341" s="54">
        <f t="shared" si="70"/>
        <v>0</v>
      </c>
      <c r="X341" s="51" t="e">
        <f>VLOOKUP(W341,送料!$J$3:$K$42,2,FALSE)</f>
        <v>#N/A</v>
      </c>
      <c r="Y341" s="51" t="e">
        <f>VLOOKUP(X341,送料!$A$1:$B$40,2,FALSE)</f>
        <v>#N/A</v>
      </c>
      <c r="Z341" s="59">
        <f t="shared" si="71"/>
        <v>0</v>
      </c>
      <c r="AA341" s="62">
        <f t="shared" si="72"/>
        <v>4.5</v>
      </c>
      <c r="AB341" s="62">
        <f t="shared" si="73"/>
        <v>0</v>
      </c>
      <c r="AC341" s="65" t="e">
        <f t="shared" si="76"/>
        <v>#N/A</v>
      </c>
      <c r="AD341" s="65">
        <f t="shared" si="74"/>
        <v>0</v>
      </c>
      <c r="AE341" s="66" t="e">
        <f t="shared" si="75"/>
        <v>#N/A</v>
      </c>
    </row>
    <row r="342" spans="1:31">
      <c r="A342" s="105" t="s">
        <v>525</v>
      </c>
      <c r="B342" s="33"/>
      <c r="C342" s="115"/>
      <c r="D342" s="55"/>
      <c r="E342" s="45"/>
      <c r="F342" s="21"/>
      <c r="G342" s="21"/>
      <c r="H342" s="42"/>
      <c r="I342" s="42"/>
      <c r="J342" s="42"/>
      <c r="K342" s="42"/>
      <c r="L342" s="42"/>
      <c r="M342" s="31" t="str">
        <f>IFERROR(VLOOKUP(W342,送料!$J$3:$K$42,2,FALSE),"")</f>
        <v/>
      </c>
      <c r="N342" s="108"/>
      <c r="O342" s="30"/>
      <c r="P342" s="30"/>
      <c r="Q342" s="30"/>
      <c r="R342" s="30"/>
      <c r="S342" s="30"/>
      <c r="T342" s="53">
        <f t="shared" si="67"/>
        <v>0</v>
      </c>
      <c r="U342" s="53">
        <f t="shared" si="68"/>
        <v>0</v>
      </c>
      <c r="V342" s="53">
        <f t="shared" si="69"/>
        <v>0</v>
      </c>
      <c r="W342" s="54">
        <f t="shared" si="70"/>
        <v>0</v>
      </c>
      <c r="X342" s="51" t="e">
        <f>VLOOKUP(W342,送料!$J$3:$K$42,2,FALSE)</f>
        <v>#N/A</v>
      </c>
      <c r="Y342" s="51" t="e">
        <f>VLOOKUP(X342,送料!$A$1:$B$40,2,FALSE)</f>
        <v>#N/A</v>
      </c>
      <c r="Z342" s="59">
        <f t="shared" si="71"/>
        <v>0</v>
      </c>
      <c r="AA342" s="62">
        <f t="shared" si="72"/>
        <v>4.5</v>
      </c>
      <c r="AB342" s="62">
        <f t="shared" si="73"/>
        <v>0</v>
      </c>
      <c r="AC342" s="65" t="e">
        <f t="shared" si="76"/>
        <v>#N/A</v>
      </c>
      <c r="AD342" s="65">
        <f t="shared" si="74"/>
        <v>0</v>
      </c>
      <c r="AE342" s="66" t="e">
        <f t="shared" si="75"/>
        <v>#N/A</v>
      </c>
    </row>
    <row r="343" spans="1:31">
      <c r="A343" s="105" t="s">
        <v>526</v>
      </c>
      <c r="B343" s="33"/>
      <c r="C343" s="115"/>
      <c r="D343" s="55"/>
      <c r="E343" s="45"/>
      <c r="F343" s="21"/>
      <c r="G343" s="21"/>
      <c r="H343" s="42"/>
      <c r="I343" s="42"/>
      <c r="J343" s="42"/>
      <c r="K343" s="42"/>
      <c r="L343" s="42"/>
      <c r="M343" s="31" t="str">
        <f>IFERROR(VLOOKUP(W343,送料!$J$3:$K$42,2,FALSE),"")</f>
        <v/>
      </c>
      <c r="N343" s="108"/>
      <c r="O343" s="30"/>
      <c r="P343" s="30"/>
      <c r="Q343" s="30"/>
      <c r="R343" s="30"/>
      <c r="S343" s="30"/>
      <c r="T343" s="53">
        <f t="shared" si="67"/>
        <v>0</v>
      </c>
      <c r="U343" s="53">
        <f t="shared" si="68"/>
        <v>0</v>
      </c>
      <c r="V343" s="53">
        <f t="shared" si="69"/>
        <v>0</v>
      </c>
      <c r="W343" s="54">
        <f t="shared" si="70"/>
        <v>0</v>
      </c>
      <c r="X343" s="51" t="e">
        <f>VLOOKUP(W343,送料!$J$3:$K$42,2,FALSE)</f>
        <v>#N/A</v>
      </c>
      <c r="Y343" s="51" t="e">
        <f>VLOOKUP(X343,送料!$A$1:$B$40,2,FALSE)</f>
        <v>#N/A</v>
      </c>
      <c r="Z343" s="59">
        <f t="shared" si="71"/>
        <v>0</v>
      </c>
      <c r="AA343" s="62">
        <f t="shared" si="72"/>
        <v>4.5</v>
      </c>
      <c r="AB343" s="62">
        <f t="shared" si="73"/>
        <v>0</v>
      </c>
      <c r="AC343" s="65" t="e">
        <f t="shared" si="76"/>
        <v>#N/A</v>
      </c>
      <c r="AD343" s="65">
        <f t="shared" si="74"/>
        <v>0</v>
      </c>
      <c r="AE343" s="66" t="e">
        <f t="shared" si="75"/>
        <v>#N/A</v>
      </c>
    </row>
    <row r="344" spans="1:31">
      <c r="A344" s="105" t="s">
        <v>527</v>
      </c>
      <c r="B344" s="33"/>
      <c r="C344" s="115"/>
      <c r="D344" s="55"/>
      <c r="E344" s="45"/>
      <c r="F344" s="21"/>
      <c r="G344" s="21"/>
      <c r="H344" s="42"/>
      <c r="I344" s="42"/>
      <c r="J344" s="42"/>
      <c r="K344" s="42"/>
      <c r="L344" s="42"/>
      <c r="M344" s="31" t="str">
        <f>IFERROR(VLOOKUP(W344,送料!$J$3:$K$42,2,FALSE),"")</f>
        <v/>
      </c>
      <c r="N344" s="108"/>
      <c r="O344" s="30"/>
      <c r="P344" s="30"/>
      <c r="Q344" s="30"/>
      <c r="R344" s="30"/>
      <c r="S344" s="30"/>
      <c r="T344" s="53">
        <f t="shared" si="67"/>
        <v>0</v>
      </c>
      <c r="U344" s="53">
        <f t="shared" si="68"/>
        <v>0</v>
      </c>
      <c r="V344" s="53">
        <f t="shared" si="69"/>
        <v>0</v>
      </c>
      <c r="W344" s="54">
        <f t="shared" si="70"/>
        <v>0</v>
      </c>
      <c r="X344" s="51" t="e">
        <f>VLOOKUP(W344,送料!$J$3:$K$42,2,FALSE)</f>
        <v>#N/A</v>
      </c>
      <c r="Y344" s="51" t="e">
        <f>VLOOKUP(X344,送料!$A$1:$B$40,2,FALSE)</f>
        <v>#N/A</v>
      </c>
      <c r="Z344" s="59">
        <f t="shared" si="71"/>
        <v>0</v>
      </c>
      <c r="AA344" s="62">
        <f t="shared" si="72"/>
        <v>4.5</v>
      </c>
      <c r="AB344" s="62">
        <f t="shared" si="73"/>
        <v>0</v>
      </c>
      <c r="AC344" s="65" t="e">
        <f t="shared" si="76"/>
        <v>#N/A</v>
      </c>
      <c r="AD344" s="65">
        <f t="shared" si="74"/>
        <v>0</v>
      </c>
      <c r="AE344" s="66" t="e">
        <f t="shared" si="75"/>
        <v>#N/A</v>
      </c>
    </row>
    <row r="345" spans="1:31">
      <c r="A345" s="105" t="s">
        <v>528</v>
      </c>
      <c r="B345" s="33"/>
      <c r="C345" s="115"/>
      <c r="D345" s="55"/>
      <c r="E345" s="45"/>
      <c r="F345" s="21"/>
      <c r="G345" s="21"/>
      <c r="H345" s="42"/>
      <c r="I345" s="42"/>
      <c r="J345" s="42"/>
      <c r="K345" s="42"/>
      <c r="L345" s="42"/>
      <c r="M345" s="31" t="str">
        <f>IFERROR(VLOOKUP(W345,送料!$J$3:$K$42,2,FALSE),"")</f>
        <v/>
      </c>
      <c r="N345" s="108"/>
      <c r="O345" s="30"/>
      <c r="P345" s="30"/>
      <c r="Q345" s="30"/>
      <c r="R345" s="30"/>
      <c r="S345" s="30"/>
      <c r="T345" s="53">
        <f t="shared" si="67"/>
        <v>0</v>
      </c>
      <c r="U345" s="53">
        <f t="shared" si="68"/>
        <v>0</v>
      </c>
      <c r="V345" s="53">
        <f t="shared" si="69"/>
        <v>0</v>
      </c>
      <c r="W345" s="54">
        <f t="shared" si="70"/>
        <v>0</v>
      </c>
      <c r="X345" s="51" t="e">
        <f>VLOOKUP(W345,送料!$J$3:$K$42,2,FALSE)</f>
        <v>#N/A</v>
      </c>
      <c r="Y345" s="51" t="e">
        <f>VLOOKUP(X345,送料!$A$1:$B$40,2,FALSE)</f>
        <v>#N/A</v>
      </c>
      <c r="Z345" s="59">
        <f t="shared" si="71"/>
        <v>0</v>
      </c>
      <c r="AA345" s="62">
        <f t="shared" si="72"/>
        <v>4.5</v>
      </c>
      <c r="AB345" s="62">
        <f t="shared" si="73"/>
        <v>0</v>
      </c>
      <c r="AC345" s="65" t="e">
        <f t="shared" si="76"/>
        <v>#N/A</v>
      </c>
      <c r="AD345" s="65">
        <f t="shared" si="74"/>
        <v>0</v>
      </c>
      <c r="AE345" s="66" t="e">
        <f t="shared" si="75"/>
        <v>#N/A</v>
      </c>
    </row>
    <row r="346" spans="1:31">
      <c r="A346" s="105" t="s">
        <v>529</v>
      </c>
      <c r="B346" s="33"/>
      <c r="C346" s="115"/>
      <c r="D346" s="55"/>
      <c r="E346" s="45"/>
      <c r="F346" s="21"/>
      <c r="G346" s="21"/>
      <c r="H346" s="42"/>
      <c r="I346" s="42"/>
      <c r="J346" s="42"/>
      <c r="K346" s="42"/>
      <c r="L346" s="42"/>
      <c r="M346" s="31" t="str">
        <f>IFERROR(VLOOKUP(W346,送料!$J$3:$K$42,2,FALSE),"")</f>
        <v/>
      </c>
      <c r="N346" s="108"/>
      <c r="O346" s="30"/>
      <c r="P346" s="30"/>
      <c r="Q346" s="30"/>
      <c r="R346" s="30"/>
      <c r="S346" s="30"/>
      <c r="T346" s="53">
        <f t="shared" si="67"/>
        <v>0</v>
      </c>
      <c r="U346" s="53">
        <f t="shared" si="68"/>
        <v>0</v>
      </c>
      <c r="V346" s="53">
        <f t="shared" si="69"/>
        <v>0</v>
      </c>
      <c r="W346" s="54">
        <f t="shared" si="70"/>
        <v>0</v>
      </c>
      <c r="X346" s="51" t="e">
        <f>VLOOKUP(W346,送料!$J$3:$K$42,2,FALSE)</f>
        <v>#N/A</v>
      </c>
      <c r="Y346" s="51" t="e">
        <f>VLOOKUP(X346,送料!$A$1:$B$40,2,FALSE)</f>
        <v>#N/A</v>
      </c>
      <c r="Z346" s="59">
        <f t="shared" si="71"/>
        <v>0</v>
      </c>
      <c r="AA346" s="62">
        <f t="shared" si="72"/>
        <v>4.5</v>
      </c>
      <c r="AB346" s="62">
        <f t="shared" si="73"/>
        <v>0</v>
      </c>
      <c r="AC346" s="65" t="e">
        <f t="shared" si="76"/>
        <v>#N/A</v>
      </c>
      <c r="AD346" s="65">
        <f t="shared" si="74"/>
        <v>0</v>
      </c>
      <c r="AE346" s="66" t="e">
        <f t="shared" si="75"/>
        <v>#N/A</v>
      </c>
    </row>
    <row r="347" spans="1:31">
      <c r="A347" s="105" t="s">
        <v>530</v>
      </c>
      <c r="B347" s="33"/>
      <c r="C347" s="115"/>
      <c r="D347" s="55"/>
      <c r="E347" s="45"/>
      <c r="F347" s="21"/>
      <c r="G347" s="21"/>
      <c r="H347" s="42"/>
      <c r="I347" s="42"/>
      <c r="J347" s="42"/>
      <c r="K347" s="42"/>
      <c r="L347" s="42"/>
      <c r="M347" s="31" t="str">
        <f>IFERROR(VLOOKUP(W347,送料!$J$3:$K$42,2,FALSE),"")</f>
        <v/>
      </c>
      <c r="N347" s="108"/>
      <c r="O347" s="30"/>
      <c r="P347" s="30"/>
      <c r="Q347" s="30"/>
      <c r="R347" s="30"/>
      <c r="S347" s="30"/>
      <c r="T347" s="53">
        <f t="shared" si="67"/>
        <v>0</v>
      </c>
      <c r="U347" s="53">
        <f t="shared" si="68"/>
        <v>0</v>
      </c>
      <c r="V347" s="53">
        <f t="shared" si="69"/>
        <v>0</v>
      </c>
      <c r="W347" s="54">
        <f t="shared" si="70"/>
        <v>0</v>
      </c>
      <c r="X347" s="51" t="e">
        <f>VLOOKUP(W347,送料!$J$3:$K$42,2,FALSE)</f>
        <v>#N/A</v>
      </c>
      <c r="Y347" s="51" t="e">
        <f>VLOOKUP(X347,送料!$A$1:$B$40,2,FALSE)</f>
        <v>#N/A</v>
      </c>
      <c r="Z347" s="59">
        <f t="shared" si="71"/>
        <v>0</v>
      </c>
      <c r="AA347" s="62">
        <f t="shared" si="72"/>
        <v>4.5</v>
      </c>
      <c r="AB347" s="62">
        <f t="shared" si="73"/>
        <v>0</v>
      </c>
      <c r="AC347" s="65" t="e">
        <f t="shared" si="76"/>
        <v>#N/A</v>
      </c>
      <c r="AD347" s="65">
        <f t="shared" si="74"/>
        <v>0</v>
      </c>
      <c r="AE347" s="66" t="e">
        <f t="shared" si="75"/>
        <v>#N/A</v>
      </c>
    </row>
    <row r="348" spans="1:31">
      <c r="A348" s="105" t="s">
        <v>531</v>
      </c>
      <c r="B348" s="33"/>
      <c r="C348" s="115"/>
      <c r="D348" s="55"/>
      <c r="E348" s="45"/>
      <c r="F348" s="21"/>
      <c r="G348" s="21"/>
      <c r="H348" s="42"/>
      <c r="I348" s="42"/>
      <c r="J348" s="42"/>
      <c r="K348" s="42"/>
      <c r="L348" s="42"/>
      <c r="M348" s="31" t="str">
        <f>IFERROR(VLOOKUP(W348,送料!$J$3:$K$42,2,FALSE),"")</f>
        <v/>
      </c>
      <c r="N348" s="108"/>
      <c r="O348" s="30"/>
      <c r="P348" s="30"/>
      <c r="Q348" s="30"/>
      <c r="R348" s="30"/>
      <c r="S348" s="30"/>
      <c r="T348" s="53">
        <f t="shared" si="67"/>
        <v>0</v>
      </c>
      <c r="U348" s="53">
        <f t="shared" si="68"/>
        <v>0</v>
      </c>
      <c r="V348" s="53">
        <f t="shared" si="69"/>
        <v>0</v>
      </c>
      <c r="W348" s="54">
        <f t="shared" si="70"/>
        <v>0</v>
      </c>
      <c r="X348" s="51" t="e">
        <f>VLOOKUP(W348,送料!$J$3:$K$42,2,FALSE)</f>
        <v>#N/A</v>
      </c>
      <c r="Y348" s="51" t="e">
        <f>VLOOKUP(X348,送料!$A$1:$B$40,2,FALSE)</f>
        <v>#N/A</v>
      </c>
      <c r="Z348" s="59">
        <f t="shared" si="71"/>
        <v>0</v>
      </c>
      <c r="AA348" s="62">
        <f t="shared" si="72"/>
        <v>4.5</v>
      </c>
      <c r="AB348" s="62">
        <f t="shared" si="73"/>
        <v>0</v>
      </c>
      <c r="AC348" s="65" t="e">
        <f t="shared" si="76"/>
        <v>#N/A</v>
      </c>
      <c r="AD348" s="65">
        <f t="shared" si="74"/>
        <v>0</v>
      </c>
      <c r="AE348" s="66" t="e">
        <f t="shared" si="75"/>
        <v>#N/A</v>
      </c>
    </row>
    <row r="349" spans="1:31">
      <c r="A349" s="105" t="s">
        <v>532</v>
      </c>
      <c r="B349" s="33"/>
      <c r="C349" s="115"/>
      <c r="D349" s="55"/>
      <c r="E349" s="45"/>
      <c r="F349" s="21"/>
      <c r="G349" s="21"/>
      <c r="H349" s="42"/>
      <c r="I349" s="42"/>
      <c r="J349" s="42"/>
      <c r="K349" s="42"/>
      <c r="L349" s="42"/>
      <c r="M349" s="31" t="str">
        <f>IFERROR(VLOOKUP(W349,送料!$J$3:$K$42,2,FALSE),"")</f>
        <v/>
      </c>
      <c r="N349" s="108"/>
      <c r="O349" s="30"/>
      <c r="P349" s="30"/>
      <c r="Q349" s="30"/>
      <c r="R349" s="30"/>
      <c r="S349" s="30"/>
      <c r="T349" s="53">
        <f t="shared" si="67"/>
        <v>0</v>
      </c>
      <c r="U349" s="53">
        <f t="shared" si="68"/>
        <v>0</v>
      </c>
      <c r="V349" s="53">
        <f t="shared" si="69"/>
        <v>0</v>
      </c>
      <c r="W349" s="54">
        <f t="shared" si="70"/>
        <v>0</v>
      </c>
      <c r="X349" s="51" t="e">
        <f>VLOOKUP(W349,送料!$J$3:$K$42,2,FALSE)</f>
        <v>#N/A</v>
      </c>
      <c r="Y349" s="51" t="e">
        <f>VLOOKUP(X349,送料!$A$1:$B$40,2,FALSE)</f>
        <v>#N/A</v>
      </c>
      <c r="Z349" s="59">
        <f t="shared" si="71"/>
        <v>0</v>
      </c>
      <c r="AA349" s="62">
        <f t="shared" si="72"/>
        <v>4.5</v>
      </c>
      <c r="AB349" s="62">
        <f t="shared" si="73"/>
        <v>0</v>
      </c>
      <c r="AC349" s="65" t="e">
        <f t="shared" si="76"/>
        <v>#N/A</v>
      </c>
      <c r="AD349" s="65">
        <f t="shared" si="74"/>
        <v>0</v>
      </c>
      <c r="AE349" s="66" t="e">
        <f t="shared" si="75"/>
        <v>#N/A</v>
      </c>
    </row>
    <row r="350" spans="1:31">
      <c r="A350" s="105" t="s">
        <v>533</v>
      </c>
      <c r="B350" s="33"/>
      <c r="C350" s="115"/>
      <c r="D350" s="55"/>
      <c r="E350" s="45"/>
      <c r="F350" s="21"/>
      <c r="G350" s="21"/>
      <c r="H350" s="42"/>
      <c r="I350" s="42"/>
      <c r="J350" s="42"/>
      <c r="K350" s="42"/>
      <c r="L350" s="42"/>
      <c r="M350" s="31" t="str">
        <f>IFERROR(VLOOKUP(W350,送料!$J$3:$K$42,2,FALSE),"")</f>
        <v/>
      </c>
      <c r="N350" s="108"/>
      <c r="O350" s="30"/>
      <c r="P350" s="30"/>
      <c r="Q350" s="30"/>
      <c r="R350" s="30"/>
      <c r="S350" s="30"/>
      <c r="T350" s="53">
        <f t="shared" si="67"/>
        <v>0</v>
      </c>
      <c r="U350" s="53">
        <f t="shared" si="68"/>
        <v>0</v>
      </c>
      <c r="V350" s="53">
        <f t="shared" si="69"/>
        <v>0</v>
      </c>
      <c r="W350" s="54">
        <f t="shared" si="70"/>
        <v>0</v>
      </c>
      <c r="X350" s="51" t="e">
        <f>VLOOKUP(W350,送料!$J$3:$K$42,2,FALSE)</f>
        <v>#N/A</v>
      </c>
      <c r="Y350" s="51" t="e">
        <f>VLOOKUP(X350,送料!$A$1:$B$40,2,FALSE)</f>
        <v>#N/A</v>
      </c>
      <c r="Z350" s="59">
        <f t="shared" si="71"/>
        <v>0</v>
      </c>
      <c r="AA350" s="62">
        <f t="shared" si="72"/>
        <v>4.5</v>
      </c>
      <c r="AB350" s="62">
        <f t="shared" si="73"/>
        <v>0</v>
      </c>
      <c r="AC350" s="65" t="e">
        <f t="shared" si="76"/>
        <v>#N/A</v>
      </c>
      <c r="AD350" s="65">
        <f t="shared" si="74"/>
        <v>0</v>
      </c>
      <c r="AE350" s="66" t="e">
        <f t="shared" si="75"/>
        <v>#N/A</v>
      </c>
    </row>
    <row r="351" spans="1:31">
      <c r="A351" s="105" t="s">
        <v>534</v>
      </c>
      <c r="B351" s="33"/>
      <c r="C351" s="115"/>
      <c r="D351" s="55"/>
      <c r="E351" s="45"/>
      <c r="F351" s="21"/>
      <c r="G351" s="21"/>
      <c r="H351" s="42"/>
      <c r="I351" s="42"/>
      <c r="J351" s="42"/>
      <c r="K351" s="42"/>
      <c r="L351" s="42"/>
      <c r="M351" s="31" t="str">
        <f>IFERROR(VLOOKUP(W351,送料!$J$3:$K$42,2,FALSE),"")</f>
        <v/>
      </c>
      <c r="N351" s="108"/>
      <c r="O351" s="30"/>
      <c r="P351" s="30"/>
      <c r="Q351" s="30"/>
      <c r="R351" s="30"/>
      <c r="S351" s="30"/>
      <c r="T351" s="53">
        <f t="shared" si="67"/>
        <v>0</v>
      </c>
      <c r="U351" s="53">
        <f t="shared" si="68"/>
        <v>0</v>
      </c>
      <c r="V351" s="53">
        <f t="shared" si="69"/>
        <v>0</v>
      </c>
      <c r="W351" s="54">
        <f t="shared" si="70"/>
        <v>0</v>
      </c>
      <c r="X351" s="51" t="e">
        <f>VLOOKUP(W351,送料!$J$3:$K$42,2,FALSE)</f>
        <v>#N/A</v>
      </c>
      <c r="Y351" s="51" t="e">
        <f>VLOOKUP(X351,送料!$A$1:$B$40,2,FALSE)</f>
        <v>#N/A</v>
      </c>
      <c r="Z351" s="59">
        <f t="shared" si="71"/>
        <v>0</v>
      </c>
      <c r="AA351" s="62">
        <f t="shared" si="72"/>
        <v>4.5</v>
      </c>
      <c r="AB351" s="62">
        <f t="shared" si="73"/>
        <v>0</v>
      </c>
      <c r="AC351" s="65" t="e">
        <f t="shared" si="76"/>
        <v>#N/A</v>
      </c>
      <c r="AD351" s="65">
        <f t="shared" si="74"/>
        <v>0</v>
      </c>
      <c r="AE351" s="66" t="e">
        <f t="shared" si="75"/>
        <v>#N/A</v>
      </c>
    </row>
    <row r="352" spans="1:31">
      <c r="A352" s="105" t="s">
        <v>535</v>
      </c>
      <c r="B352" s="33"/>
      <c r="C352" s="115"/>
      <c r="D352" s="55"/>
      <c r="E352" s="45"/>
      <c r="F352" s="21"/>
      <c r="G352" s="21"/>
      <c r="H352" s="42"/>
      <c r="I352" s="42"/>
      <c r="J352" s="42"/>
      <c r="K352" s="42"/>
      <c r="L352" s="42"/>
      <c r="M352" s="31" t="str">
        <f>IFERROR(VLOOKUP(W352,送料!$J$3:$K$42,2,FALSE),"")</f>
        <v/>
      </c>
      <c r="N352" s="108"/>
      <c r="O352" s="30"/>
      <c r="P352" s="30"/>
      <c r="Q352" s="30"/>
      <c r="R352" s="30"/>
      <c r="S352" s="30"/>
      <c r="T352" s="53">
        <f t="shared" si="67"/>
        <v>0</v>
      </c>
      <c r="U352" s="53">
        <f t="shared" si="68"/>
        <v>0</v>
      </c>
      <c r="V352" s="53">
        <f t="shared" si="69"/>
        <v>0</v>
      </c>
      <c r="W352" s="54">
        <f t="shared" si="70"/>
        <v>0</v>
      </c>
      <c r="X352" s="51" t="e">
        <f>VLOOKUP(W352,送料!$J$3:$K$42,2,FALSE)</f>
        <v>#N/A</v>
      </c>
      <c r="Y352" s="51" t="e">
        <f>VLOOKUP(X352,送料!$A$1:$B$40,2,FALSE)</f>
        <v>#N/A</v>
      </c>
      <c r="Z352" s="59">
        <f t="shared" si="71"/>
        <v>0</v>
      </c>
      <c r="AA352" s="62">
        <f t="shared" si="72"/>
        <v>4.5</v>
      </c>
      <c r="AB352" s="62">
        <f t="shared" si="73"/>
        <v>0</v>
      </c>
      <c r="AC352" s="65" t="e">
        <f t="shared" si="76"/>
        <v>#N/A</v>
      </c>
      <c r="AD352" s="65">
        <f t="shared" si="74"/>
        <v>0</v>
      </c>
      <c r="AE352" s="66" t="e">
        <f t="shared" si="75"/>
        <v>#N/A</v>
      </c>
    </row>
    <row r="353" spans="1:31">
      <c r="A353" s="105" t="s">
        <v>536</v>
      </c>
      <c r="B353" s="33"/>
      <c r="C353" s="115"/>
      <c r="D353" s="55"/>
      <c r="E353" s="45"/>
      <c r="F353" s="21"/>
      <c r="G353" s="21"/>
      <c r="H353" s="42"/>
      <c r="I353" s="42"/>
      <c r="J353" s="42"/>
      <c r="K353" s="42"/>
      <c r="L353" s="42"/>
      <c r="M353" s="31" t="str">
        <f>IFERROR(VLOOKUP(W353,送料!$J$3:$K$42,2,FALSE),"")</f>
        <v/>
      </c>
      <c r="N353" s="108"/>
      <c r="O353" s="30"/>
      <c r="P353" s="30"/>
      <c r="Q353" s="30"/>
      <c r="R353" s="30"/>
      <c r="S353" s="30"/>
      <c r="T353" s="53">
        <f t="shared" si="67"/>
        <v>0</v>
      </c>
      <c r="U353" s="53">
        <f t="shared" si="68"/>
        <v>0</v>
      </c>
      <c r="V353" s="53">
        <f t="shared" si="69"/>
        <v>0</v>
      </c>
      <c r="W353" s="54">
        <f t="shared" si="70"/>
        <v>0</v>
      </c>
      <c r="X353" s="51" t="e">
        <f>VLOOKUP(W353,送料!$J$3:$K$42,2,FALSE)</f>
        <v>#N/A</v>
      </c>
      <c r="Y353" s="51" t="e">
        <f>VLOOKUP(X353,送料!$A$1:$B$40,2,FALSE)</f>
        <v>#N/A</v>
      </c>
      <c r="Z353" s="59">
        <f t="shared" si="71"/>
        <v>0</v>
      </c>
      <c r="AA353" s="62">
        <f t="shared" si="72"/>
        <v>4.5</v>
      </c>
      <c r="AB353" s="62">
        <f t="shared" si="73"/>
        <v>0</v>
      </c>
      <c r="AC353" s="65" t="e">
        <f t="shared" si="76"/>
        <v>#N/A</v>
      </c>
      <c r="AD353" s="65">
        <f t="shared" si="74"/>
        <v>0</v>
      </c>
      <c r="AE353" s="66" t="e">
        <f t="shared" si="75"/>
        <v>#N/A</v>
      </c>
    </row>
    <row r="354" spans="1:31">
      <c r="A354" s="105" t="s">
        <v>537</v>
      </c>
      <c r="B354" s="33"/>
      <c r="C354" s="115"/>
      <c r="D354" s="55"/>
      <c r="E354" s="45"/>
      <c r="F354" s="21"/>
      <c r="G354" s="21"/>
      <c r="H354" s="42"/>
      <c r="I354" s="42"/>
      <c r="J354" s="42"/>
      <c r="K354" s="42"/>
      <c r="L354" s="42"/>
      <c r="M354" s="31" t="str">
        <f>IFERROR(VLOOKUP(W354,送料!$J$3:$K$42,2,FALSE),"")</f>
        <v/>
      </c>
      <c r="N354" s="108"/>
      <c r="O354" s="30"/>
      <c r="P354" s="30"/>
      <c r="Q354" s="30"/>
      <c r="R354" s="30"/>
      <c r="S354" s="30"/>
      <c r="T354" s="53">
        <f t="shared" si="67"/>
        <v>0</v>
      </c>
      <c r="U354" s="53">
        <f t="shared" si="68"/>
        <v>0</v>
      </c>
      <c r="V354" s="53">
        <f t="shared" si="69"/>
        <v>0</v>
      </c>
      <c r="W354" s="54">
        <f t="shared" si="70"/>
        <v>0</v>
      </c>
      <c r="X354" s="51" t="e">
        <f>VLOOKUP(W354,送料!$J$3:$K$42,2,FALSE)</f>
        <v>#N/A</v>
      </c>
      <c r="Y354" s="51" t="e">
        <f>VLOOKUP(X354,送料!$A$1:$B$40,2,FALSE)</f>
        <v>#N/A</v>
      </c>
      <c r="Z354" s="59">
        <f t="shared" si="71"/>
        <v>0</v>
      </c>
      <c r="AA354" s="62">
        <f t="shared" si="72"/>
        <v>4.5</v>
      </c>
      <c r="AB354" s="62">
        <f t="shared" si="73"/>
        <v>0</v>
      </c>
      <c r="AC354" s="65" t="e">
        <f t="shared" si="76"/>
        <v>#N/A</v>
      </c>
      <c r="AD354" s="65">
        <f t="shared" si="74"/>
        <v>0</v>
      </c>
      <c r="AE354" s="66" t="e">
        <f t="shared" si="75"/>
        <v>#N/A</v>
      </c>
    </row>
    <row r="355" spans="1:31">
      <c r="A355" s="105" t="s">
        <v>538</v>
      </c>
      <c r="B355" s="33"/>
      <c r="C355" s="115"/>
      <c r="D355" s="55"/>
      <c r="E355" s="45"/>
      <c r="F355" s="21"/>
      <c r="G355" s="21"/>
      <c r="H355" s="42"/>
      <c r="I355" s="42"/>
      <c r="J355" s="42"/>
      <c r="K355" s="42"/>
      <c r="L355" s="42"/>
      <c r="M355" s="31" t="str">
        <f>IFERROR(VLOOKUP(W355,送料!$J$3:$K$42,2,FALSE),"")</f>
        <v/>
      </c>
      <c r="N355" s="108"/>
      <c r="O355" s="30"/>
      <c r="P355" s="30"/>
      <c r="Q355" s="30"/>
      <c r="R355" s="30"/>
      <c r="S355" s="30"/>
      <c r="T355" s="53">
        <f t="shared" si="67"/>
        <v>0</v>
      </c>
      <c r="U355" s="53">
        <f t="shared" si="68"/>
        <v>0</v>
      </c>
      <c r="V355" s="53">
        <f t="shared" si="69"/>
        <v>0</v>
      </c>
      <c r="W355" s="54">
        <f t="shared" si="70"/>
        <v>0</v>
      </c>
      <c r="X355" s="51" t="e">
        <f>VLOOKUP(W355,送料!$J$3:$K$42,2,FALSE)</f>
        <v>#N/A</v>
      </c>
      <c r="Y355" s="51" t="e">
        <f>VLOOKUP(X355,送料!$A$1:$B$40,2,FALSE)</f>
        <v>#N/A</v>
      </c>
      <c r="Z355" s="59">
        <f t="shared" si="71"/>
        <v>0</v>
      </c>
      <c r="AA355" s="62">
        <f t="shared" si="72"/>
        <v>4.5</v>
      </c>
      <c r="AB355" s="62">
        <f t="shared" si="73"/>
        <v>0</v>
      </c>
      <c r="AC355" s="65" t="e">
        <f t="shared" si="76"/>
        <v>#N/A</v>
      </c>
      <c r="AD355" s="65">
        <f t="shared" si="74"/>
        <v>0</v>
      </c>
      <c r="AE355" s="66" t="e">
        <f t="shared" si="75"/>
        <v>#N/A</v>
      </c>
    </row>
    <row r="356" spans="1:31">
      <c r="A356" s="105" t="s">
        <v>539</v>
      </c>
      <c r="B356" s="33"/>
      <c r="C356" s="115"/>
      <c r="D356" s="55"/>
      <c r="E356" s="45"/>
      <c r="F356" s="21"/>
      <c r="G356" s="21"/>
      <c r="H356" s="42"/>
      <c r="I356" s="42"/>
      <c r="J356" s="42"/>
      <c r="K356" s="42"/>
      <c r="L356" s="42"/>
      <c r="M356" s="31" t="str">
        <f>IFERROR(VLOOKUP(W356,送料!$J$3:$K$42,2,FALSE),"")</f>
        <v/>
      </c>
      <c r="N356" s="108"/>
      <c r="O356" s="30"/>
      <c r="P356" s="30"/>
      <c r="Q356" s="30"/>
      <c r="R356" s="30"/>
      <c r="S356" s="30"/>
      <c r="T356" s="53">
        <f t="shared" si="67"/>
        <v>0</v>
      </c>
      <c r="U356" s="53">
        <f t="shared" si="68"/>
        <v>0</v>
      </c>
      <c r="V356" s="53">
        <f t="shared" si="69"/>
        <v>0</v>
      </c>
      <c r="W356" s="54">
        <f t="shared" si="70"/>
        <v>0</v>
      </c>
      <c r="X356" s="51" t="e">
        <f>VLOOKUP(W356,送料!$J$3:$K$42,2,FALSE)</f>
        <v>#N/A</v>
      </c>
      <c r="Y356" s="51" t="e">
        <f>VLOOKUP(X356,送料!$A$1:$B$40,2,FALSE)</f>
        <v>#N/A</v>
      </c>
      <c r="Z356" s="59">
        <f t="shared" si="71"/>
        <v>0</v>
      </c>
      <c r="AA356" s="62">
        <f t="shared" si="72"/>
        <v>4.5</v>
      </c>
      <c r="AB356" s="62">
        <f t="shared" si="73"/>
        <v>0</v>
      </c>
      <c r="AC356" s="65" t="e">
        <f t="shared" si="76"/>
        <v>#N/A</v>
      </c>
      <c r="AD356" s="65">
        <f t="shared" si="74"/>
        <v>0</v>
      </c>
      <c r="AE356" s="66" t="e">
        <f t="shared" si="75"/>
        <v>#N/A</v>
      </c>
    </row>
    <row r="357" spans="1:31">
      <c r="A357" s="105" t="s">
        <v>540</v>
      </c>
      <c r="B357" s="33"/>
      <c r="C357" s="115"/>
      <c r="D357" s="55"/>
      <c r="E357" s="45"/>
      <c r="F357" s="21"/>
      <c r="G357" s="21"/>
      <c r="H357" s="42"/>
      <c r="I357" s="42"/>
      <c r="J357" s="42"/>
      <c r="K357" s="42"/>
      <c r="L357" s="42"/>
      <c r="M357" s="31" t="str">
        <f>IFERROR(VLOOKUP(W357,送料!$J$3:$K$42,2,FALSE),"")</f>
        <v/>
      </c>
      <c r="N357" s="108"/>
      <c r="O357" s="30"/>
      <c r="P357" s="30"/>
      <c r="Q357" s="30"/>
      <c r="R357" s="30"/>
      <c r="S357" s="30"/>
      <c r="T357" s="53">
        <f t="shared" si="67"/>
        <v>0</v>
      </c>
      <c r="U357" s="53">
        <f t="shared" si="68"/>
        <v>0</v>
      </c>
      <c r="V357" s="53">
        <f t="shared" si="69"/>
        <v>0</v>
      </c>
      <c r="W357" s="54">
        <f t="shared" si="70"/>
        <v>0</v>
      </c>
      <c r="X357" s="51" t="e">
        <f>VLOOKUP(W357,送料!$J$3:$K$42,2,FALSE)</f>
        <v>#N/A</v>
      </c>
      <c r="Y357" s="51" t="e">
        <f>VLOOKUP(X357,送料!$A$1:$B$40,2,FALSE)</f>
        <v>#N/A</v>
      </c>
      <c r="Z357" s="59">
        <f t="shared" si="71"/>
        <v>0</v>
      </c>
      <c r="AA357" s="62">
        <f t="shared" si="72"/>
        <v>4.5</v>
      </c>
      <c r="AB357" s="62">
        <f t="shared" si="73"/>
        <v>0</v>
      </c>
      <c r="AC357" s="65" t="e">
        <f t="shared" si="76"/>
        <v>#N/A</v>
      </c>
      <c r="AD357" s="65">
        <f t="shared" si="74"/>
        <v>0</v>
      </c>
      <c r="AE357" s="66" t="e">
        <f t="shared" si="75"/>
        <v>#N/A</v>
      </c>
    </row>
    <row r="358" spans="1:31">
      <c r="A358" s="105" t="s">
        <v>541</v>
      </c>
      <c r="B358" s="33"/>
      <c r="C358" s="115"/>
      <c r="D358" s="55"/>
      <c r="E358" s="45"/>
      <c r="F358" s="21"/>
      <c r="G358" s="21"/>
      <c r="H358" s="42"/>
      <c r="I358" s="42"/>
      <c r="J358" s="42"/>
      <c r="K358" s="42"/>
      <c r="L358" s="42"/>
      <c r="M358" s="31" t="str">
        <f>IFERROR(VLOOKUP(W358,送料!$J$3:$K$42,2,FALSE),"")</f>
        <v/>
      </c>
      <c r="N358" s="108"/>
      <c r="O358" s="30"/>
      <c r="P358" s="30"/>
      <c r="Q358" s="30"/>
      <c r="R358" s="30"/>
      <c r="S358" s="30"/>
      <c r="T358" s="53">
        <f t="shared" si="67"/>
        <v>0</v>
      </c>
      <c r="U358" s="53">
        <f t="shared" si="68"/>
        <v>0</v>
      </c>
      <c r="V358" s="53">
        <f t="shared" si="69"/>
        <v>0</v>
      </c>
      <c r="W358" s="54">
        <f t="shared" si="70"/>
        <v>0</v>
      </c>
      <c r="X358" s="51" t="e">
        <f>VLOOKUP(W358,送料!$J$3:$K$42,2,FALSE)</f>
        <v>#N/A</v>
      </c>
      <c r="Y358" s="51" t="e">
        <f>VLOOKUP(X358,送料!$A$1:$B$40,2,FALSE)</f>
        <v>#N/A</v>
      </c>
      <c r="Z358" s="59">
        <f t="shared" si="71"/>
        <v>0</v>
      </c>
      <c r="AA358" s="62">
        <f t="shared" si="72"/>
        <v>4.5</v>
      </c>
      <c r="AB358" s="62">
        <f t="shared" si="73"/>
        <v>0</v>
      </c>
      <c r="AC358" s="65" t="e">
        <f t="shared" si="76"/>
        <v>#N/A</v>
      </c>
      <c r="AD358" s="65">
        <f t="shared" si="74"/>
        <v>0</v>
      </c>
      <c r="AE358" s="66" t="e">
        <f t="shared" si="75"/>
        <v>#N/A</v>
      </c>
    </row>
    <row r="359" spans="1:31">
      <c r="A359" s="105" t="s">
        <v>542</v>
      </c>
      <c r="B359" s="33"/>
      <c r="C359" s="115"/>
      <c r="D359" s="55"/>
      <c r="E359" s="45"/>
      <c r="F359" s="21"/>
      <c r="G359" s="21"/>
      <c r="H359" s="42"/>
      <c r="I359" s="42"/>
      <c r="J359" s="42"/>
      <c r="K359" s="42"/>
      <c r="L359" s="42"/>
      <c r="M359" s="31" t="str">
        <f>IFERROR(VLOOKUP(W359,送料!$J$3:$K$42,2,FALSE),"")</f>
        <v/>
      </c>
      <c r="N359" s="108"/>
      <c r="O359" s="30"/>
      <c r="P359" s="30"/>
      <c r="Q359" s="30"/>
      <c r="R359" s="30"/>
      <c r="S359" s="30"/>
      <c r="T359" s="53">
        <f t="shared" si="67"/>
        <v>0</v>
      </c>
      <c r="U359" s="53">
        <f t="shared" si="68"/>
        <v>0</v>
      </c>
      <c r="V359" s="53">
        <f t="shared" si="69"/>
        <v>0</v>
      </c>
      <c r="W359" s="54">
        <f t="shared" si="70"/>
        <v>0</v>
      </c>
      <c r="X359" s="51" t="e">
        <f>VLOOKUP(W359,送料!$J$3:$K$42,2,FALSE)</f>
        <v>#N/A</v>
      </c>
      <c r="Y359" s="51" t="e">
        <f>VLOOKUP(X359,送料!$A$1:$B$40,2,FALSE)</f>
        <v>#N/A</v>
      </c>
      <c r="Z359" s="59">
        <f t="shared" si="71"/>
        <v>0</v>
      </c>
      <c r="AA359" s="62">
        <f t="shared" si="72"/>
        <v>4.5</v>
      </c>
      <c r="AB359" s="62">
        <f t="shared" si="73"/>
        <v>0</v>
      </c>
      <c r="AC359" s="65" t="e">
        <f t="shared" si="76"/>
        <v>#N/A</v>
      </c>
      <c r="AD359" s="65">
        <f t="shared" si="74"/>
        <v>0</v>
      </c>
      <c r="AE359" s="66" t="e">
        <f t="shared" si="75"/>
        <v>#N/A</v>
      </c>
    </row>
    <row r="360" spans="1:31">
      <c r="A360" s="105" t="s">
        <v>543</v>
      </c>
      <c r="B360" s="33"/>
      <c r="C360" s="115"/>
      <c r="D360" s="55"/>
      <c r="E360" s="45"/>
      <c r="F360" s="21"/>
      <c r="G360" s="21"/>
      <c r="H360" s="42"/>
      <c r="I360" s="42"/>
      <c r="J360" s="42"/>
      <c r="K360" s="42"/>
      <c r="L360" s="42"/>
      <c r="M360" s="31" t="str">
        <f>IFERROR(VLOOKUP(W360,送料!$J$3:$K$42,2,FALSE),"")</f>
        <v/>
      </c>
      <c r="N360" s="108"/>
      <c r="O360" s="30"/>
      <c r="P360" s="30"/>
      <c r="Q360" s="30"/>
      <c r="R360" s="30"/>
      <c r="S360" s="30"/>
      <c r="T360" s="53">
        <f t="shared" si="67"/>
        <v>0</v>
      </c>
      <c r="U360" s="53">
        <f t="shared" si="68"/>
        <v>0</v>
      </c>
      <c r="V360" s="53">
        <f t="shared" si="69"/>
        <v>0</v>
      </c>
      <c r="W360" s="54">
        <f t="shared" si="70"/>
        <v>0</v>
      </c>
      <c r="X360" s="51" t="e">
        <f>VLOOKUP(W360,送料!$J$3:$K$42,2,FALSE)</f>
        <v>#N/A</v>
      </c>
      <c r="Y360" s="51" t="e">
        <f>VLOOKUP(X360,送料!$A$1:$B$40,2,FALSE)</f>
        <v>#N/A</v>
      </c>
      <c r="Z360" s="59">
        <f t="shared" si="71"/>
        <v>0</v>
      </c>
      <c r="AA360" s="62">
        <f t="shared" si="72"/>
        <v>4.5</v>
      </c>
      <c r="AB360" s="62">
        <f t="shared" si="73"/>
        <v>0</v>
      </c>
      <c r="AC360" s="65" t="e">
        <f t="shared" si="76"/>
        <v>#N/A</v>
      </c>
      <c r="AD360" s="65">
        <f t="shared" si="74"/>
        <v>0</v>
      </c>
      <c r="AE360" s="66" t="e">
        <f t="shared" si="75"/>
        <v>#N/A</v>
      </c>
    </row>
    <row r="361" spans="1:31">
      <c r="A361" s="105" t="s">
        <v>544</v>
      </c>
      <c r="B361" s="33"/>
      <c r="C361" s="115"/>
      <c r="D361" s="55"/>
      <c r="E361" s="45"/>
      <c r="F361" s="21"/>
      <c r="G361" s="21"/>
      <c r="H361" s="42"/>
      <c r="I361" s="42"/>
      <c r="J361" s="42"/>
      <c r="K361" s="42"/>
      <c r="L361" s="42"/>
      <c r="M361" s="31" t="str">
        <f>IFERROR(VLOOKUP(W361,送料!$J$3:$K$42,2,FALSE),"")</f>
        <v/>
      </c>
      <c r="N361" s="108"/>
      <c r="O361" s="30"/>
      <c r="P361" s="30"/>
      <c r="Q361" s="30"/>
      <c r="R361" s="30"/>
      <c r="S361" s="30"/>
      <c r="T361" s="53">
        <f t="shared" si="67"/>
        <v>0</v>
      </c>
      <c r="U361" s="53">
        <f t="shared" si="68"/>
        <v>0</v>
      </c>
      <c r="V361" s="53">
        <f t="shared" si="69"/>
        <v>0</v>
      </c>
      <c r="W361" s="54">
        <f t="shared" si="70"/>
        <v>0</v>
      </c>
      <c r="X361" s="51" t="e">
        <f>VLOOKUP(W361,送料!$J$3:$K$42,2,FALSE)</f>
        <v>#N/A</v>
      </c>
      <c r="Y361" s="51" t="e">
        <f>VLOOKUP(X361,送料!$A$1:$B$40,2,FALSE)</f>
        <v>#N/A</v>
      </c>
      <c r="Z361" s="59">
        <f t="shared" si="71"/>
        <v>0</v>
      </c>
      <c r="AA361" s="62">
        <f t="shared" si="72"/>
        <v>4.5</v>
      </c>
      <c r="AB361" s="62">
        <f t="shared" si="73"/>
        <v>0</v>
      </c>
      <c r="AC361" s="65" t="e">
        <f t="shared" si="76"/>
        <v>#N/A</v>
      </c>
      <c r="AD361" s="65">
        <f t="shared" si="74"/>
        <v>0</v>
      </c>
      <c r="AE361" s="66" t="e">
        <f t="shared" si="75"/>
        <v>#N/A</v>
      </c>
    </row>
    <row r="362" spans="1:31">
      <c r="A362" s="105" t="s">
        <v>545</v>
      </c>
      <c r="B362" s="33"/>
      <c r="C362" s="115"/>
      <c r="D362" s="55"/>
      <c r="E362" s="45"/>
      <c r="F362" s="21"/>
      <c r="G362" s="21"/>
      <c r="H362" s="42"/>
      <c r="I362" s="42"/>
      <c r="J362" s="42"/>
      <c r="K362" s="42"/>
      <c r="L362" s="42"/>
      <c r="M362" s="31" t="str">
        <f>IFERROR(VLOOKUP(W362,送料!$J$3:$K$42,2,FALSE),"")</f>
        <v/>
      </c>
      <c r="N362" s="108"/>
      <c r="O362" s="30"/>
      <c r="P362" s="30"/>
      <c r="Q362" s="30"/>
      <c r="R362" s="30"/>
      <c r="S362" s="30"/>
      <c r="T362" s="53">
        <f t="shared" si="67"/>
        <v>0</v>
      </c>
      <c r="U362" s="53">
        <f t="shared" si="68"/>
        <v>0</v>
      </c>
      <c r="V362" s="53">
        <f t="shared" si="69"/>
        <v>0</v>
      </c>
      <c r="W362" s="54">
        <f t="shared" si="70"/>
        <v>0</v>
      </c>
      <c r="X362" s="51" t="e">
        <f>VLOOKUP(W362,送料!$J$3:$K$42,2,FALSE)</f>
        <v>#N/A</v>
      </c>
      <c r="Y362" s="51" t="e">
        <f>VLOOKUP(X362,送料!$A$1:$B$40,2,FALSE)</f>
        <v>#N/A</v>
      </c>
      <c r="Z362" s="59">
        <f t="shared" si="71"/>
        <v>0</v>
      </c>
      <c r="AA362" s="62">
        <f t="shared" si="72"/>
        <v>4.5</v>
      </c>
      <c r="AB362" s="62">
        <f t="shared" si="73"/>
        <v>0</v>
      </c>
      <c r="AC362" s="65" t="e">
        <f t="shared" si="76"/>
        <v>#N/A</v>
      </c>
      <c r="AD362" s="65">
        <f t="shared" si="74"/>
        <v>0</v>
      </c>
      <c r="AE362" s="66" t="e">
        <f t="shared" si="75"/>
        <v>#N/A</v>
      </c>
    </row>
    <row r="363" spans="1:31">
      <c r="A363" s="105" t="s">
        <v>546</v>
      </c>
      <c r="B363" s="33"/>
      <c r="C363" s="115"/>
      <c r="D363" s="55"/>
      <c r="E363" s="45"/>
      <c r="F363" s="21"/>
      <c r="G363" s="21"/>
      <c r="H363" s="42"/>
      <c r="I363" s="42"/>
      <c r="J363" s="42"/>
      <c r="K363" s="42"/>
      <c r="L363" s="42"/>
      <c r="M363" s="31" t="str">
        <f>IFERROR(VLOOKUP(W363,送料!$J$3:$K$42,2,FALSE),"")</f>
        <v/>
      </c>
      <c r="N363" s="108"/>
      <c r="O363" s="30"/>
      <c r="P363" s="30"/>
      <c r="Q363" s="30"/>
      <c r="R363" s="30"/>
      <c r="S363" s="30"/>
      <c r="T363" s="53">
        <f t="shared" si="67"/>
        <v>0</v>
      </c>
      <c r="U363" s="53">
        <f t="shared" si="68"/>
        <v>0</v>
      </c>
      <c r="V363" s="53">
        <f t="shared" si="69"/>
        <v>0</v>
      </c>
      <c r="W363" s="54">
        <f t="shared" si="70"/>
        <v>0</v>
      </c>
      <c r="X363" s="51" t="e">
        <f>VLOOKUP(W363,送料!$J$3:$K$42,2,FALSE)</f>
        <v>#N/A</v>
      </c>
      <c r="Y363" s="51" t="e">
        <f>VLOOKUP(X363,送料!$A$1:$B$40,2,FALSE)</f>
        <v>#N/A</v>
      </c>
      <c r="Z363" s="59">
        <f t="shared" si="71"/>
        <v>0</v>
      </c>
      <c r="AA363" s="62">
        <f t="shared" si="72"/>
        <v>4.5</v>
      </c>
      <c r="AB363" s="62">
        <f t="shared" si="73"/>
        <v>0</v>
      </c>
      <c r="AC363" s="65" t="e">
        <f t="shared" si="76"/>
        <v>#N/A</v>
      </c>
      <c r="AD363" s="65">
        <f t="shared" si="74"/>
        <v>0</v>
      </c>
      <c r="AE363" s="66" t="e">
        <f t="shared" si="75"/>
        <v>#N/A</v>
      </c>
    </row>
    <row r="364" spans="1:31">
      <c r="A364" s="105" t="s">
        <v>547</v>
      </c>
      <c r="B364" s="33"/>
      <c r="C364" s="115"/>
      <c r="D364" s="55"/>
      <c r="E364" s="45"/>
      <c r="F364" s="21"/>
      <c r="G364" s="21"/>
      <c r="H364" s="42"/>
      <c r="I364" s="42"/>
      <c r="J364" s="42"/>
      <c r="K364" s="42"/>
      <c r="L364" s="42"/>
      <c r="M364" s="31" t="str">
        <f>IFERROR(VLOOKUP(W364,送料!$J$3:$K$42,2,FALSE),"")</f>
        <v/>
      </c>
      <c r="N364" s="108"/>
      <c r="O364" s="30"/>
      <c r="P364" s="30"/>
      <c r="Q364" s="30"/>
      <c r="R364" s="30"/>
      <c r="S364" s="30"/>
      <c r="T364" s="53">
        <f t="shared" si="67"/>
        <v>0</v>
      </c>
      <c r="U364" s="53">
        <f t="shared" si="68"/>
        <v>0</v>
      </c>
      <c r="V364" s="53">
        <f t="shared" si="69"/>
        <v>0</v>
      </c>
      <c r="W364" s="54">
        <f t="shared" si="70"/>
        <v>0</v>
      </c>
      <c r="X364" s="51" t="e">
        <f>VLOOKUP(W364,送料!$J$3:$K$42,2,FALSE)</f>
        <v>#N/A</v>
      </c>
      <c r="Y364" s="51" t="e">
        <f>VLOOKUP(X364,送料!$A$1:$B$40,2,FALSE)</f>
        <v>#N/A</v>
      </c>
      <c r="Z364" s="59">
        <f t="shared" si="71"/>
        <v>0</v>
      </c>
      <c r="AA364" s="62">
        <f t="shared" si="72"/>
        <v>4.5</v>
      </c>
      <c r="AB364" s="62">
        <f t="shared" si="73"/>
        <v>0</v>
      </c>
      <c r="AC364" s="65" t="e">
        <f t="shared" si="76"/>
        <v>#N/A</v>
      </c>
      <c r="AD364" s="65">
        <f t="shared" si="74"/>
        <v>0</v>
      </c>
      <c r="AE364" s="66" t="e">
        <f t="shared" si="75"/>
        <v>#N/A</v>
      </c>
    </row>
    <row r="365" spans="1:31">
      <c r="A365" s="105" t="s">
        <v>548</v>
      </c>
      <c r="B365" s="33"/>
      <c r="C365" s="115"/>
      <c r="D365" s="55"/>
      <c r="E365" s="45"/>
      <c r="F365" s="21"/>
      <c r="G365" s="21"/>
      <c r="H365" s="42"/>
      <c r="I365" s="42"/>
      <c r="J365" s="42"/>
      <c r="K365" s="42"/>
      <c r="L365" s="42"/>
      <c r="M365" s="31" t="str">
        <f>IFERROR(VLOOKUP(W365,送料!$J$3:$K$42,2,FALSE),"")</f>
        <v/>
      </c>
      <c r="N365" s="108"/>
      <c r="O365" s="30"/>
      <c r="P365" s="30"/>
      <c r="Q365" s="30"/>
      <c r="R365" s="30"/>
      <c r="S365" s="30"/>
      <c r="T365" s="53">
        <f t="shared" si="67"/>
        <v>0</v>
      </c>
      <c r="U365" s="53">
        <f t="shared" si="68"/>
        <v>0</v>
      </c>
      <c r="V365" s="53">
        <f t="shared" si="69"/>
        <v>0</v>
      </c>
      <c r="W365" s="54">
        <f t="shared" si="70"/>
        <v>0</v>
      </c>
      <c r="X365" s="51" t="e">
        <f>VLOOKUP(W365,送料!$J$3:$K$42,2,FALSE)</f>
        <v>#N/A</v>
      </c>
      <c r="Y365" s="51" t="e">
        <f>VLOOKUP(X365,送料!$A$1:$B$40,2,FALSE)</f>
        <v>#N/A</v>
      </c>
      <c r="Z365" s="59">
        <f t="shared" si="71"/>
        <v>0</v>
      </c>
      <c r="AA365" s="62">
        <f t="shared" si="72"/>
        <v>4.5</v>
      </c>
      <c r="AB365" s="62">
        <f t="shared" si="73"/>
        <v>0</v>
      </c>
      <c r="AC365" s="65" t="e">
        <f t="shared" si="76"/>
        <v>#N/A</v>
      </c>
      <c r="AD365" s="65">
        <f t="shared" si="74"/>
        <v>0</v>
      </c>
      <c r="AE365" s="66" t="e">
        <f t="shared" si="75"/>
        <v>#N/A</v>
      </c>
    </row>
    <row r="366" spans="1:31">
      <c r="A366" s="105" t="s">
        <v>549</v>
      </c>
      <c r="B366" s="33"/>
      <c r="C366" s="115"/>
      <c r="D366" s="55"/>
      <c r="E366" s="45"/>
      <c r="F366" s="21"/>
      <c r="G366" s="21"/>
      <c r="H366" s="42"/>
      <c r="I366" s="42"/>
      <c r="J366" s="42"/>
      <c r="K366" s="42"/>
      <c r="L366" s="42"/>
      <c r="M366" s="31" t="str">
        <f>IFERROR(VLOOKUP(W366,送料!$J$3:$K$42,2,FALSE),"")</f>
        <v/>
      </c>
      <c r="N366" s="108"/>
      <c r="O366" s="30"/>
      <c r="P366" s="30"/>
      <c r="Q366" s="30"/>
      <c r="R366" s="30"/>
      <c r="S366" s="30"/>
      <c r="T366" s="53">
        <f t="shared" si="67"/>
        <v>0</v>
      </c>
      <c r="U366" s="53">
        <f t="shared" si="68"/>
        <v>0</v>
      </c>
      <c r="V366" s="53">
        <f t="shared" si="69"/>
        <v>0</v>
      </c>
      <c r="W366" s="54">
        <f t="shared" si="70"/>
        <v>0</v>
      </c>
      <c r="X366" s="51" t="e">
        <f>VLOOKUP(W366,送料!$J$3:$K$42,2,FALSE)</f>
        <v>#N/A</v>
      </c>
      <c r="Y366" s="51" t="e">
        <f>VLOOKUP(X366,送料!$A$1:$B$40,2,FALSE)</f>
        <v>#N/A</v>
      </c>
      <c r="Z366" s="59">
        <f t="shared" si="71"/>
        <v>0</v>
      </c>
      <c r="AA366" s="62">
        <f t="shared" si="72"/>
        <v>4.5</v>
      </c>
      <c r="AB366" s="62">
        <f t="shared" si="73"/>
        <v>0</v>
      </c>
      <c r="AC366" s="65" t="e">
        <f t="shared" si="76"/>
        <v>#N/A</v>
      </c>
      <c r="AD366" s="65">
        <f t="shared" si="74"/>
        <v>0</v>
      </c>
      <c r="AE366" s="66" t="e">
        <f t="shared" si="75"/>
        <v>#N/A</v>
      </c>
    </row>
    <row r="367" spans="1:31">
      <c r="A367" s="105" t="s">
        <v>550</v>
      </c>
      <c r="B367" s="33"/>
      <c r="C367" s="115"/>
      <c r="D367" s="55"/>
      <c r="E367" s="45"/>
      <c r="F367" s="21"/>
      <c r="G367" s="21"/>
      <c r="H367" s="42"/>
      <c r="I367" s="42"/>
      <c r="J367" s="42"/>
      <c r="K367" s="42"/>
      <c r="L367" s="42"/>
      <c r="M367" s="31" t="str">
        <f>IFERROR(VLOOKUP(W367,送料!$J$3:$K$42,2,FALSE),"")</f>
        <v/>
      </c>
      <c r="N367" s="108"/>
      <c r="O367" s="30"/>
      <c r="P367" s="30"/>
      <c r="Q367" s="30"/>
      <c r="R367" s="30"/>
      <c r="S367" s="30"/>
      <c r="T367" s="53">
        <f t="shared" si="67"/>
        <v>0</v>
      </c>
      <c r="U367" s="53">
        <f t="shared" si="68"/>
        <v>0</v>
      </c>
      <c r="V367" s="53">
        <f t="shared" si="69"/>
        <v>0</v>
      </c>
      <c r="W367" s="54">
        <f t="shared" si="70"/>
        <v>0</v>
      </c>
      <c r="X367" s="51" t="e">
        <f>VLOOKUP(W367,送料!$J$3:$K$42,2,FALSE)</f>
        <v>#N/A</v>
      </c>
      <c r="Y367" s="51" t="e">
        <f>VLOOKUP(X367,送料!$A$1:$B$40,2,FALSE)</f>
        <v>#N/A</v>
      </c>
      <c r="Z367" s="59">
        <f t="shared" si="71"/>
        <v>0</v>
      </c>
      <c r="AA367" s="62">
        <f t="shared" si="72"/>
        <v>4.5</v>
      </c>
      <c r="AB367" s="62">
        <f t="shared" si="73"/>
        <v>0</v>
      </c>
      <c r="AC367" s="65" t="e">
        <f t="shared" si="76"/>
        <v>#N/A</v>
      </c>
      <c r="AD367" s="65">
        <f t="shared" si="74"/>
        <v>0</v>
      </c>
      <c r="AE367" s="66" t="e">
        <f t="shared" si="75"/>
        <v>#N/A</v>
      </c>
    </row>
    <row r="368" spans="1:31">
      <c r="A368" s="105" t="s">
        <v>551</v>
      </c>
      <c r="B368" s="33"/>
      <c r="C368" s="115"/>
      <c r="D368" s="55"/>
      <c r="E368" s="45"/>
      <c r="F368" s="21"/>
      <c r="G368" s="21"/>
      <c r="H368" s="42"/>
      <c r="I368" s="42"/>
      <c r="J368" s="42"/>
      <c r="K368" s="42"/>
      <c r="L368" s="42"/>
      <c r="M368" s="31" t="str">
        <f>IFERROR(VLOOKUP(W368,送料!$J$3:$K$42,2,FALSE),"")</f>
        <v/>
      </c>
      <c r="N368" s="108"/>
      <c r="O368" s="30"/>
      <c r="P368" s="30"/>
      <c r="Q368" s="30"/>
      <c r="R368" s="30"/>
      <c r="S368" s="30"/>
      <c r="T368" s="53">
        <f t="shared" si="67"/>
        <v>0</v>
      </c>
      <c r="U368" s="53">
        <f t="shared" si="68"/>
        <v>0</v>
      </c>
      <c r="V368" s="53">
        <f t="shared" si="69"/>
        <v>0</v>
      </c>
      <c r="W368" s="54">
        <f t="shared" si="70"/>
        <v>0</v>
      </c>
      <c r="X368" s="51" t="e">
        <f>VLOOKUP(W368,送料!$J$3:$K$42,2,FALSE)</f>
        <v>#N/A</v>
      </c>
      <c r="Y368" s="51" t="e">
        <f>VLOOKUP(X368,送料!$A$1:$B$40,2,FALSE)</f>
        <v>#N/A</v>
      </c>
      <c r="Z368" s="59">
        <f t="shared" si="71"/>
        <v>0</v>
      </c>
      <c r="AA368" s="62">
        <f t="shared" si="72"/>
        <v>4.5</v>
      </c>
      <c r="AB368" s="62">
        <f t="shared" si="73"/>
        <v>0</v>
      </c>
      <c r="AC368" s="65" t="e">
        <f t="shared" si="76"/>
        <v>#N/A</v>
      </c>
      <c r="AD368" s="65">
        <f t="shared" si="74"/>
        <v>0</v>
      </c>
      <c r="AE368" s="66" t="e">
        <f t="shared" si="75"/>
        <v>#N/A</v>
      </c>
    </row>
    <row r="369" spans="1:31">
      <c r="A369" s="105" t="s">
        <v>552</v>
      </c>
      <c r="B369" s="33"/>
      <c r="C369" s="115"/>
      <c r="D369" s="55"/>
      <c r="E369" s="45"/>
      <c r="F369" s="21"/>
      <c r="G369" s="21"/>
      <c r="H369" s="42"/>
      <c r="I369" s="42"/>
      <c r="J369" s="42"/>
      <c r="K369" s="42"/>
      <c r="L369" s="42"/>
      <c r="M369" s="31" t="str">
        <f>IFERROR(VLOOKUP(W369,送料!$J$3:$K$42,2,FALSE),"")</f>
        <v/>
      </c>
      <c r="N369" s="108"/>
      <c r="O369" s="30"/>
      <c r="P369" s="30"/>
      <c r="Q369" s="30"/>
      <c r="R369" s="30"/>
      <c r="S369" s="30"/>
      <c r="T369" s="53">
        <f t="shared" si="67"/>
        <v>0</v>
      </c>
      <c r="U369" s="53">
        <f t="shared" si="68"/>
        <v>0</v>
      </c>
      <c r="V369" s="53">
        <f t="shared" si="69"/>
        <v>0</v>
      </c>
      <c r="W369" s="54">
        <f t="shared" si="70"/>
        <v>0</v>
      </c>
      <c r="X369" s="51" t="e">
        <f>VLOOKUP(W369,送料!$J$3:$K$42,2,FALSE)</f>
        <v>#N/A</v>
      </c>
      <c r="Y369" s="51" t="e">
        <f>VLOOKUP(X369,送料!$A$1:$B$40,2,FALSE)</f>
        <v>#N/A</v>
      </c>
      <c r="Z369" s="59">
        <f t="shared" si="71"/>
        <v>0</v>
      </c>
      <c r="AA369" s="62">
        <f t="shared" si="72"/>
        <v>4.5</v>
      </c>
      <c r="AB369" s="62">
        <f t="shared" si="73"/>
        <v>0</v>
      </c>
      <c r="AC369" s="65" t="e">
        <f t="shared" si="76"/>
        <v>#N/A</v>
      </c>
      <c r="AD369" s="65">
        <f t="shared" si="74"/>
        <v>0</v>
      </c>
      <c r="AE369" s="66" t="e">
        <f t="shared" si="75"/>
        <v>#N/A</v>
      </c>
    </row>
    <row r="370" spans="1:31">
      <c r="A370" s="105" t="s">
        <v>553</v>
      </c>
      <c r="B370" s="33"/>
      <c r="C370" s="115"/>
      <c r="D370" s="55"/>
      <c r="E370" s="45"/>
      <c r="F370" s="21"/>
      <c r="G370" s="21"/>
      <c r="H370" s="42"/>
      <c r="I370" s="42"/>
      <c r="J370" s="42"/>
      <c r="K370" s="42"/>
      <c r="L370" s="42"/>
      <c r="M370" s="31" t="str">
        <f>IFERROR(VLOOKUP(W370,送料!$J$3:$K$42,2,FALSE),"")</f>
        <v/>
      </c>
      <c r="N370" s="108"/>
      <c r="O370" s="30"/>
      <c r="P370" s="30"/>
      <c r="Q370" s="30"/>
      <c r="R370" s="30"/>
      <c r="S370" s="30"/>
      <c r="T370" s="53">
        <f t="shared" ref="T370:T400" si="77">O370</f>
        <v>0</v>
      </c>
      <c r="U370" s="53">
        <f t="shared" ref="U370:U400" si="78">(P370*Q370*R370)/5000</f>
        <v>0</v>
      </c>
      <c r="V370" s="53">
        <f t="shared" ref="V370:V400" si="79">MAX(T370,U370)</f>
        <v>0</v>
      </c>
      <c r="W370" s="54">
        <f t="shared" ref="W370:W400" si="80">CEILING(ROUNDDOWN(V370,2),0.5)</f>
        <v>0</v>
      </c>
      <c r="X370" s="51" t="e">
        <f>VLOOKUP(W370,送料!$J$3:$K$42,2,FALSE)</f>
        <v>#N/A</v>
      </c>
      <c r="Y370" s="51" t="e">
        <f>VLOOKUP(X370,送料!$A$1:$B$40,2,FALSE)</f>
        <v>#N/A</v>
      </c>
      <c r="Z370" s="59">
        <f t="shared" ref="Z370:Z400" si="81">(N370*S370)*0.16</f>
        <v>0</v>
      </c>
      <c r="AA370" s="62">
        <f t="shared" ref="AA370:AA400" si="82">(N370*0.15)+4.5</f>
        <v>4.5</v>
      </c>
      <c r="AB370" s="62">
        <f t="shared" ref="AB370:AB400" si="83">S370*AA370</f>
        <v>0</v>
      </c>
      <c r="AC370" s="65" t="e">
        <f t="shared" si="76"/>
        <v>#N/A</v>
      </c>
      <c r="AD370" s="65">
        <f t="shared" ref="AD370:AD400" si="84">N370*S370</f>
        <v>0</v>
      </c>
      <c r="AE370" s="66" t="e">
        <f t="shared" ref="AE370:AE400" si="85">AD370-AC370</f>
        <v>#N/A</v>
      </c>
    </row>
    <row r="371" spans="1:31">
      <c r="A371" s="105" t="s">
        <v>554</v>
      </c>
      <c r="B371" s="33"/>
      <c r="C371" s="115"/>
      <c r="D371" s="55"/>
      <c r="E371" s="45"/>
      <c r="F371" s="21"/>
      <c r="G371" s="21"/>
      <c r="H371" s="42"/>
      <c r="I371" s="42"/>
      <c r="J371" s="42"/>
      <c r="K371" s="42"/>
      <c r="L371" s="42"/>
      <c r="M371" s="31" t="str">
        <f>IFERROR(VLOOKUP(W371,送料!$J$3:$K$42,2,FALSE),"")</f>
        <v/>
      </c>
      <c r="N371" s="108"/>
      <c r="O371" s="30"/>
      <c r="P371" s="30"/>
      <c r="Q371" s="30"/>
      <c r="R371" s="30"/>
      <c r="S371" s="30"/>
      <c r="T371" s="53">
        <f t="shared" si="77"/>
        <v>0</v>
      </c>
      <c r="U371" s="53">
        <f t="shared" si="78"/>
        <v>0</v>
      </c>
      <c r="V371" s="53">
        <f t="shared" si="79"/>
        <v>0</v>
      </c>
      <c r="W371" s="54">
        <f t="shared" si="80"/>
        <v>0</v>
      </c>
      <c r="X371" s="51" t="e">
        <f>VLOOKUP(W371,送料!$J$3:$K$42,2,FALSE)</f>
        <v>#N/A</v>
      </c>
      <c r="Y371" s="51" t="e">
        <f>VLOOKUP(X371,送料!$A$1:$B$40,2,FALSE)</f>
        <v>#N/A</v>
      </c>
      <c r="Z371" s="59">
        <f t="shared" si="81"/>
        <v>0</v>
      </c>
      <c r="AA371" s="62">
        <f t="shared" si="82"/>
        <v>4.5</v>
      </c>
      <c r="AB371" s="62">
        <f t="shared" si="83"/>
        <v>0</v>
      </c>
      <c r="AC371" s="65" t="e">
        <f t="shared" si="76"/>
        <v>#N/A</v>
      </c>
      <c r="AD371" s="65">
        <f t="shared" si="84"/>
        <v>0</v>
      </c>
      <c r="AE371" s="66" t="e">
        <f t="shared" si="85"/>
        <v>#N/A</v>
      </c>
    </row>
    <row r="372" spans="1:31">
      <c r="A372" s="105" t="s">
        <v>555</v>
      </c>
      <c r="B372" s="33"/>
      <c r="C372" s="115"/>
      <c r="D372" s="55"/>
      <c r="E372" s="45"/>
      <c r="F372" s="21"/>
      <c r="G372" s="21"/>
      <c r="H372" s="42"/>
      <c r="I372" s="42"/>
      <c r="J372" s="42"/>
      <c r="K372" s="42"/>
      <c r="L372" s="42"/>
      <c r="M372" s="31" t="str">
        <f>IFERROR(VLOOKUP(W372,送料!$J$3:$K$42,2,FALSE),"")</f>
        <v/>
      </c>
      <c r="N372" s="108"/>
      <c r="O372" s="30"/>
      <c r="P372" s="30"/>
      <c r="Q372" s="30"/>
      <c r="R372" s="30"/>
      <c r="S372" s="30"/>
      <c r="T372" s="53">
        <f t="shared" si="77"/>
        <v>0</v>
      </c>
      <c r="U372" s="53">
        <f t="shared" si="78"/>
        <v>0</v>
      </c>
      <c r="V372" s="53">
        <f t="shared" si="79"/>
        <v>0</v>
      </c>
      <c r="W372" s="54">
        <f t="shared" si="80"/>
        <v>0</v>
      </c>
      <c r="X372" s="51" t="e">
        <f>VLOOKUP(W372,送料!$J$3:$K$42,2,FALSE)</f>
        <v>#N/A</v>
      </c>
      <c r="Y372" s="51" t="e">
        <f>VLOOKUP(X372,送料!$A$1:$B$40,2,FALSE)</f>
        <v>#N/A</v>
      </c>
      <c r="Z372" s="59">
        <f t="shared" si="81"/>
        <v>0</v>
      </c>
      <c r="AA372" s="62">
        <f t="shared" si="82"/>
        <v>4.5</v>
      </c>
      <c r="AB372" s="62">
        <f t="shared" si="83"/>
        <v>0</v>
      </c>
      <c r="AC372" s="65" t="e">
        <f t="shared" si="76"/>
        <v>#N/A</v>
      </c>
      <c r="AD372" s="65">
        <f t="shared" si="84"/>
        <v>0</v>
      </c>
      <c r="AE372" s="66" t="e">
        <f t="shared" si="85"/>
        <v>#N/A</v>
      </c>
    </row>
    <row r="373" spans="1:31">
      <c r="A373" s="105" t="s">
        <v>556</v>
      </c>
      <c r="B373" s="33"/>
      <c r="C373" s="115"/>
      <c r="D373" s="55"/>
      <c r="E373" s="45"/>
      <c r="F373" s="21"/>
      <c r="G373" s="21"/>
      <c r="H373" s="42"/>
      <c r="I373" s="42"/>
      <c r="J373" s="42"/>
      <c r="K373" s="42"/>
      <c r="L373" s="42"/>
      <c r="M373" s="31" t="str">
        <f>IFERROR(VLOOKUP(W373,送料!$J$3:$K$42,2,FALSE),"")</f>
        <v/>
      </c>
      <c r="N373" s="108"/>
      <c r="O373" s="30"/>
      <c r="P373" s="30"/>
      <c r="Q373" s="30"/>
      <c r="R373" s="30"/>
      <c r="S373" s="30"/>
      <c r="T373" s="53">
        <f t="shared" si="77"/>
        <v>0</v>
      </c>
      <c r="U373" s="53">
        <f t="shared" si="78"/>
        <v>0</v>
      </c>
      <c r="V373" s="53">
        <f t="shared" si="79"/>
        <v>0</v>
      </c>
      <c r="W373" s="54">
        <f t="shared" si="80"/>
        <v>0</v>
      </c>
      <c r="X373" s="51" t="e">
        <f>VLOOKUP(W373,送料!$J$3:$K$42,2,FALSE)</f>
        <v>#N/A</v>
      </c>
      <c r="Y373" s="51" t="e">
        <f>VLOOKUP(X373,送料!$A$1:$B$40,2,FALSE)</f>
        <v>#N/A</v>
      </c>
      <c r="Z373" s="59">
        <f t="shared" si="81"/>
        <v>0</v>
      </c>
      <c r="AA373" s="62">
        <f t="shared" si="82"/>
        <v>4.5</v>
      </c>
      <c r="AB373" s="62">
        <f t="shared" si="83"/>
        <v>0</v>
      </c>
      <c r="AC373" s="65" t="e">
        <f t="shared" si="76"/>
        <v>#N/A</v>
      </c>
      <c r="AD373" s="65">
        <f t="shared" si="84"/>
        <v>0</v>
      </c>
      <c r="AE373" s="66" t="e">
        <f t="shared" si="85"/>
        <v>#N/A</v>
      </c>
    </row>
    <row r="374" spans="1:31">
      <c r="A374" s="105" t="s">
        <v>557</v>
      </c>
      <c r="B374" s="33"/>
      <c r="C374" s="115"/>
      <c r="D374" s="55"/>
      <c r="E374" s="45"/>
      <c r="F374" s="21"/>
      <c r="G374" s="21"/>
      <c r="H374" s="42"/>
      <c r="I374" s="42"/>
      <c r="J374" s="42"/>
      <c r="K374" s="42"/>
      <c r="L374" s="42"/>
      <c r="M374" s="31" t="str">
        <f>IFERROR(VLOOKUP(W374,送料!$J$3:$K$42,2,FALSE),"")</f>
        <v/>
      </c>
      <c r="N374" s="108"/>
      <c r="O374" s="30"/>
      <c r="P374" s="30"/>
      <c r="Q374" s="30"/>
      <c r="R374" s="30"/>
      <c r="S374" s="30"/>
      <c r="T374" s="53">
        <f t="shared" si="77"/>
        <v>0</v>
      </c>
      <c r="U374" s="53">
        <f t="shared" si="78"/>
        <v>0</v>
      </c>
      <c r="V374" s="53">
        <f t="shared" si="79"/>
        <v>0</v>
      </c>
      <c r="W374" s="54">
        <f t="shared" si="80"/>
        <v>0</v>
      </c>
      <c r="X374" s="51" t="e">
        <f>VLOOKUP(W374,送料!$J$3:$K$42,2,FALSE)</f>
        <v>#N/A</v>
      </c>
      <c r="Y374" s="51" t="e">
        <f>VLOOKUP(X374,送料!$A$1:$B$40,2,FALSE)</f>
        <v>#N/A</v>
      </c>
      <c r="Z374" s="59">
        <f t="shared" si="81"/>
        <v>0</v>
      </c>
      <c r="AA374" s="62">
        <f t="shared" si="82"/>
        <v>4.5</v>
      </c>
      <c r="AB374" s="62">
        <f t="shared" si="83"/>
        <v>0</v>
      </c>
      <c r="AC374" s="65" t="e">
        <f t="shared" si="76"/>
        <v>#N/A</v>
      </c>
      <c r="AD374" s="65">
        <f t="shared" si="84"/>
        <v>0</v>
      </c>
      <c r="AE374" s="66" t="e">
        <f t="shared" si="85"/>
        <v>#N/A</v>
      </c>
    </row>
    <row r="375" spans="1:31">
      <c r="A375" s="105" t="s">
        <v>558</v>
      </c>
      <c r="B375" s="33"/>
      <c r="C375" s="115"/>
      <c r="D375" s="55"/>
      <c r="E375" s="45"/>
      <c r="F375" s="21"/>
      <c r="G375" s="21"/>
      <c r="H375" s="42"/>
      <c r="I375" s="42"/>
      <c r="J375" s="42"/>
      <c r="K375" s="42"/>
      <c r="L375" s="42"/>
      <c r="M375" s="31" t="str">
        <f>IFERROR(VLOOKUP(W375,送料!$J$3:$K$42,2,FALSE),"")</f>
        <v/>
      </c>
      <c r="N375" s="108"/>
      <c r="O375" s="30"/>
      <c r="P375" s="30"/>
      <c r="Q375" s="30"/>
      <c r="R375" s="30"/>
      <c r="S375" s="30"/>
      <c r="T375" s="53">
        <f t="shared" si="77"/>
        <v>0</v>
      </c>
      <c r="U375" s="53">
        <f t="shared" si="78"/>
        <v>0</v>
      </c>
      <c r="V375" s="53">
        <f t="shared" si="79"/>
        <v>0</v>
      </c>
      <c r="W375" s="54">
        <f t="shared" si="80"/>
        <v>0</v>
      </c>
      <c r="X375" s="51" t="e">
        <f>VLOOKUP(W375,送料!$J$3:$K$42,2,FALSE)</f>
        <v>#N/A</v>
      </c>
      <c r="Y375" s="51" t="e">
        <f>VLOOKUP(X375,送料!$A$1:$B$40,2,FALSE)</f>
        <v>#N/A</v>
      </c>
      <c r="Z375" s="59">
        <f t="shared" si="81"/>
        <v>0</v>
      </c>
      <c r="AA375" s="62">
        <f t="shared" si="82"/>
        <v>4.5</v>
      </c>
      <c r="AB375" s="62">
        <f t="shared" si="83"/>
        <v>0</v>
      </c>
      <c r="AC375" s="65" t="e">
        <f t="shared" si="76"/>
        <v>#N/A</v>
      </c>
      <c r="AD375" s="65">
        <f t="shared" si="84"/>
        <v>0</v>
      </c>
      <c r="AE375" s="66" t="e">
        <f t="shared" si="85"/>
        <v>#N/A</v>
      </c>
    </row>
    <row r="376" spans="1:31">
      <c r="A376" s="105" t="s">
        <v>559</v>
      </c>
      <c r="B376" s="33"/>
      <c r="C376" s="115"/>
      <c r="D376" s="55"/>
      <c r="E376" s="45"/>
      <c r="F376" s="21"/>
      <c r="G376" s="21"/>
      <c r="H376" s="42"/>
      <c r="I376" s="42"/>
      <c r="J376" s="42"/>
      <c r="K376" s="42"/>
      <c r="L376" s="42"/>
      <c r="M376" s="31" t="str">
        <f>IFERROR(VLOOKUP(W376,送料!$J$3:$K$42,2,FALSE),"")</f>
        <v/>
      </c>
      <c r="N376" s="108"/>
      <c r="O376" s="30"/>
      <c r="P376" s="30"/>
      <c r="Q376" s="30"/>
      <c r="R376" s="30"/>
      <c r="S376" s="30"/>
      <c r="T376" s="53">
        <f t="shared" si="77"/>
        <v>0</v>
      </c>
      <c r="U376" s="53">
        <f t="shared" si="78"/>
        <v>0</v>
      </c>
      <c r="V376" s="53">
        <f t="shared" si="79"/>
        <v>0</v>
      </c>
      <c r="W376" s="54">
        <f t="shared" si="80"/>
        <v>0</v>
      </c>
      <c r="X376" s="51" t="e">
        <f>VLOOKUP(W376,送料!$J$3:$K$42,2,FALSE)</f>
        <v>#N/A</v>
      </c>
      <c r="Y376" s="51" t="e">
        <f>VLOOKUP(X376,送料!$A$1:$B$40,2,FALSE)</f>
        <v>#N/A</v>
      </c>
      <c r="Z376" s="59">
        <f t="shared" si="81"/>
        <v>0</v>
      </c>
      <c r="AA376" s="62">
        <f t="shared" si="82"/>
        <v>4.5</v>
      </c>
      <c r="AB376" s="62">
        <f t="shared" si="83"/>
        <v>0</v>
      </c>
      <c r="AC376" s="65" t="e">
        <f t="shared" si="76"/>
        <v>#N/A</v>
      </c>
      <c r="AD376" s="65">
        <f t="shared" si="84"/>
        <v>0</v>
      </c>
      <c r="AE376" s="66" t="e">
        <f t="shared" si="85"/>
        <v>#N/A</v>
      </c>
    </row>
    <row r="377" spans="1:31">
      <c r="A377" s="105" t="s">
        <v>560</v>
      </c>
      <c r="B377" s="33"/>
      <c r="C377" s="115"/>
      <c r="D377" s="55"/>
      <c r="E377" s="45"/>
      <c r="F377" s="21"/>
      <c r="G377" s="21"/>
      <c r="H377" s="42"/>
      <c r="I377" s="42"/>
      <c r="J377" s="42"/>
      <c r="K377" s="42"/>
      <c r="L377" s="42"/>
      <c r="M377" s="31" t="str">
        <f>IFERROR(VLOOKUP(W377,送料!$J$3:$K$42,2,FALSE),"")</f>
        <v/>
      </c>
      <c r="N377" s="108"/>
      <c r="O377" s="30"/>
      <c r="P377" s="30"/>
      <c r="Q377" s="30"/>
      <c r="R377" s="30"/>
      <c r="S377" s="30"/>
      <c r="T377" s="53">
        <f t="shared" si="77"/>
        <v>0</v>
      </c>
      <c r="U377" s="53">
        <f t="shared" si="78"/>
        <v>0</v>
      </c>
      <c r="V377" s="53">
        <f t="shared" si="79"/>
        <v>0</v>
      </c>
      <c r="W377" s="54">
        <f t="shared" si="80"/>
        <v>0</v>
      </c>
      <c r="X377" s="51" t="e">
        <f>VLOOKUP(W377,送料!$J$3:$K$42,2,FALSE)</f>
        <v>#N/A</v>
      </c>
      <c r="Y377" s="51" t="e">
        <f>VLOOKUP(X377,送料!$A$1:$B$40,2,FALSE)</f>
        <v>#N/A</v>
      </c>
      <c r="Z377" s="59">
        <f t="shared" si="81"/>
        <v>0</v>
      </c>
      <c r="AA377" s="62">
        <f t="shared" si="82"/>
        <v>4.5</v>
      </c>
      <c r="AB377" s="62">
        <f t="shared" si="83"/>
        <v>0</v>
      </c>
      <c r="AC377" s="65" t="e">
        <f t="shared" si="76"/>
        <v>#N/A</v>
      </c>
      <c r="AD377" s="65">
        <f t="shared" si="84"/>
        <v>0</v>
      </c>
      <c r="AE377" s="66" t="e">
        <f t="shared" si="85"/>
        <v>#N/A</v>
      </c>
    </row>
    <row r="378" spans="1:31">
      <c r="A378" s="105" t="s">
        <v>561</v>
      </c>
      <c r="B378" s="33"/>
      <c r="C378" s="115"/>
      <c r="D378" s="55"/>
      <c r="E378" s="45"/>
      <c r="F378" s="21"/>
      <c r="G378" s="21"/>
      <c r="H378" s="42"/>
      <c r="I378" s="42"/>
      <c r="J378" s="42"/>
      <c r="K378" s="42"/>
      <c r="L378" s="42"/>
      <c r="M378" s="31" t="str">
        <f>IFERROR(VLOOKUP(W378,送料!$J$3:$K$42,2,FALSE),"")</f>
        <v/>
      </c>
      <c r="N378" s="108"/>
      <c r="O378" s="30"/>
      <c r="P378" s="30"/>
      <c r="Q378" s="30"/>
      <c r="R378" s="30"/>
      <c r="S378" s="30"/>
      <c r="T378" s="53">
        <f t="shared" si="77"/>
        <v>0</v>
      </c>
      <c r="U378" s="53">
        <f t="shared" si="78"/>
        <v>0</v>
      </c>
      <c r="V378" s="53">
        <f t="shared" si="79"/>
        <v>0</v>
      </c>
      <c r="W378" s="54">
        <f t="shared" si="80"/>
        <v>0</v>
      </c>
      <c r="X378" s="51" t="e">
        <f>VLOOKUP(W378,送料!$J$3:$K$42,2,FALSE)</f>
        <v>#N/A</v>
      </c>
      <c r="Y378" s="51" t="e">
        <f>VLOOKUP(X378,送料!$A$1:$B$40,2,FALSE)</f>
        <v>#N/A</v>
      </c>
      <c r="Z378" s="59">
        <f t="shared" si="81"/>
        <v>0</v>
      </c>
      <c r="AA378" s="62">
        <f t="shared" si="82"/>
        <v>4.5</v>
      </c>
      <c r="AB378" s="62">
        <f t="shared" si="83"/>
        <v>0</v>
      </c>
      <c r="AC378" s="65" t="e">
        <f t="shared" si="76"/>
        <v>#N/A</v>
      </c>
      <c r="AD378" s="65">
        <f t="shared" si="84"/>
        <v>0</v>
      </c>
      <c r="AE378" s="66" t="e">
        <f t="shared" si="85"/>
        <v>#N/A</v>
      </c>
    </row>
    <row r="379" spans="1:31">
      <c r="A379" s="105" t="s">
        <v>562</v>
      </c>
      <c r="B379" s="33"/>
      <c r="C379" s="115"/>
      <c r="D379" s="55"/>
      <c r="E379" s="45"/>
      <c r="F379" s="21"/>
      <c r="G379" s="21"/>
      <c r="H379" s="42"/>
      <c r="I379" s="42"/>
      <c r="J379" s="42"/>
      <c r="K379" s="42"/>
      <c r="L379" s="42"/>
      <c r="M379" s="31" t="str">
        <f>IFERROR(VLOOKUP(W379,送料!$J$3:$K$42,2,FALSE),"")</f>
        <v/>
      </c>
      <c r="N379" s="108"/>
      <c r="O379" s="30"/>
      <c r="P379" s="30"/>
      <c r="Q379" s="30"/>
      <c r="R379" s="30"/>
      <c r="S379" s="30"/>
      <c r="T379" s="53">
        <f t="shared" si="77"/>
        <v>0</v>
      </c>
      <c r="U379" s="53">
        <f t="shared" si="78"/>
        <v>0</v>
      </c>
      <c r="V379" s="53">
        <f t="shared" si="79"/>
        <v>0</v>
      </c>
      <c r="W379" s="54">
        <f t="shared" si="80"/>
        <v>0</v>
      </c>
      <c r="X379" s="51" t="e">
        <f>VLOOKUP(W379,送料!$J$3:$K$42,2,FALSE)</f>
        <v>#N/A</v>
      </c>
      <c r="Y379" s="51" t="e">
        <f>VLOOKUP(X379,送料!$A$1:$B$40,2,FALSE)</f>
        <v>#N/A</v>
      </c>
      <c r="Z379" s="59">
        <f t="shared" si="81"/>
        <v>0</v>
      </c>
      <c r="AA379" s="62">
        <f t="shared" si="82"/>
        <v>4.5</v>
      </c>
      <c r="AB379" s="62">
        <f t="shared" si="83"/>
        <v>0</v>
      </c>
      <c r="AC379" s="65" t="e">
        <f t="shared" si="76"/>
        <v>#N/A</v>
      </c>
      <c r="AD379" s="65">
        <f t="shared" si="84"/>
        <v>0</v>
      </c>
      <c r="AE379" s="66" t="e">
        <f t="shared" si="85"/>
        <v>#N/A</v>
      </c>
    </row>
    <row r="380" spans="1:31">
      <c r="A380" s="105" t="s">
        <v>563</v>
      </c>
      <c r="B380" s="33"/>
      <c r="C380" s="115"/>
      <c r="D380" s="55"/>
      <c r="E380" s="45"/>
      <c r="F380" s="21"/>
      <c r="G380" s="21"/>
      <c r="H380" s="42"/>
      <c r="I380" s="42"/>
      <c r="J380" s="42"/>
      <c r="K380" s="42"/>
      <c r="L380" s="42"/>
      <c r="M380" s="31" t="str">
        <f>IFERROR(VLOOKUP(W380,送料!$J$3:$K$42,2,FALSE),"")</f>
        <v/>
      </c>
      <c r="N380" s="108"/>
      <c r="O380" s="30"/>
      <c r="P380" s="30"/>
      <c r="Q380" s="30"/>
      <c r="R380" s="30"/>
      <c r="S380" s="30"/>
      <c r="T380" s="53">
        <f t="shared" si="77"/>
        <v>0</v>
      </c>
      <c r="U380" s="53">
        <f t="shared" si="78"/>
        <v>0</v>
      </c>
      <c r="V380" s="53">
        <f t="shared" si="79"/>
        <v>0</v>
      </c>
      <c r="W380" s="54">
        <f t="shared" si="80"/>
        <v>0</v>
      </c>
      <c r="X380" s="51" t="e">
        <f>VLOOKUP(W380,送料!$J$3:$K$42,2,FALSE)</f>
        <v>#N/A</v>
      </c>
      <c r="Y380" s="51" t="e">
        <f>VLOOKUP(X380,送料!$A$1:$B$40,2,FALSE)</f>
        <v>#N/A</v>
      </c>
      <c r="Z380" s="59">
        <f t="shared" si="81"/>
        <v>0</v>
      </c>
      <c r="AA380" s="62">
        <f t="shared" si="82"/>
        <v>4.5</v>
      </c>
      <c r="AB380" s="62">
        <f t="shared" si="83"/>
        <v>0</v>
      </c>
      <c r="AC380" s="65" t="e">
        <f t="shared" si="76"/>
        <v>#N/A</v>
      </c>
      <c r="AD380" s="65">
        <f t="shared" si="84"/>
        <v>0</v>
      </c>
      <c r="AE380" s="66" t="e">
        <f t="shared" si="85"/>
        <v>#N/A</v>
      </c>
    </row>
    <row r="381" spans="1:31">
      <c r="A381" s="105" t="s">
        <v>564</v>
      </c>
      <c r="B381" s="33"/>
      <c r="C381" s="115"/>
      <c r="D381" s="55"/>
      <c r="E381" s="45"/>
      <c r="F381" s="21"/>
      <c r="G381" s="21"/>
      <c r="H381" s="42"/>
      <c r="I381" s="42"/>
      <c r="J381" s="42"/>
      <c r="K381" s="42"/>
      <c r="L381" s="42"/>
      <c r="M381" s="31" t="str">
        <f>IFERROR(VLOOKUP(W381,送料!$J$3:$K$42,2,FALSE),"")</f>
        <v/>
      </c>
      <c r="N381" s="108"/>
      <c r="O381" s="30"/>
      <c r="P381" s="30"/>
      <c r="Q381" s="30"/>
      <c r="R381" s="30"/>
      <c r="S381" s="30"/>
      <c r="T381" s="53">
        <f t="shared" si="77"/>
        <v>0</v>
      </c>
      <c r="U381" s="53">
        <f t="shared" si="78"/>
        <v>0</v>
      </c>
      <c r="V381" s="53">
        <f t="shared" si="79"/>
        <v>0</v>
      </c>
      <c r="W381" s="54">
        <f t="shared" si="80"/>
        <v>0</v>
      </c>
      <c r="X381" s="51" t="e">
        <f>VLOOKUP(W381,送料!$J$3:$K$42,2,FALSE)</f>
        <v>#N/A</v>
      </c>
      <c r="Y381" s="51" t="e">
        <f>VLOOKUP(X381,送料!$A$1:$B$40,2,FALSE)</f>
        <v>#N/A</v>
      </c>
      <c r="Z381" s="59">
        <f t="shared" si="81"/>
        <v>0</v>
      </c>
      <c r="AA381" s="62">
        <f t="shared" si="82"/>
        <v>4.5</v>
      </c>
      <c r="AB381" s="62">
        <f t="shared" si="83"/>
        <v>0</v>
      </c>
      <c r="AC381" s="65" t="e">
        <f t="shared" si="76"/>
        <v>#N/A</v>
      </c>
      <c r="AD381" s="65">
        <f t="shared" si="84"/>
        <v>0</v>
      </c>
      <c r="AE381" s="66" t="e">
        <f t="shared" si="85"/>
        <v>#N/A</v>
      </c>
    </row>
    <row r="382" spans="1:31">
      <c r="A382" s="105" t="s">
        <v>565</v>
      </c>
      <c r="B382" s="33"/>
      <c r="C382" s="115"/>
      <c r="D382" s="55"/>
      <c r="E382" s="45"/>
      <c r="F382" s="21"/>
      <c r="G382" s="21"/>
      <c r="H382" s="42"/>
      <c r="I382" s="42"/>
      <c r="J382" s="42"/>
      <c r="K382" s="42"/>
      <c r="L382" s="42"/>
      <c r="M382" s="31" t="str">
        <f>IFERROR(VLOOKUP(W382,送料!$J$3:$K$42,2,FALSE),"")</f>
        <v/>
      </c>
      <c r="N382" s="108"/>
      <c r="O382" s="30"/>
      <c r="P382" s="30"/>
      <c r="Q382" s="30"/>
      <c r="R382" s="30"/>
      <c r="S382" s="30"/>
      <c r="T382" s="53">
        <f t="shared" si="77"/>
        <v>0</v>
      </c>
      <c r="U382" s="53">
        <f t="shared" si="78"/>
        <v>0</v>
      </c>
      <c r="V382" s="53">
        <f t="shared" si="79"/>
        <v>0</v>
      </c>
      <c r="W382" s="54">
        <f t="shared" si="80"/>
        <v>0</v>
      </c>
      <c r="X382" s="51" t="e">
        <f>VLOOKUP(W382,送料!$J$3:$K$42,2,FALSE)</f>
        <v>#N/A</v>
      </c>
      <c r="Y382" s="51" t="e">
        <f>VLOOKUP(X382,送料!$A$1:$B$40,2,FALSE)</f>
        <v>#N/A</v>
      </c>
      <c r="Z382" s="59">
        <f t="shared" si="81"/>
        <v>0</v>
      </c>
      <c r="AA382" s="62">
        <f t="shared" si="82"/>
        <v>4.5</v>
      </c>
      <c r="AB382" s="62">
        <f t="shared" si="83"/>
        <v>0</v>
      </c>
      <c r="AC382" s="65" t="e">
        <f t="shared" si="76"/>
        <v>#N/A</v>
      </c>
      <c r="AD382" s="65">
        <f t="shared" si="84"/>
        <v>0</v>
      </c>
      <c r="AE382" s="66" t="e">
        <f t="shared" si="85"/>
        <v>#N/A</v>
      </c>
    </row>
    <row r="383" spans="1:31">
      <c r="A383" s="105" t="s">
        <v>566</v>
      </c>
      <c r="B383" s="33"/>
      <c r="C383" s="115"/>
      <c r="D383" s="55"/>
      <c r="E383" s="45"/>
      <c r="F383" s="21"/>
      <c r="G383" s="21"/>
      <c r="H383" s="42"/>
      <c r="I383" s="42"/>
      <c r="J383" s="42"/>
      <c r="K383" s="42"/>
      <c r="L383" s="42"/>
      <c r="M383" s="31" t="str">
        <f>IFERROR(VLOOKUP(W383,送料!$J$3:$K$42,2,FALSE),"")</f>
        <v/>
      </c>
      <c r="N383" s="108"/>
      <c r="O383" s="30"/>
      <c r="P383" s="30"/>
      <c r="Q383" s="30"/>
      <c r="R383" s="30"/>
      <c r="S383" s="30"/>
      <c r="T383" s="53">
        <f t="shared" si="77"/>
        <v>0</v>
      </c>
      <c r="U383" s="53">
        <f t="shared" si="78"/>
        <v>0</v>
      </c>
      <c r="V383" s="53">
        <f t="shared" si="79"/>
        <v>0</v>
      </c>
      <c r="W383" s="54">
        <f t="shared" si="80"/>
        <v>0</v>
      </c>
      <c r="X383" s="51" t="e">
        <f>VLOOKUP(W383,送料!$J$3:$K$42,2,FALSE)</f>
        <v>#N/A</v>
      </c>
      <c r="Y383" s="51" t="e">
        <f>VLOOKUP(X383,送料!$A$1:$B$40,2,FALSE)</f>
        <v>#N/A</v>
      </c>
      <c r="Z383" s="59">
        <f t="shared" si="81"/>
        <v>0</v>
      </c>
      <c r="AA383" s="62">
        <f t="shared" si="82"/>
        <v>4.5</v>
      </c>
      <c r="AB383" s="62">
        <f t="shared" si="83"/>
        <v>0</v>
      </c>
      <c r="AC383" s="65" t="e">
        <f t="shared" si="76"/>
        <v>#N/A</v>
      </c>
      <c r="AD383" s="65">
        <f t="shared" si="84"/>
        <v>0</v>
      </c>
      <c r="AE383" s="66" t="e">
        <f t="shared" si="85"/>
        <v>#N/A</v>
      </c>
    </row>
    <row r="384" spans="1:31">
      <c r="A384" s="105" t="s">
        <v>567</v>
      </c>
      <c r="B384" s="33"/>
      <c r="C384" s="115"/>
      <c r="D384" s="55"/>
      <c r="E384" s="45"/>
      <c r="F384" s="21"/>
      <c r="G384" s="21"/>
      <c r="H384" s="42"/>
      <c r="I384" s="42"/>
      <c r="J384" s="42"/>
      <c r="K384" s="42"/>
      <c r="L384" s="42"/>
      <c r="M384" s="31" t="str">
        <f>IFERROR(VLOOKUP(W384,送料!$J$3:$K$42,2,FALSE),"")</f>
        <v/>
      </c>
      <c r="N384" s="108"/>
      <c r="O384" s="30"/>
      <c r="P384" s="30"/>
      <c r="Q384" s="30"/>
      <c r="R384" s="30"/>
      <c r="S384" s="30"/>
      <c r="T384" s="53">
        <f t="shared" si="77"/>
        <v>0</v>
      </c>
      <c r="U384" s="53">
        <f t="shared" si="78"/>
        <v>0</v>
      </c>
      <c r="V384" s="53">
        <f t="shared" si="79"/>
        <v>0</v>
      </c>
      <c r="W384" s="54">
        <f t="shared" si="80"/>
        <v>0</v>
      </c>
      <c r="X384" s="51" t="e">
        <f>VLOOKUP(W384,送料!$J$3:$K$42,2,FALSE)</f>
        <v>#N/A</v>
      </c>
      <c r="Y384" s="51" t="e">
        <f>VLOOKUP(X384,送料!$A$1:$B$40,2,FALSE)</f>
        <v>#N/A</v>
      </c>
      <c r="Z384" s="59">
        <f t="shared" si="81"/>
        <v>0</v>
      </c>
      <c r="AA384" s="62">
        <f t="shared" si="82"/>
        <v>4.5</v>
      </c>
      <c r="AB384" s="62">
        <f t="shared" si="83"/>
        <v>0</v>
      </c>
      <c r="AC384" s="65" t="e">
        <f t="shared" si="76"/>
        <v>#N/A</v>
      </c>
      <c r="AD384" s="65">
        <f t="shared" si="84"/>
        <v>0</v>
      </c>
      <c r="AE384" s="66" t="e">
        <f t="shared" si="85"/>
        <v>#N/A</v>
      </c>
    </row>
    <row r="385" spans="1:31">
      <c r="A385" s="105" t="s">
        <v>568</v>
      </c>
      <c r="B385" s="33"/>
      <c r="C385" s="115"/>
      <c r="D385" s="55"/>
      <c r="E385" s="45"/>
      <c r="F385" s="21"/>
      <c r="G385" s="21"/>
      <c r="H385" s="42"/>
      <c r="I385" s="42"/>
      <c r="J385" s="42"/>
      <c r="K385" s="42"/>
      <c r="L385" s="42"/>
      <c r="M385" s="31" t="str">
        <f>IFERROR(VLOOKUP(W385,送料!$J$3:$K$42,2,FALSE),"")</f>
        <v/>
      </c>
      <c r="N385" s="108"/>
      <c r="O385" s="30"/>
      <c r="P385" s="30"/>
      <c r="Q385" s="30"/>
      <c r="R385" s="30"/>
      <c r="S385" s="30"/>
      <c r="T385" s="53">
        <f t="shared" si="77"/>
        <v>0</v>
      </c>
      <c r="U385" s="53">
        <f t="shared" si="78"/>
        <v>0</v>
      </c>
      <c r="V385" s="53">
        <f t="shared" si="79"/>
        <v>0</v>
      </c>
      <c r="W385" s="54">
        <f t="shared" si="80"/>
        <v>0</v>
      </c>
      <c r="X385" s="51" t="e">
        <f>VLOOKUP(W385,送料!$J$3:$K$42,2,FALSE)</f>
        <v>#N/A</v>
      </c>
      <c r="Y385" s="51" t="e">
        <f>VLOOKUP(X385,送料!$A$1:$B$40,2,FALSE)</f>
        <v>#N/A</v>
      </c>
      <c r="Z385" s="59">
        <f t="shared" si="81"/>
        <v>0</v>
      </c>
      <c r="AA385" s="62">
        <f t="shared" si="82"/>
        <v>4.5</v>
      </c>
      <c r="AB385" s="62">
        <f t="shared" si="83"/>
        <v>0</v>
      </c>
      <c r="AC385" s="65" t="e">
        <f t="shared" si="76"/>
        <v>#N/A</v>
      </c>
      <c r="AD385" s="65">
        <f t="shared" si="84"/>
        <v>0</v>
      </c>
      <c r="AE385" s="66" t="e">
        <f t="shared" si="85"/>
        <v>#N/A</v>
      </c>
    </row>
    <row r="386" spans="1:31">
      <c r="A386" s="105" t="s">
        <v>569</v>
      </c>
      <c r="B386" s="33"/>
      <c r="C386" s="115"/>
      <c r="D386" s="55"/>
      <c r="E386" s="45"/>
      <c r="F386" s="21"/>
      <c r="G386" s="21"/>
      <c r="H386" s="42"/>
      <c r="I386" s="42"/>
      <c r="J386" s="42"/>
      <c r="K386" s="42"/>
      <c r="L386" s="42"/>
      <c r="M386" s="31" t="str">
        <f>IFERROR(VLOOKUP(W386,送料!$J$3:$K$42,2,FALSE),"")</f>
        <v/>
      </c>
      <c r="N386" s="108"/>
      <c r="O386" s="30"/>
      <c r="P386" s="30"/>
      <c r="Q386" s="30"/>
      <c r="R386" s="30"/>
      <c r="S386" s="30"/>
      <c r="T386" s="53">
        <f t="shared" si="77"/>
        <v>0</v>
      </c>
      <c r="U386" s="53">
        <f t="shared" si="78"/>
        <v>0</v>
      </c>
      <c r="V386" s="53">
        <f t="shared" si="79"/>
        <v>0</v>
      </c>
      <c r="W386" s="54">
        <f t="shared" si="80"/>
        <v>0</v>
      </c>
      <c r="X386" s="51" t="e">
        <f>VLOOKUP(W386,送料!$J$3:$K$42,2,FALSE)</f>
        <v>#N/A</v>
      </c>
      <c r="Y386" s="51" t="e">
        <f>VLOOKUP(X386,送料!$A$1:$B$40,2,FALSE)</f>
        <v>#N/A</v>
      </c>
      <c r="Z386" s="59">
        <f t="shared" si="81"/>
        <v>0</v>
      </c>
      <c r="AA386" s="62">
        <f t="shared" si="82"/>
        <v>4.5</v>
      </c>
      <c r="AB386" s="62">
        <f t="shared" si="83"/>
        <v>0</v>
      </c>
      <c r="AC386" s="65" t="e">
        <f t="shared" ref="AC386:AC400" si="86">Y386+Z386+AB386+D386</f>
        <v>#N/A</v>
      </c>
      <c r="AD386" s="65">
        <f t="shared" si="84"/>
        <v>0</v>
      </c>
      <c r="AE386" s="66" t="e">
        <f t="shared" si="85"/>
        <v>#N/A</v>
      </c>
    </row>
    <row r="387" spans="1:31">
      <c r="A387" s="105" t="s">
        <v>570</v>
      </c>
      <c r="B387" s="33"/>
      <c r="C387" s="115"/>
      <c r="D387" s="55"/>
      <c r="E387" s="45"/>
      <c r="F387" s="21"/>
      <c r="G387" s="21"/>
      <c r="H387" s="42"/>
      <c r="I387" s="42"/>
      <c r="J387" s="42"/>
      <c r="K387" s="42"/>
      <c r="L387" s="42"/>
      <c r="M387" s="31" t="str">
        <f>IFERROR(VLOOKUP(W387,送料!$J$3:$K$42,2,FALSE),"")</f>
        <v/>
      </c>
      <c r="N387" s="108"/>
      <c r="O387" s="30"/>
      <c r="P387" s="30"/>
      <c r="Q387" s="30"/>
      <c r="R387" s="30"/>
      <c r="S387" s="30"/>
      <c r="T387" s="53">
        <f t="shared" si="77"/>
        <v>0</v>
      </c>
      <c r="U387" s="53">
        <f t="shared" si="78"/>
        <v>0</v>
      </c>
      <c r="V387" s="53">
        <f t="shared" si="79"/>
        <v>0</v>
      </c>
      <c r="W387" s="54">
        <f t="shared" si="80"/>
        <v>0</v>
      </c>
      <c r="X387" s="51" t="e">
        <f>VLOOKUP(W387,送料!$J$3:$K$42,2,FALSE)</f>
        <v>#N/A</v>
      </c>
      <c r="Y387" s="51" t="e">
        <f>VLOOKUP(X387,送料!$A$1:$B$40,2,FALSE)</f>
        <v>#N/A</v>
      </c>
      <c r="Z387" s="59">
        <f t="shared" si="81"/>
        <v>0</v>
      </c>
      <c r="AA387" s="62">
        <f t="shared" si="82"/>
        <v>4.5</v>
      </c>
      <c r="AB387" s="62">
        <f t="shared" si="83"/>
        <v>0</v>
      </c>
      <c r="AC387" s="65" t="e">
        <f t="shared" si="86"/>
        <v>#N/A</v>
      </c>
      <c r="AD387" s="65">
        <f t="shared" si="84"/>
        <v>0</v>
      </c>
      <c r="AE387" s="66" t="e">
        <f t="shared" si="85"/>
        <v>#N/A</v>
      </c>
    </row>
    <row r="388" spans="1:31">
      <c r="A388" s="105" t="s">
        <v>571</v>
      </c>
      <c r="B388" s="33"/>
      <c r="C388" s="115"/>
      <c r="D388" s="55"/>
      <c r="E388" s="45"/>
      <c r="F388" s="21"/>
      <c r="G388" s="21"/>
      <c r="H388" s="42"/>
      <c r="I388" s="42"/>
      <c r="J388" s="42"/>
      <c r="K388" s="42"/>
      <c r="L388" s="42"/>
      <c r="M388" s="31" t="str">
        <f>IFERROR(VLOOKUP(W388,送料!$J$3:$K$42,2,FALSE),"")</f>
        <v/>
      </c>
      <c r="N388" s="108"/>
      <c r="O388" s="30"/>
      <c r="P388" s="30"/>
      <c r="Q388" s="30"/>
      <c r="R388" s="30"/>
      <c r="S388" s="30"/>
      <c r="T388" s="53">
        <f t="shared" si="77"/>
        <v>0</v>
      </c>
      <c r="U388" s="53">
        <f t="shared" si="78"/>
        <v>0</v>
      </c>
      <c r="V388" s="53">
        <f t="shared" si="79"/>
        <v>0</v>
      </c>
      <c r="W388" s="54">
        <f t="shared" si="80"/>
        <v>0</v>
      </c>
      <c r="X388" s="51" t="e">
        <f>VLOOKUP(W388,送料!$J$3:$K$42,2,FALSE)</f>
        <v>#N/A</v>
      </c>
      <c r="Y388" s="51" t="e">
        <f>VLOOKUP(X388,送料!$A$1:$B$40,2,FALSE)</f>
        <v>#N/A</v>
      </c>
      <c r="Z388" s="59">
        <f t="shared" si="81"/>
        <v>0</v>
      </c>
      <c r="AA388" s="62">
        <f t="shared" si="82"/>
        <v>4.5</v>
      </c>
      <c r="AB388" s="62">
        <f t="shared" si="83"/>
        <v>0</v>
      </c>
      <c r="AC388" s="65" t="e">
        <f t="shared" si="86"/>
        <v>#N/A</v>
      </c>
      <c r="AD388" s="65">
        <f t="shared" si="84"/>
        <v>0</v>
      </c>
      <c r="AE388" s="66" t="e">
        <f t="shared" si="85"/>
        <v>#N/A</v>
      </c>
    </row>
    <row r="389" spans="1:31">
      <c r="A389" s="105" t="s">
        <v>572</v>
      </c>
      <c r="B389" s="33"/>
      <c r="C389" s="115"/>
      <c r="D389" s="55"/>
      <c r="E389" s="45"/>
      <c r="F389" s="21"/>
      <c r="G389" s="21"/>
      <c r="H389" s="42"/>
      <c r="I389" s="42"/>
      <c r="J389" s="42"/>
      <c r="K389" s="42"/>
      <c r="L389" s="42"/>
      <c r="M389" s="31" t="str">
        <f>IFERROR(VLOOKUP(W389,送料!$J$3:$K$42,2,FALSE),"")</f>
        <v/>
      </c>
      <c r="N389" s="108"/>
      <c r="O389" s="30"/>
      <c r="P389" s="30"/>
      <c r="Q389" s="30"/>
      <c r="R389" s="30"/>
      <c r="S389" s="30"/>
      <c r="T389" s="53">
        <f t="shared" si="77"/>
        <v>0</v>
      </c>
      <c r="U389" s="53">
        <f t="shared" si="78"/>
        <v>0</v>
      </c>
      <c r="V389" s="53">
        <f t="shared" si="79"/>
        <v>0</v>
      </c>
      <c r="W389" s="54">
        <f t="shared" si="80"/>
        <v>0</v>
      </c>
      <c r="X389" s="51" t="e">
        <f>VLOOKUP(W389,送料!$J$3:$K$42,2,FALSE)</f>
        <v>#N/A</v>
      </c>
      <c r="Y389" s="51" t="e">
        <f>VLOOKUP(X389,送料!$A$1:$B$40,2,FALSE)</f>
        <v>#N/A</v>
      </c>
      <c r="Z389" s="59">
        <f t="shared" si="81"/>
        <v>0</v>
      </c>
      <c r="AA389" s="62">
        <f t="shared" si="82"/>
        <v>4.5</v>
      </c>
      <c r="AB389" s="62">
        <f t="shared" si="83"/>
        <v>0</v>
      </c>
      <c r="AC389" s="65" t="e">
        <f t="shared" si="86"/>
        <v>#N/A</v>
      </c>
      <c r="AD389" s="65">
        <f t="shared" si="84"/>
        <v>0</v>
      </c>
      <c r="AE389" s="66" t="e">
        <f t="shared" si="85"/>
        <v>#N/A</v>
      </c>
    </row>
    <row r="390" spans="1:31">
      <c r="A390" s="105" t="s">
        <v>573</v>
      </c>
      <c r="B390" s="33"/>
      <c r="C390" s="115"/>
      <c r="D390" s="55"/>
      <c r="E390" s="45"/>
      <c r="F390" s="21"/>
      <c r="G390" s="21"/>
      <c r="H390" s="42"/>
      <c r="I390" s="42"/>
      <c r="J390" s="42"/>
      <c r="K390" s="42"/>
      <c r="L390" s="42"/>
      <c r="M390" s="31" t="str">
        <f>IFERROR(VLOOKUP(W390,送料!$J$3:$K$42,2,FALSE),"")</f>
        <v/>
      </c>
      <c r="N390" s="108"/>
      <c r="O390" s="30"/>
      <c r="P390" s="30"/>
      <c r="Q390" s="30"/>
      <c r="R390" s="30"/>
      <c r="S390" s="30"/>
      <c r="T390" s="53">
        <f t="shared" si="77"/>
        <v>0</v>
      </c>
      <c r="U390" s="53">
        <f t="shared" si="78"/>
        <v>0</v>
      </c>
      <c r="V390" s="53">
        <f t="shared" si="79"/>
        <v>0</v>
      </c>
      <c r="W390" s="54">
        <f t="shared" si="80"/>
        <v>0</v>
      </c>
      <c r="X390" s="51" t="e">
        <f>VLOOKUP(W390,送料!$J$3:$K$42,2,FALSE)</f>
        <v>#N/A</v>
      </c>
      <c r="Y390" s="51" t="e">
        <f>VLOOKUP(X390,送料!$A$1:$B$40,2,FALSE)</f>
        <v>#N/A</v>
      </c>
      <c r="Z390" s="59">
        <f t="shared" si="81"/>
        <v>0</v>
      </c>
      <c r="AA390" s="62">
        <f t="shared" si="82"/>
        <v>4.5</v>
      </c>
      <c r="AB390" s="62">
        <f t="shared" si="83"/>
        <v>0</v>
      </c>
      <c r="AC390" s="65" t="e">
        <f t="shared" si="86"/>
        <v>#N/A</v>
      </c>
      <c r="AD390" s="65">
        <f t="shared" si="84"/>
        <v>0</v>
      </c>
      <c r="AE390" s="66" t="e">
        <f t="shared" si="85"/>
        <v>#N/A</v>
      </c>
    </row>
    <row r="391" spans="1:31">
      <c r="A391" s="105" t="s">
        <v>574</v>
      </c>
      <c r="B391" s="33"/>
      <c r="C391" s="115"/>
      <c r="D391" s="55"/>
      <c r="E391" s="45"/>
      <c r="F391" s="21"/>
      <c r="G391" s="21"/>
      <c r="H391" s="42"/>
      <c r="I391" s="42"/>
      <c r="J391" s="42"/>
      <c r="K391" s="42"/>
      <c r="L391" s="42"/>
      <c r="M391" s="31" t="str">
        <f>IFERROR(VLOOKUP(W391,送料!$J$3:$K$42,2,FALSE),"")</f>
        <v/>
      </c>
      <c r="N391" s="108"/>
      <c r="O391" s="30"/>
      <c r="P391" s="30"/>
      <c r="Q391" s="30"/>
      <c r="R391" s="30"/>
      <c r="S391" s="30"/>
      <c r="T391" s="53">
        <f t="shared" si="77"/>
        <v>0</v>
      </c>
      <c r="U391" s="53">
        <f t="shared" si="78"/>
        <v>0</v>
      </c>
      <c r="V391" s="53">
        <f t="shared" si="79"/>
        <v>0</v>
      </c>
      <c r="W391" s="54">
        <f t="shared" si="80"/>
        <v>0</v>
      </c>
      <c r="X391" s="51" t="e">
        <f>VLOOKUP(W391,送料!$J$3:$K$42,2,FALSE)</f>
        <v>#N/A</v>
      </c>
      <c r="Y391" s="51" t="e">
        <f>VLOOKUP(X391,送料!$A$1:$B$40,2,FALSE)</f>
        <v>#N/A</v>
      </c>
      <c r="Z391" s="59">
        <f t="shared" si="81"/>
        <v>0</v>
      </c>
      <c r="AA391" s="62">
        <f t="shared" si="82"/>
        <v>4.5</v>
      </c>
      <c r="AB391" s="62">
        <f t="shared" si="83"/>
        <v>0</v>
      </c>
      <c r="AC391" s="65" t="e">
        <f t="shared" si="86"/>
        <v>#N/A</v>
      </c>
      <c r="AD391" s="65">
        <f t="shared" si="84"/>
        <v>0</v>
      </c>
      <c r="AE391" s="66" t="e">
        <f t="shared" si="85"/>
        <v>#N/A</v>
      </c>
    </row>
    <row r="392" spans="1:31">
      <c r="A392" s="105" t="s">
        <v>575</v>
      </c>
      <c r="B392" s="33"/>
      <c r="C392" s="115"/>
      <c r="D392" s="55"/>
      <c r="E392" s="45"/>
      <c r="F392" s="21"/>
      <c r="G392" s="21"/>
      <c r="H392" s="42"/>
      <c r="I392" s="42"/>
      <c r="J392" s="42"/>
      <c r="K392" s="42"/>
      <c r="L392" s="42"/>
      <c r="M392" s="31" t="str">
        <f>IFERROR(VLOOKUP(W392,送料!$J$3:$K$42,2,FALSE),"")</f>
        <v/>
      </c>
      <c r="N392" s="108"/>
      <c r="O392" s="30"/>
      <c r="P392" s="30"/>
      <c r="Q392" s="30"/>
      <c r="R392" s="30"/>
      <c r="S392" s="30"/>
      <c r="T392" s="53">
        <f t="shared" si="77"/>
        <v>0</v>
      </c>
      <c r="U392" s="53">
        <f t="shared" si="78"/>
        <v>0</v>
      </c>
      <c r="V392" s="53">
        <f t="shared" si="79"/>
        <v>0</v>
      </c>
      <c r="W392" s="54">
        <f t="shared" si="80"/>
        <v>0</v>
      </c>
      <c r="X392" s="51" t="e">
        <f>VLOOKUP(W392,送料!$J$3:$K$42,2,FALSE)</f>
        <v>#N/A</v>
      </c>
      <c r="Y392" s="51" t="e">
        <f>VLOOKUP(X392,送料!$A$1:$B$40,2,FALSE)</f>
        <v>#N/A</v>
      </c>
      <c r="Z392" s="59">
        <f t="shared" si="81"/>
        <v>0</v>
      </c>
      <c r="AA392" s="62">
        <f t="shared" si="82"/>
        <v>4.5</v>
      </c>
      <c r="AB392" s="62">
        <f t="shared" si="83"/>
        <v>0</v>
      </c>
      <c r="AC392" s="65" t="e">
        <f t="shared" si="86"/>
        <v>#N/A</v>
      </c>
      <c r="AD392" s="65">
        <f t="shared" si="84"/>
        <v>0</v>
      </c>
      <c r="AE392" s="66" t="e">
        <f t="shared" si="85"/>
        <v>#N/A</v>
      </c>
    </row>
    <row r="393" spans="1:31">
      <c r="A393" s="105" t="s">
        <v>576</v>
      </c>
      <c r="B393" s="33"/>
      <c r="C393" s="115"/>
      <c r="D393" s="55"/>
      <c r="E393" s="45"/>
      <c r="F393" s="21"/>
      <c r="G393" s="21"/>
      <c r="H393" s="42"/>
      <c r="I393" s="42"/>
      <c r="J393" s="42"/>
      <c r="K393" s="42"/>
      <c r="L393" s="42"/>
      <c r="M393" s="31" t="str">
        <f>IFERROR(VLOOKUP(W393,送料!$J$3:$K$42,2,FALSE),"")</f>
        <v/>
      </c>
      <c r="N393" s="108"/>
      <c r="O393" s="30"/>
      <c r="P393" s="30"/>
      <c r="Q393" s="30"/>
      <c r="R393" s="30"/>
      <c r="S393" s="30"/>
      <c r="T393" s="53">
        <f t="shared" si="77"/>
        <v>0</v>
      </c>
      <c r="U393" s="53">
        <f t="shared" si="78"/>
        <v>0</v>
      </c>
      <c r="V393" s="53">
        <f t="shared" si="79"/>
        <v>0</v>
      </c>
      <c r="W393" s="54">
        <f t="shared" si="80"/>
        <v>0</v>
      </c>
      <c r="X393" s="51" t="e">
        <f>VLOOKUP(W393,送料!$J$3:$K$42,2,FALSE)</f>
        <v>#N/A</v>
      </c>
      <c r="Y393" s="51" t="e">
        <f>VLOOKUP(X393,送料!$A$1:$B$40,2,FALSE)</f>
        <v>#N/A</v>
      </c>
      <c r="Z393" s="59">
        <f t="shared" si="81"/>
        <v>0</v>
      </c>
      <c r="AA393" s="62">
        <f t="shared" si="82"/>
        <v>4.5</v>
      </c>
      <c r="AB393" s="62">
        <f t="shared" si="83"/>
        <v>0</v>
      </c>
      <c r="AC393" s="65" t="e">
        <f t="shared" si="86"/>
        <v>#N/A</v>
      </c>
      <c r="AD393" s="65">
        <f t="shared" si="84"/>
        <v>0</v>
      </c>
      <c r="AE393" s="66" t="e">
        <f t="shared" si="85"/>
        <v>#N/A</v>
      </c>
    </row>
    <row r="394" spans="1:31">
      <c r="A394" s="105" t="s">
        <v>577</v>
      </c>
      <c r="B394" s="33"/>
      <c r="C394" s="115"/>
      <c r="D394" s="55"/>
      <c r="E394" s="45"/>
      <c r="F394" s="21"/>
      <c r="G394" s="21"/>
      <c r="H394" s="42"/>
      <c r="I394" s="42"/>
      <c r="J394" s="42"/>
      <c r="K394" s="42"/>
      <c r="L394" s="42"/>
      <c r="M394" s="31" t="str">
        <f>IFERROR(VLOOKUP(W394,送料!$J$3:$K$42,2,FALSE),"")</f>
        <v/>
      </c>
      <c r="N394" s="108"/>
      <c r="O394" s="30"/>
      <c r="P394" s="30"/>
      <c r="Q394" s="30"/>
      <c r="R394" s="30"/>
      <c r="S394" s="30"/>
      <c r="T394" s="53">
        <f t="shared" si="77"/>
        <v>0</v>
      </c>
      <c r="U394" s="53">
        <f t="shared" si="78"/>
        <v>0</v>
      </c>
      <c r="V394" s="53">
        <f t="shared" si="79"/>
        <v>0</v>
      </c>
      <c r="W394" s="54">
        <f t="shared" si="80"/>
        <v>0</v>
      </c>
      <c r="X394" s="51" t="e">
        <f>VLOOKUP(W394,送料!$J$3:$K$42,2,FALSE)</f>
        <v>#N/A</v>
      </c>
      <c r="Y394" s="51" t="e">
        <f>VLOOKUP(X394,送料!$A$1:$B$40,2,FALSE)</f>
        <v>#N/A</v>
      </c>
      <c r="Z394" s="59">
        <f t="shared" si="81"/>
        <v>0</v>
      </c>
      <c r="AA394" s="62">
        <f t="shared" si="82"/>
        <v>4.5</v>
      </c>
      <c r="AB394" s="62">
        <f t="shared" si="83"/>
        <v>0</v>
      </c>
      <c r="AC394" s="65" t="e">
        <f t="shared" si="86"/>
        <v>#N/A</v>
      </c>
      <c r="AD394" s="65">
        <f t="shared" si="84"/>
        <v>0</v>
      </c>
      <c r="AE394" s="66" t="e">
        <f t="shared" si="85"/>
        <v>#N/A</v>
      </c>
    </row>
    <row r="395" spans="1:31">
      <c r="A395" s="105" t="s">
        <v>578</v>
      </c>
      <c r="B395" s="33"/>
      <c r="C395" s="115"/>
      <c r="D395" s="55"/>
      <c r="E395" s="45"/>
      <c r="F395" s="21"/>
      <c r="G395" s="21"/>
      <c r="H395" s="42"/>
      <c r="I395" s="42"/>
      <c r="J395" s="42"/>
      <c r="K395" s="42"/>
      <c r="L395" s="42"/>
      <c r="M395" s="31" t="str">
        <f>IFERROR(VLOOKUP(W395,送料!$J$3:$K$42,2,FALSE),"")</f>
        <v/>
      </c>
      <c r="N395" s="108"/>
      <c r="O395" s="30"/>
      <c r="P395" s="30"/>
      <c r="Q395" s="30"/>
      <c r="R395" s="30"/>
      <c r="S395" s="30"/>
      <c r="T395" s="53">
        <f t="shared" si="77"/>
        <v>0</v>
      </c>
      <c r="U395" s="53">
        <f t="shared" si="78"/>
        <v>0</v>
      </c>
      <c r="V395" s="53">
        <f t="shared" si="79"/>
        <v>0</v>
      </c>
      <c r="W395" s="54">
        <f t="shared" si="80"/>
        <v>0</v>
      </c>
      <c r="X395" s="51" t="e">
        <f>VLOOKUP(W395,送料!$J$3:$K$42,2,FALSE)</f>
        <v>#N/A</v>
      </c>
      <c r="Y395" s="51" t="e">
        <f>VLOOKUP(X395,送料!$A$1:$B$40,2,FALSE)</f>
        <v>#N/A</v>
      </c>
      <c r="Z395" s="59">
        <f t="shared" si="81"/>
        <v>0</v>
      </c>
      <c r="AA395" s="62">
        <f t="shared" si="82"/>
        <v>4.5</v>
      </c>
      <c r="AB395" s="62">
        <f t="shared" si="83"/>
        <v>0</v>
      </c>
      <c r="AC395" s="65" t="e">
        <f t="shared" si="86"/>
        <v>#N/A</v>
      </c>
      <c r="AD395" s="65">
        <f t="shared" si="84"/>
        <v>0</v>
      </c>
      <c r="AE395" s="66" t="e">
        <f t="shared" si="85"/>
        <v>#N/A</v>
      </c>
    </row>
    <row r="396" spans="1:31">
      <c r="A396" s="105" t="s">
        <v>579</v>
      </c>
      <c r="B396" s="33"/>
      <c r="C396" s="115"/>
      <c r="D396" s="55"/>
      <c r="E396" s="45"/>
      <c r="F396" s="21"/>
      <c r="G396" s="21"/>
      <c r="H396" s="42"/>
      <c r="I396" s="42"/>
      <c r="J396" s="42"/>
      <c r="K396" s="42"/>
      <c r="L396" s="42"/>
      <c r="M396" s="31" t="str">
        <f>IFERROR(VLOOKUP(W396,送料!$J$3:$K$42,2,FALSE),"")</f>
        <v/>
      </c>
      <c r="N396" s="108"/>
      <c r="O396" s="30"/>
      <c r="P396" s="30"/>
      <c r="Q396" s="30"/>
      <c r="R396" s="30"/>
      <c r="S396" s="30"/>
      <c r="T396" s="53">
        <f t="shared" si="77"/>
        <v>0</v>
      </c>
      <c r="U396" s="53">
        <f t="shared" si="78"/>
        <v>0</v>
      </c>
      <c r="V396" s="53">
        <f t="shared" si="79"/>
        <v>0</v>
      </c>
      <c r="W396" s="54">
        <f t="shared" si="80"/>
        <v>0</v>
      </c>
      <c r="X396" s="51" t="e">
        <f>VLOOKUP(W396,送料!$J$3:$K$42,2,FALSE)</f>
        <v>#N/A</v>
      </c>
      <c r="Y396" s="51" t="e">
        <f>VLOOKUP(X396,送料!$A$1:$B$40,2,FALSE)</f>
        <v>#N/A</v>
      </c>
      <c r="Z396" s="59">
        <f t="shared" si="81"/>
        <v>0</v>
      </c>
      <c r="AA396" s="62">
        <f t="shared" si="82"/>
        <v>4.5</v>
      </c>
      <c r="AB396" s="62">
        <f t="shared" si="83"/>
        <v>0</v>
      </c>
      <c r="AC396" s="65" t="e">
        <f t="shared" si="86"/>
        <v>#N/A</v>
      </c>
      <c r="AD396" s="65">
        <f t="shared" si="84"/>
        <v>0</v>
      </c>
      <c r="AE396" s="66" t="e">
        <f t="shared" si="85"/>
        <v>#N/A</v>
      </c>
    </row>
    <row r="397" spans="1:31">
      <c r="A397" s="105" t="s">
        <v>580</v>
      </c>
      <c r="B397" s="33"/>
      <c r="C397" s="115"/>
      <c r="D397" s="55"/>
      <c r="E397" s="45"/>
      <c r="F397" s="21"/>
      <c r="G397" s="21"/>
      <c r="H397" s="42"/>
      <c r="I397" s="42"/>
      <c r="J397" s="42"/>
      <c r="K397" s="42"/>
      <c r="L397" s="42"/>
      <c r="M397" s="31" t="str">
        <f>IFERROR(VLOOKUP(W397,送料!$J$3:$K$42,2,FALSE),"")</f>
        <v/>
      </c>
      <c r="N397" s="108"/>
      <c r="O397" s="30"/>
      <c r="P397" s="30"/>
      <c r="Q397" s="30"/>
      <c r="R397" s="30"/>
      <c r="S397" s="30"/>
      <c r="T397" s="53">
        <f t="shared" si="77"/>
        <v>0</v>
      </c>
      <c r="U397" s="53">
        <f t="shared" si="78"/>
        <v>0</v>
      </c>
      <c r="V397" s="53">
        <f t="shared" si="79"/>
        <v>0</v>
      </c>
      <c r="W397" s="54">
        <f t="shared" si="80"/>
        <v>0</v>
      </c>
      <c r="X397" s="51" t="e">
        <f>VLOOKUP(W397,送料!$J$3:$K$42,2,FALSE)</f>
        <v>#N/A</v>
      </c>
      <c r="Y397" s="51" t="e">
        <f>VLOOKUP(X397,送料!$A$1:$B$40,2,FALSE)</f>
        <v>#N/A</v>
      </c>
      <c r="Z397" s="59">
        <f t="shared" si="81"/>
        <v>0</v>
      </c>
      <c r="AA397" s="62">
        <f t="shared" si="82"/>
        <v>4.5</v>
      </c>
      <c r="AB397" s="62">
        <f t="shared" si="83"/>
        <v>0</v>
      </c>
      <c r="AC397" s="65" t="e">
        <f t="shared" si="86"/>
        <v>#N/A</v>
      </c>
      <c r="AD397" s="65">
        <f t="shared" si="84"/>
        <v>0</v>
      </c>
      <c r="AE397" s="66" t="e">
        <f t="shared" si="85"/>
        <v>#N/A</v>
      </c>
    </row>
    <row r="398" spans="1:31">
      <c r="A398" s="105" t="s">
        <v>581</v>
      </c>
      <c r="B398" s="33"/>
      <c r="C398" s="115"/>
      <c r="D398" s="55"/>
      <c r="E398" s="45"/>
      <c r="F398" s="21"/>
      <c r="G398" s="21"/>
      <c r="H398" s="42"/>
      <c r="I398" s="42"/>
      <c r="J398" s="42"/>
      <c r="K398" s="42"/>
      <c r="L398" s="42"/>
      <c r="M398" s="31" t="str">
        <f>IFERROR(VLOOKUP(W398,送料!$J$3:$K$42,2,FALSE),"")</f>
        <v/>
      </c>
      <c r="N398" s="108"/>
      <c r="O398" s="30"/>
      <c r="P398" s="30"/>
      <c r="Q398" s="30"/>
      <c r="R398" s="30"/>
      <c r="S398" s="30"/>
      <c r="T398" s="53">
        <f t="shared" si="77"/>
        <v>0</v>
      </c>
      <c r="U398" s="53">
        <f t="shared" si="78"/>
        <v>0</v>
      </c>
      <c r="V398" s="53">
        <f t="shared" si="79"/>
        <v>0</v>
      </c>
      <c r="W398" s="54">
        <f t="shared" si="80"/>
        <v>0</v>
      </c>
      <c r="X398" s="51" t="e">
        <f>VLOOKUP(W398,送料!$J$3:$K$42,2,FALSE)</f>
        <v>#N/A</v>
      </c>
      <c r="Y398" s="51" t="e">
        <f>VLOOKUP(X398,送料!$A$1:$B$40,2,FALSE)</f>
        <v>#N/A</v>
      </c>
      <c r="Z398" s="59">
        <f t="shared" si="81"/>
        <v>0</v>
      </c>
      <c r="AA398" s="62">
        <f t="shared" si="82"/>
        <v>4.5</v>
      </c>
      <c r="AB398" s="62">
        <f t="shared" si="83"/>
        <v>0</v>
      </c>
      <c r="AC398" s="65" t="e">
        <f t="shared" si="86"/>
        <v>#N/A</v>
      </c>
      <c r="AD398" s="65">
        <f t="shared" si="84"/>
        <v>0</v>
      </c>
      <c r="AE398" s="66" t="e">
        <f t="shared" si="85"/>
        <v>#N/A</v>
      </c>
    </row>
    <row r="399" spans="1:31">
      <c r="A399" s="105" t="s">
        <v>582</v>
      </c>
      <c r="B399" s="33"/>
      <c r="C399" s="115"/>
      <c r="D399" s="55"/>
      <c r="E399" s="45"/>
      <c r="F399" s="21"/>
      <c r="G399" s="21"/>
      <c r="H399" s="42"/>
      <c r="I399" s="42"/>
      <c r="J399" s="42"/>
      <c r="K399" s="42"/>
      <c r="L399" s="42"/>
      <c r="M399" s="31" t="str">
        <f>IFERROR(VLOOKUP(W399,送料!$J$3:$K$42,2,FALSE),"")</f>
        <v/>
      </c>
      <c r="N399" s="108"/>
      <c r="O399" s="30"/>
      <c r="P399" s="30"/>
      <c r="Q399" s="30"/>
      <c r="R399" s="30"/>
      <c r="S399" s="30"/>
      <c r="T399" s="53">
        <f t="shared" si="77"/>
        <v>0</v>
      </c>
      <c r="U399" s="53">
        <f t="shared" si="78"/>
        <v>0</v>
      </c>
      <c r="V399" s="53">
        <f t="shared" si="79"/>
        <v>0</v>
      </c>
      <c r="W399" s="54">
        <f t="shared" si="80"/>
        <v>0</v>
      </c>
      <c r="X399" s="51" t="e">
        <f>VLOOKUP(W399,送料!$J$3:$K$42,2,FALSE)</f>
        <v>#N/A</v>
      </c>
      <c r="Y399" s="51" t="e">
        <f>VLOOKUP(X399,送料!$A$1:$B$40,2,FALSE)</f>
        <v>#N/A</v>
      </c>
      <c r="Z399" s="59">
        <f t="shared" si="81"/>
        <v>0</v>
      </c>
      <c r="AA399" s="62">
        <f t="shared" si="82"/>
        <v>4.5</v>
      </c>
      <c r="AB399" s="62">
        <f t="shared" si="83"/>
        <v>0</v>
      </c>
      <c r="AC399" s="65" t="e">
        <f t="shared" si="86"/>
        <v>#N/A</v>
      </c>
      <c r="AD399" s="65">
        <f t="shared" si="84"/>
        <v>0</v>
      </c>
      <c r="AE399" s="66" t="e">
        <f t="shared" si="85"/>
        <v>#N/A</v>
      </c>
    </row>
    <row r="400" spans="1:31">
      <c r="A400" s="105" t="s">
        <v>583</v>
      </c>
      <c r="B400" s="33"/>
      <c r="C400" s="115"/>
      <c r="D400" s="55"/>
      <c r="E400" s="45"/>
      <c r="F400" s="21"/>
      <c r="G400" s="21"/>
      <c r="H400" s="42"/>
      <c r="I400" s="42"/>
      <c r="J400" s="42"/>
      <c r="K400" s="42"/>
      <c r="L400" s="42"/>
      <c r="M400" s="31" t="str">
        <f>IFERROR(VLOOKUP(W400,送料!$J$3:$K$42,2,FALSE),"")</f>
        <v/>
      </c>
      <c r="N400" s="108"/>
      <c r="O400" s="30"/>
      <c r="P400" s="30"/>
      <c r="Q400" s="30"/>
      <c r="R400" s="30"/>
      <c r="S400" s="30"/>
      <c r="T400" s="53">
        <f t="shared" si="77"/>
        <v>0</v>
      </c>
      <c r="U400" s="53">
        <f t="shared" si="78"/>
        <v>0</v>
      </c>
      <c r="V400" s="53">
        <f t="shared" si="79"/>
        <v>0</v>
      </c>
      <c r="W400" s="54">
        <f t="shared" si="80"/>
        <v>0</v>
      </c>
      <c r="X400" s="51" t="e">
        <f>VLOOKUP(W400,送料!$J$3:$K$42,2,FALSE)</f>
        <v>#N/A</v>
      </c>
      <c r="Y400" s="51" t="e">
        <f>VLOOKUP(X400,送料!$A$1:$B$40,2,FALSE)</f>
        <v>#N/A</v>
      </c>
      <c r="Z400" s="59">
        <f t="shared" si="81"/>
        <v>0</v>
      </c>
      <c r="AA400" s="62">
        <f t="shared" si="82"/>
        <v>4.5</v>
      </c>
      <c r="AB400" s="62">
        <f t="shared" si="83"/>
        <v>0</v>
      </c>
      <c r="AC400" s="65" t="e">
        <f t="shared" si="86"/>
        <v>#N/A</v>
      </c>
      <c r="AD400" s="65">
        <f t="shared" si="84"/>
        <v>0</v>
      </c>
      <c r="AE400" s="66" t="e">
        <f t="shared" si="85"/>
        <v>#N/A</v>
      </c>
    </row>
  </sheetData>
  <phoneticPr fontId="1"/>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3DF6-321C-44A3-9EF4-AD85A1AAF347}">
  <dimension ref="A1:AB201"/>
  <sheetViews>
    <sheetView workbookViewId="0">
      <selection activeCell="B2" sqref="B2:V19"/>
    </sheetView>
  </sheetViews>
  <sheetFormatPr defaultRowHeight="18.75"/>
  <cols>
    <col min="2" max="2" width="15" style="122" bestFit="1" customWidth="1"/>
    <col min="3" max="3" width="10.5" style="122" bestFit="1" customWidth="1"/>
    <col min="4" max="4" width="11.25" style="122" bestFit="1" customWidth="1"/>
    <col min="5" max="5" width="12.125" style="122" bestFit="1" customWidth="1"/>
    <col min="6" max="6" width="7.5" style="122" bestFit="1" customWidth="1"/>
    <col min="7" max="7" width="9" style="147" bestFit="1" customWidth="1"/>
    <col min="8" max="8" width="8.375" style="151" bestFit="1" customWidth="1"/>
    <col min="9" max="9" width="13" style="166" bestFit="1" customWidth="1"/>
    <col min="10" max="10" width="9" style="178"/>
    <col min="11" max="11" width="10.25" style="196" customWidth="1"/>
    <col min="12" max="14" width="10.25" style="127" customWidth="1"/>
    <col min="15" max="15" width="10.25" style="197" customWidth="1"/>
    <col min="16" max="16" width="9" style="184"/>
    <col min="17" max="19" width="9" style="127"/>
    <col min="20" max="20" width="11.25" style="167" customWidth="1"/>
    <col min="21" max="21" width="11.25" style="157" customWidth="1"/>
    <col min="22" max="22" width="17.125" style="221" bestFit="1" customWidth="1"/>
  </cols>
  <sheetData>
    <row r="1" spans="1:28" ht="19.5" thickBot="1">
      <c r="A1" s="168"/>
      <c r="B1" s="169" t="s">
        <v>86</v>
      </c>
      <c r="C1" s="169" t="s">
        <v>109</v>
      </c>
      <c r="D1" s="169" t="s">
        <v>76</v>
      </c>
      <c r="E1" s="169" t="s">
        <v>733</v>
      </c>
      <c r="F1" s="169" t="s">
        <v>72</v>
      </c>
      <c r="G1" s="170" t="s">
        <v>75</v>
      </c>
      <c r="H1" s="171" t="s">
        <v>74</v>
      </c>
      <c r="I1" s="172" t="s">
        <v>62</v>
      </c>
      <c r="J1" s="171" t="s">
        <v>64</v>
      </c>
      <c r="K1" s="185" t="s">
        <v>728</v>
      </c>
      <c r="L1" s="186" t="s">
        <v>729</v>
      </c>
      <c r="M1" s="186" t="s">
        <v>730</v>
      </c>
      <c r="N1" s="186" t="s">
        <v>746</v>
      </c>
      <c r="O1" s="187" t="s">
        <v>747</v>
      </c>
      <c r="P1" s="179" t="s">
        <v>100</v>
      </c>
      <c r="Q1" s="169" t="s">
        <v>101</v>
      </c>
      <c r="R1" s="169" t="s">
        <v>89</v>
      </c>
      <c r="S1" s="169" t="s">
        <v>102</v>
      </c>
      <c r="T1" s="173" t="s">
        <v>93</v>
      </c>
      <c r="U1" s="152" t="s">
        <v>718</v>
      </c>
      <c r="V1" s="224" t="s">
        <v>2011</v>
      </c>
      <c r="AB1" t="s">
        <v>2010</v>
      </c>
    </row>
    <row r="2" spans="1:28" ht="19.5" thickTop="1">
      <c r="A2" s="116">
        <v>1</v>
      </c>
      <c r="B2" s="119"/>
      <c r="C2" s="129"/>
      <c r="D2" s="119"/>
      <c r="E2" s="119"/>
      <c r="F2" s="119"/>
      <c r="G2" s="144"/>
      <c r="H2" s="148"/>
      <c r="I2" s="229"/>
      <c r="J2" s="174"/>
      <c r="K2" s="188"/>
      <c r="L2" s="123"/>
      <c r="M2" s="188"/>
      <c r="N2" s="123"/>
      <c r="O2" s="189"/>
      <c r="P2" s="180"/>
      <c r="Q2" s="123"/>
      <c r="R2" s="123"/>
      <c r="S2" s="123"/>
      <c r="T2" s="159"/>
      <c r="U2" s="153"/>
      <c r="AB2" t="s">
        <v>1851</v>
      </c>
    </row>
    <row r="3" spans="1:28">
      <c r="A3" s="117">
        <v>2</v>
      </c>
      <c r="B3" s="120"/>
      <c r="C3" s="129"/>
      <c r="D3" s="120"/>
      <c r="E3" s="120"/>
      <c r="F3" s="120"/>
      <c r="G3" s="145"/>
      <c r="H3" s="149"/>
      <c r="I3" s="160"/>
      <c r="J3" s="175"/>
      <c r="K3" s="190"/>
      <c r="L3" s="124"/>
      <c r="M3" s="124"/>
      <c r="N3" s="124"/>
      <c r="O3" s="191"/>
      <c r="P3" s="181"/>
      <c r="Q3" s="124"/>
      <c r="R3" s="124"/>
      <c r="S3" s="124"/>
      <c r="T3" s="161"/>
      <c r="U3" s="154"/>
      <c r="V3" s="222"/>
      <c r="AB3" t="s">
        <v>60</v>
      </c>
    </row>
    <row r="4" spans="1:28">
      <c r="A4" s="207">
        <v>3</v>
      </c>
      <c r="B4" s="208"/>
      <c r="C4" s="129"/>
      <c r="D4" s="208"/>
      <c r="E4" s="208"/>
      <c r="F4" s="208"/>
      <c r="G4" s="209"/>
      <c r="H4" s="210"/>
      <c r="I4" s="211"/>
      <c r="J4" s="212"/>
      <c r="K4" s="213"/>
      <c r="L4" s="214"/>
      <c r="M4" s="214"/>
      <c r="N4" s="214"/>
      <c r="O4" s="215"/>
      <c r="P4" s="216"/>
      <c r="Q4" s="214"/>
      <c r="R4" s="214"/>
      <c r="S4" s="214"/>
      <c r="T4" s="217"/>
      <c r="U4" s="154"/>
      <c r="V4" s="222"/>
      <c r="AB4" t="s">
        <v>54</v>
      </c>
    </row>
    <row r="5" spans="1:28">
      <c r="A5" s="207">
        <v>4</v>
      </c>
      <c r="B5" s="208"/>
      <c r="C5" s="129"/>
      <c r="D5" s="208"/>
      <c r="E5" s="208"/>
      <c r="F5" s="208"/>
      <c r="G5" s="209"/>
      <c r="H5" s="210"/>
      <c r="I5" s="211"/>
      <c r="J5" s="212"/>
      <c r="K5" s="213"/>
      <c r="L5" s="214"/>
      <c r="M5" s="214"/>
      <c r="N5" s="214"/>
      <c r="O5" s="215"/>
      <c r="P5" s="216"/>
      <c r="Q5" s="214"/>
      <c r="R5" s="214"/>
      <c r="S5" s="214"/>
      <c r="T5" s="217"/>
      <c r="U5" s="155"/>
      <c r="V5" s="222"/>
      <c r="AB5" t="s">
        <v>58</v>
      </c>
    </row>
    <row r="6" spans="1:28">
      <c r="A6" s="117">
        <v>5</v>
      </c>
      <c r="B6" s="120"/>
      <c r="C6" s="129"/>
      <c r="D6" s="120"/>
      <c r="E6" s="120"/>
      <c r="F6" s="120"/>
      <c r="G6" s="145"/>
      <c r="H6" s="149"/>
      <c r="I6" s="160"/>
      <c r="J6" s="175"/>
      <c r="K6" s="190"/>
      <c r="L6" s="124"/>
      <c r="M6" s="124"/>
      <c r="N6" s="124"/>
      <c r="O6" s="191"/>
      <c r="P6" s="181"/>
      <c r="Q6" s="124"/>
      <c r="R6" s="124"/>
      <c r="S6" s="124"/>
      <c r="T6" s="161"/>
      <c r="U6" s="155"/>
      <c r="V6" s="222"/>
      <c r="AB6" t="s">
        <v>1186</v>
      </c>
    </row>
    <row r="7" spans="1:28">
      <c r="A7" s="117">
        <v>6</v>
      </c>
      <c r="B7" s="120"/>
      <c r="C7" s="129"/>
      <c r="D7" s="120"/>
      <c r="E7" s="120"/>
      <c r="F7" s="120"/>
      <c r="G7" s="145"/>
      <c r="H7" s="149"/>
      <c r="I7" s="160"/>
      <c r="J7" s="175"/>
      <c r="K7" s="190"/>
      <c r="L7" s="124"/>
      <c r="M7" s="124"/>
      <c r="N7" s="124"/>
      <c r="O7" s="191"/>
      <c r="P7" s="181"/>
      <c r="Q7" s="124"/>
      <c r="R7" s="124"/>
      <c r="S7" s="124"/>
      <c r="T7" s="161"/>
      <c r="U7" s="155"/>
      <c r="V7" s="222"/>
      <c r="AB7" t="s">
        <v>55</v>
      </c>
    </row>
    <row r="8" spans="1:28">
      <c r="A8" s="207">
        <v>7</v>
      </c>
      <c r="B8" s="208"/>
      <c r="C8" s="129"/>
      <c r="D8" s="208"/>
      <c r="E8" s="208"/>
      <c r="F8" s="208"/>
      <c r="G8" s="209"/>
      <c r="H8" s="210"/>
      <c r="I8" s="211"/>
      <c r="J8" s="212"/>
      <c r="K8" s="213"/>
      <c r="L8" s="214"/>
      <c r="M8" s="214"/>
      <c r="N8" s="214"/>
      <c r="O8" s="215"/>
      <c r="P8" s="216"/>
      <c r="Q8" s="214"/>
      <c r="R8" s="214"/>
      <c r="S8" s="214"/>
      <c r="T8" s="217"/>
      <c r="U8" s="155"/>
      <c r="V8" s="222"/>
      <c r="AB8" t="s">
        <v>57</v>
      </c>
    </row>
    <row r="9" spans="1:28">
      <c r="A9" s="207">
        <v>8</v>
      </c>
      <c r="B9" s="208"/>
      <c r="C9" s="129"/>
      <c r="D9" s="208"/>
      <c r="E9" s="208"/>
      <c r="F9" s="208"/>
      <c r="G9" s="209"/>
      <c r="H9" s="210"/>
      <c r="I9" s="211"/>
      <c r="J9" s="212"/>
      <c r="K9" s="213"/>
      <c r="L9" s="214"/>
      <c r="M9" s="214"/>
      <c r="N9" s="214"/>
      <c r="O9" s="215"/>
      <c r="P9" s="216"/>
      <c r="Q9" s="214"/>
      <c r="R9" s="214"/>
      <c r="S9" s="214"/>
      <c r="T9" s="217"/>
      <c r="U9" s="155"/>
      <c r="V9" s="222"/>
      <c r="AB9" t="s">
        <v>1737</v>
      </c>
    </row>
    <row r="10" spans="1:28">
      <c r="A10" s="117">
        <v>9</v>
      </c>
      <c r="B10" s="120"/>
      <c r="C10" s="129"/>
      <c r="D10" s="120"/>
      <c r="E10" s="120"/>
      <c r="F10" s="120"/>
      <c r="G10" s="145"/>
      <c r="H10" s="149"/>
      <c r="I10" s="160"/>
      <c r="J10" s="175"/>
      <c r="K10" s="190"/>
      <c r="L10" s="124"/>
      <c r="M10" s="124"/>
      <c r="N10" s="124"/>
      <c r="O10" s="191"/>
      <c r="P10" s="181"/>
      <c r="Q10" s="124"/>
      <c r="R10" s="124"/>
      <c r="S10" s="124"/>
      <c r="T10" s="161"/>
      <c r="U10" s="155"/>
      <c r="V10" s="222"/>
      <c r="AB10" t="s">
        <v>1193</v>
      </c>
    </row>
    <row r="11" spans="1:28">
      <c r="A11" s="117">
        <v>10</v>
      </c>
      <c r="B11" s="120"/>
      <c r="C11" s="129"/>
      <c r="D11" s="120"/>
      <c r="E11" s="120"/>
      <c r="F11" s="120"/>
      <c r="G11" s="145"/>
      <c r="H11" s="149"/>
      <c r="I11" s="160"/>
      <c r="J11" s="175"/>
      <c r="K11" s="190"/>
      <c r="L11" s="124"/>
      <c r="M11" s="124"/>
      <c r="N11" s="124"/>
      <c r="O11" s="191"/>
      <c r="P11" s="181"/>
      <c r="Q11" s="124"/>
      <c r="R11" s="124"/>
      <c r="S11" s="124"/>
      <c r="T11" s="161"/>
      <c r="U11" s="155"/>
      <c r="V11" s="222"/>
      <c r="AB11" t="s">
        <v>2743</v>
      </c>
    </row>
    <row r="12" spans="1:28">
      <c r="A12" s="207">
        <v>11</v>
      </c>
      <c r="B12" s="208"/>
      <c r="C12" s="129"/>
      <c r="D12" s="208"/>
      <c r="E12" s="208"/>
      <c r="F12" s="208"/>
      <c r="G12" s="209"/>
      <c r="H12" s="210"/>
      <c r="I12" s="211"/>
      <c r="J12" s="212"/>
      <c r="K12" s="213"/>
      <c r="L12" s="214"/>
      <c r="M12" s="214"/>
      <c r="N12" s="214"/>
      <c r="O12" s="215"/>
      <c r="P12" s="216"/>
      <c r="Q12" s="214"/>
      <c r="R12" s="214"/>
      <c r="S12" s="214"/>
      <c r="T12" s="217"/>
      <c r="U12" s="155"/>
      <c r="V12" s="222"/>
      <c r="AB12" t="s">
        <v>894</v>
      </c>
    </row>
    <row r="13" spans="1:28">
      <c r="A13" s="207">
        <v>12</v>
      </c>
      <c r="B13" s="208"/>
      <c r="C13" s="129"/>
      <c r="D13" s="208"/>
      <c r="E13" s="208"/>
      <c r="F13" s="208"/>
      <c r="G13" s="209"/>
      <c r="H13" s="210"/>
      <c r="I13" s="211"/>
      <c r="J13" s="212"/>
      <c r="K13" s="213"/>
      <c r="L13" s="214"/>
      <c r="M13" s="214"/>
      <c r="N13" s="214"/>
      <c r="O13" s="215"/>
      <c r="P13" s="216"/>
      <c r="Q13" s="214"/>
      <c r="R13" s="214"/>
      <c r="S13" s="214"/>
      <c r="T13" s="217"/>
      <c r="U13" s="155"/>
      <c r="V13" s="222"/>
      <c r="AB13" t="s">
        <v>53</v>
      </c>
    </row>
    <row r="14" spans="1:28">
      <c r="A14" s="117">
        <v>13</v>
      </c>
      <c r="B14" s="120"/>
      <c r="C14" s="129"/>
      <c r="D14" s="120"/>
      <c r="E14" s="120"/>
      <c r="F14" s="120"/>
      <c r="G14" s="145"/>
      <c r="H14" s="149"/>
      <c r="I14" s="160"/>
      <c r="J14" s="175"/>
      <c r="K14" s="190"/>
      <c r="L14" s="124"/>
      <c r="M14" s="124"/>
      <c r="N14" s="124"/>
      <c r="O14" s="191"/>
      <c r="P14" s="181"/>
      <c r="Q14" s="124"/>
      <c r="R14" s="124"/>
      <c r="S14" s="124"/>
      <c r="T14" s="161"/>
      <c r="U14" s="155"/>
      <c r="V14" s="222"/>
      <c r="AB14" t="s">
        <v>2868</v>
      </c>
    </row>
    <row r="15" spans="1:28">
      <c r="A15" s="117">
        <v>14</v>
      </c>
      <c r="B15" s="120"/>
      <c r="C15" s="129"/>
      <c r="D15" s="120"/>
      <c r="E15" s="120"/>
      <c r="F15" s="120"/>
      <c r="G15" s="145"/>
      <c r="H15" s="149"/>
      <c r="I15" s="160"/>
      <c r="J15" s="175"/>
      <c r="K15" s="190"/>
      <c r="L15" s="124"/>
      <c r="M15" s="124"/>
      <c r="N15" s="124"/>
      <c r="O15" s="191"/>
      <c r="P15" s="181"/>
      <c r="Q15" s="124"/>
      <c r="R15" s="124"/>
      <c r="S15" s="124"/>
      <c r="T15" s="161"/>
      <c r="U15" s="155"/>
      <c r="V15" s="222"/>
      <c r="AB15" t="s">
        <v>1109</v>
      </c>
    </row>
    <row r="16" spans="1:28">
      <c r="A16" s="207">
        <v>15</v>
      </c>
      <c r="B16" s="208"/>
      <c r="C16" s="129"/>
      <c r="D16" s="208"/>
      <c r="E16" s="208"/>
      <c r="F16" s="208"/>
      <c r="G16" s="209"/>
      <c r="H16" s="210"/>
      <c r="I16" s="211"/>
      <c r="J16" s="212"/>
      <c r="K16" s="213"/>
      <c r="L16" s="214"/>
      <c r="M16" s="214"/>
      <c r="N16" s="214"/>
      <c r="O16" s="215"/>
      <c r="P16" s="216"/>
      <c r="Q16" s="214"/>
      <c r="R16" s="214"/>
      <c r="S16" s="214"/>
      <c r="T16" s="217"/>
      <c r="U16" s="155"/>
      <c r="V16" s="222"/>
      <c r="AB16" t="s">
        <v>56</v>
      </c>
    </row>
    <row r="17" spans="1:28">
      <c r="A17" s="207">
        <v>16</v>
      </c>
      <c r="B17" s="208"/>
      <c r="C17" s="208"/>
      <c r="D17" s="208"/>
      <c r="E17" s="208"/>
      <c r="F17" s="208"/>
      <c r="G17" s="209"/>
      <c r="H17" s="210"/>
      <c r="I17" s="211"/>
      <c r="J17" s="212"/>
      <c r="K17" s="213"/>
      <c r="L17" s="214"/>
      <c r="M17" s="214"/>
      <c r="N17" s="214"/>
      <c r="O17" s="215"/>
      <c r="P17" s="216"/>
      <c r="Q17" s="214"/>
      <c r="R17" s="214"/>
      <c r="S17" s="214"/>
      <c r="T17" s="217"/>
      <c r="U17" s="155"/>
      <c r="V17" s="222"/>
      <c r="AB17" t="s">
        <v>85</v>
      </c>
    </row>
    <row r="18" spans="1:28">
      <c r="A18" s="117">
        <v>17</v>
      </c>
      <c r="B18" s="120"/>
      <c r="C18" s="120"/>
      <c r="D18" s="120"/>
      <c r="E18" s="120"/>
      <c r="F18" s="120"/>
      <c r="G18" s="145"/>
      <c r="H18" s="149"/>
      <c r="I18" s="225"/>
      <c r="J18" s="175"/>
      <c r="K18" s="190"/>
      <c r="L18" s="124"/>
      <c r="M18" s="124"/>
      <c r="N18" s="124"/>
      <c r="O18" s="191"/>
      <c r="P18" s="181"/>
      <c r="Q18" s="124"/>
      <c r="R18" s="124"/>
      <c r="S18" s="124"/>
      <c r="T18" s="161"/>
      <c r="U18" s="155"/>
      <c r="V18" s="222"/>
      <c r="AB18" t="s">
        <v>2742</v>
      </c>
    </row>
    <row r="19" spans="1:28">
      <c r="A19" s="117">
        <v>18</v>
      </c>
      <c r="B19" s="120"/>
      <c r="C19" s="120"/>
      <c r="D19" s="120"/>
      <c r="E19" s="120"/>
      <c r="F19" s="120"/>
      <c r="G19" s="145"/>
      <c r="H19" s="149"/>
      <c r="I19" s="160"/>
      <c r="J19" s="175"/>
      <c r="K19" s="190"/>
      <c r="L19" s="124"/>
      <c r="M19" s="124"/>
      <c r="N19" s="124"/>
      <c r="O19" s="191"/>
      <c r="P19" s="181"/>
      <c r="Q19" s="124"/>
      <c r="R19" s="124"/>
      <c r="S19" s="124"/>
      <c r="T19" s="161"/>
      <c r="U19" s="155"/>
      <c r="V19" s="222"/>
      <c r="AB19" t="s">
        <v>1257</v>
      </c>
    </row>
    <row r="20" spans="1:28">
      <c r="A20" s="207">
        <v>19</v>
      </c>
      <c r="B20" s="208"/>
      <c r="C20" s="208"/>
      <c r="D20" s="208"/>
      <c r="E20" s="208"/>
      <c r="F20" s="208"/>
      <c r="G20" s="209"/>
      <c r="H20" s="210"/>
      <c r="I20" s="211"/>
      <c r="J20" s="212"/>
      <c r="K20" s="213"/>
      <c r="L20" s="214"/>
      <c r="M20" s="214"/>
      <c r="N20" s="214"/>
      <c r="O20" s="215"/>
      <c r="P20" s="216"/>
      <c r="Q20" s="214"/>
      <c r="R20" s="214"/>
      <c r="S20" s="214"/>
      <c r="T20" s="217"/>
      <c r="U20" s="155"/>
      <c r="V20" s="222"/>
      <c r="AB20" t="s">
        <v>2018</v>
      </c>
    </row>
    <row r="21" spans="1:28">
      <c r="A21" s="207">
        <v>20</v>
      </c>
      <c r="B21" s="208"/>
      <c r="C21" s="208"/>
      <c r="D21" s="208"/>
      <c r="E21" s="208"/>
      <c r="F21" s="208"/>
      <c r="G21" s="209"/>
      <c r="H21" s="210"/>
      <c r="I21" s="211"/>
      <c r="J21" s="212"/>
      <c r="K21" s="213"/>
      <c r="L21" s="214"/>
      <c r="M21" s="214"/>
      <c r="N21" s="214"/>
      <c r="O21" s="215"/>
      <c r="P21" s="216"/>
      <c r="Q21" s="214"/>
      <c r="R21" s="214"/>
      <c r="S21" s="214"/>
      <c r="T21" s="217"/>
      <c r="U21" s="155"/>
      <c r="V21" s="222"/>
      <c r="AB21" t="s">
        <v>2875</v>
      </c>
    </row>
    <row r="22" spans="1:28">
      <c r="A22" s="117">
        <v>21</v>
      </c>
      <c r="B22" s="120"/>
      <c r="C22" s="120"/>
      <c r="D22" s="120"/>
      <c r="E22" s="120"/>
      <c r="F22" s="120"/>
      <c r="G22" s="145"/>
      <c r="H22" s="149"/>
      <c r="I22" s="160"/>
      <c r="J22" s="175"/>
      <c r="K22" s="190"/>
      <c r="L22" s="124"/>
      <c r="M22" s="124"/>
      <c r="N22" s="124"/>
      <c r="O22" s="191"/>
      <c r="P22" s="181"/>
      <c r="Q22" s="124"/>
      <c r="R22" s="124"/>
      <c r="S22" s="124"/>
      <c r="T22" s="161"/>
      <c r="U22" s="155"/>
      <c r="V22" s="222"/>
      <c r="AB22" t="s">
        <v>725</v>
      </c>
    </row>
    <row r="23" spans="1:28">
      <c r="A23" s="117">
        <v>22</v>
      </c>
      <c r="B23" s="120"/>
      <c r="C23" s="120"/>
      <c r="D23" s="120"/>
      <c r="E23" s="120"/>
      <c r="F23" s="120"/>
      <c r="G23" s="145"/>
      <c r="H23" s="149"/>
      <c r="I23" s="160"/>
      <c r="J23" s="175"/>
      <c r="K23" s="190"/>
      <c r="L23" s="124"/>
      <c r="M23" s="124"/>
      <c r="N23" s="124"/>
      <c r="O23" s="191"/>
      <c r="P23" s="181"/>
      <c r="Q23" s="124"/>
      <c r="R23" s="124"/>
      <c r="S23" s="124"/>
      <c r="T23" s="161"/>
      <c r="U23" s="155"/>
      <c r="V23" s="222"/>
      <c r="AB23" t="s">
        <v>726</v>
      </c>
    </row>
    <row r="24" spans="1:28">
      <c r="A24" s="207">
        <v>23</v>
      </c>
      <c r="B24" s="208"/>
      <c r="C24" s="208"/>
      <c r="D24" s="208"/>
      <c r="E24" s="208"/>
      <c r="F24" s="208"/>
      <c r="G24" s="209"/>
      <c r="H24" s="210"/>
      <c r="I24" s="211"/>
      <c r="J24" s="212"/>
      <c r="K24" s="213"/>
      <c r="L24" s="214"/>
      <c r="M24" s="214"/>
      <c r="N24" s="214"/>
      <c r="O24" s="215"/>
      <c r="P24" s="216"/>
      <c r="Q24" s="214"/>
      <c r="R24" s="214"/>
      <c r="S24" s="214"/>
      <c r="T24" s="217"/>
      <c r="U24" s="155"/>
      <c r="V24" s="222"/>
      <c r="AB24" t="s">
        <v>59</v>
      </c>
    </row>
    <row r="25" spans="1:28">
      <c r="A25" s="207">
        <v>24</v>
      </c>
      <c r="B25" s="208"/>
      <c r="C25" s="208"/>
      <c r="D25" s="208"/>
      <c r="E25" s="208"/>
      <c r="F25" s="208"/>
      <c r="G25" s="209"/>
      <c r="H25" s="210"/>
      <c r="I25" s="211"/>
      <c r="J25" s="212"/>
      <c r="K25" s="213"/>
      <c r="L25" s="214"/>
      <c r="M25" s="214"/>
      <c r="N25" s="214"/>
      <c r="O25" s="215"/>
      <c r="P25" s="216"/>
      <c r="Q25" s="214"/>
      <c r="R25" s="214"/>
      <c r="S25" s="214"/>
      <c r="T25" s="217"/>
      <c r="U25" s="155"/>
      <c r="V25" s="222"/>
      <c r="AB25" t="s">
        <v>2219</v>
      </c>
    </row>
    <row r="26" spans="1:28">
      <c r="A26" s="117">
        <v>25</v>
      </c>
      <c r="B26" s="120"/>
      <c r="C26" s="120"/>
      <c r="D26" s="120"/>
      <c r="E26" s="120"/>
      <c r="F26" s="120"/>
      <c r="G26" s="145"/>
      <c r="H26" s="149"/>
      <c r="I26" s="160"/>
      <c r="J26" s="175"/>
      <c r="K26" s="190"/>
      <c r="L26" s="124"/>
      <c r="M26" s="124"/>
      <c r="N26" s="124"/>
      <c r="O26" s="191"/>
      <c r="P26" s="181"/>
      <c r="Q26" s="124"/>
      <c r="R26" s="124"/>
      <c r="S26" s="124"/>
      <c r="T26" s="161"/>
      <c r="U26" s="155"/>
      <c r="V26" s="222"/>
    </row>
    <row r="27" spans="1:28">
      <c r="A27" s="117">
        <v>26</v>
      </c>
      <c r="B27" s="120"/>
      <c r="C27" s="120"/>
      <c r="D27" s="120"/>
      <c r="E27" s="120"/>
      <c r="F27" s="120"/>
      <c r="G27" s="145"/>
      <c r="H27" s="149"/>
      <c r="I27" s="160"/>
      <c r="J27" s="175"/>
      <c r="K27" s="190"/>
      <c r="L27" s="124"/>
      <c r="M27" s="124"/>
      <c r="N27" s="124"/>
      <c r="O27" s="191"/>
      <c r="P27" s="181"/>
      <c r="Q27" s="124"/>
      <c r="R27" s="124"/>
      <c r="S27" s="124"/>
      <c r="T27" s="161"/>
      <c r="U27" s="155"/>
      <c r="V27" s="222"/>
    </row>
    <row r="28" spans="1:28">
      <c r="A28" s="207">
        <v>27</v>
      </c>
      <c r="B28" s="208"/>
      <c r="C28" s="208"/>
      <c r="D28" s="208"/>
      <c r="E28" s="208"/>
      <c r="F28" s="208"/>
      <c r="G28" s="209"/>
      <c r="H28" s="210"/>
      <c r="I28" s="211"/>
      <c r="J28" s="212"/>
      <c r="K28" s="213"/>
      <c r="L28" s="214"/>
      <c r="M28" s="214"/>
      <c r="N28" s="214"/>
      <c r="O28" s="215"/>
      <c r="P28" s="216"/>
      <c r="Q28" s="214"/>
      <c r="R28" s="214"/>
      <c r="S28" s="214"/>
      <c r="T28" s="217"/>
      <c r="U28" s="155"/>
      <c r="V28" s="222"/>
    </row>
    <row r="29" spans="1:28">
      <c r="A29" s="207">
        <v>28</v>
      </c>
      <c r="B29" s="208"/>
      <c r="C29" s="208"/>
      <c r="D29" s="208"/>
      <c r="E29" s="208"/>
      <c r="F29" s="208"/>
      <c r="G29" s="209"/>
      <c r="H29" s="210"/>
      <c r="I29" s="211"/>
      <c r="J29" s="212"/>
      <c r="K29" s="213"/>
      <c r="L29" s="214"/>
      <c r="M29" s="214"/>
      <c r="N29" s="214"/>
      <c r="O29" s="215"/>
      <c r="P29" s="216"/>
      <c r="Q29" s="214"/>
      <c r="R29" s="214"/>
      <c r="S29" s="214"/>
      <c r="T29" s="217"/>
      <c r="U29" s="155"/>
      <c r="V29" s="222"/>
    </row>
    <row r="30" spans="1:28">
      <c r="A30" s="117">
        <v>29</v>
      </c>
      <c r="B30" s="120"/>
      <c r="C30" s="120"/>
      <c r="D30" s="120"/>
      <c r="E30" s="120"/>
      <c r="F30" s="120"/>
      <c r="G30" s="145"/>
      <c r="H30" s="149"/>
      <c r="I30" s="160"/>
      <c r="J30" s="175"/>
      <c r="K30" s="190"/>
      <c r="L30" s="124"/>
      <c r="M30" s="124"/>
      <c r="N30" s="124"/>
      <c r="O30" s="191"/>
      <c r="P30" s="181"/>
      <c r="Q30" s="124"/>
      <c r="R30" s="124"/>
      <c r="S30" s="124"/>
      <c r="T30" s="161"/>
      <c r="U30" s="155"/>
      <c r="V30" s="222"/>
    </row>
    <row r="31" spans="1:28">
      <c r="A31" s="117">
        <v>30</v>
      </c>
      <c r="B31" s="120"/>
      <c r="C31" s="120"/>
      <c r="D31" s="120"/>
      <c r="E31" s="120"/>
      <c r="F31" s="120"/>
      <c r="G31" s="145"/>
      <c r="H31" s="149"/>
      <c r="I31" s="160"/>
      <c r="J31" s="175"/>
      <c r="K31" s="190"/>
      <c r="L31" s="124"/>
      <c r="M31" s="124"/>
      <c r="N31" s="124"/>
      <c r="O31" s="191"/>
      <c r="P31" s="181"/>
      <c r="Q31" s="124"/>
      <c r="R31" s="124"/>
      <c r="S31" s="124"/>
      <c r="T31" s="161"/>
      <c r="U31" s="155"/>
      <c r="V31" s="222"/>
    </row>
    <row r="32" spans="1:28">
      <c r="A32" s="207">
        <v>31</v>
      </c>
      <c r="B32" s="208"/>
      <c r="C32" s="208"/>
      <c r="D32" s="208"/>
      <c r="E32" s="208"/>
      <c r="F32" s="208"/>
      <c r="G32" s="209"/>
      <c r="H32" s="210"/>
      <c r="I32" s="211"/>
      <c r="J32" s="212"/>
      <c r="K32" s="213"/>
      <c r="L32" s="214"/>
      <c r="M32" s="214"/>
      <c r="N32" s="214"/>
      <c r="O32" s="215"/>
      <c r="P32" s="216"/>
      <c r="Q32" s="214"/>
      <c r="R32" s="214"/>
      <c r="S32" s="214"/>
      <c r="T32" s="217"/>
      <c r="U32" s="155"/>
      <c r="V32" s="222"/>
    </row>
    <row r="33" spans="1:22">
      <c r="A33" s="207">
        <v>32</v>
      </c>
      <c r="B33" s="208"/>
      <c r="C33" s="208"/>
      <c r="D33" s="208"/>
      <c r="E33" s="208"/>
      <c r="F33" s="208"/>
      <c r="G33" s="209"/>
      <c r="H33" s="210"/>
      <c r="I33" s="211"/>
      <c r="J33" s="212"/>
      <c r="K33" s="213"/>
      <c r="L33" s="214"/>
      <c r="M33" s="214"/>
      <c r="N33" s="214"/>
      <c r="O33" s="215"/>
      <c r="P33" s="216"/>
      <c r="Q33" s="214"/>
      <c r="R33" s="214"/>
      <c r="S33" s="214"/>
      <c r="T33" s="217"/>
      <c r="U33" s="155"/>
      <c r="V33" s="222"/>
    </row>
    <row r="34" spans="1:22">
      <c r="A34" s="117">
        <v>33</v>
      </c>
      <c r="B34" s="120"/>
      <c r="C34" s="120"/>
      <c r="D34" s="120"/>
      <c r="E34" s="120"/>
      <c r="F34" s="120"/>
      <c r="G34" s="145"/>
      <c r="H34" s="149"/>
      <c r="I34" s="160"/>
      <c r="J34" s="175"/>
      <c r="K34" s="190"/>
      <c r="L34" s="124"/>
      <c r="M34" s="124"/>
      <c r="N34" s="124"/>
      <c r="O34" s="191"/>
      <c r="P34" s="181"/>
      <c r="Q34" s="124"/>
      <c r="R34" s="124"/>
      <c r="S34" s="124"/>
      <c r="T34" s="161"/>
      <c r="U34" s="155"/>
      <c r="V34" s="222"/>
    </row>
    <row r="35" spans="1:22">
      <c r="A35" s="117">
        <v>34</v>
      </c>
      <c r="B35" s="120"/>
      <c r="C35" s="120"/>
      <c r="D35" s="120"/>
      <c r="E35" s="120"/>
      <c r="F35" s="120"/>
      <c r="G35" s="145"/>
      <c r="H35" s="149"/>
      <c r="I35" s="160"/>
      <c r="J35" s="175"/>
      <c r="K35" s="190"/>
      <c r="L35" s="124"/>
      <c r="M35" s="124"/>
      <c r="N35" s="124"/>
      <c r="O35" s="191"/>
      <c r="P35" s="181"/>
      <c r="Q35" s="124"/>
      <c r="R35" s="124"/>
      <c r="S35" s="124"/>
      <c r="T35" s="161"/>
      <c r="U35" s="155"/>
      <c r="V35" s="222"/>
    </row>
    <row r="36" spans="1:22">
      <c r="A36" s="207">
        <v>35</v>
      </c>
      <c r="B36" s="208"/>
      <c r="C36" s="208"/>
      <c r="D36" s="208"/>
      <c r="E36" s="208"/>
      <c r="F36" s="208"/>
      <c r="G36" s="209"/>
      <c r="H36" s="210"/>
      <c r="I36" s="211"/>
      <c r="J36" s="212"/>
      <c r="K36" s="213"/>
      <c r="L36" s="214"/>
      <c r="M36" s="214"/>
      <c r="N36" s="214"/>
      <c r="O36" s="215"/>
      <c r="P36" s="216"/>
      <c r="Q36" s="214"/>
      <c r="R36" s="214"/>
      <c r="S36" s="214"/>
      <c r="T36" s="217"/>
      <c r="U36" s="155"/>
      <c r="V36" s="222"/>
    </row>
    <row r="37" spans="1:22">
      <c r="A37" s="207">
        <v>36</v>
      </c>
      <c r="B37" s="208"/>
      <c r="C37" s="208"/>
      <c r="D37" s="208"/>
      <c r="E37" s="208"/>
      <c r="F37" s="208"/>
      <c r="G37" s="209"/>
      <c r="H37" s="210"/>
      <c r="I37" s="211"/>
      <c r="J37" s="212"/>
      <c r="K37" s="213"/>
      <c r="L37" s="214"/>
      <c r="M37" s="214"/>
      <c r="N37" s="214"/>
      <c r="O37" s="215"/>
      <c r="P37" s="216"/>
      <c r="Q37" s="214"/>
      <c r="R37" s="214"/>
      <c r="S37" s="214"/>
      <c r="T37" s="217"/>
      <c r="U37" s="155"/>
      <c r="V37" s="222"/>
    </row>
    <row r="38" spans="1:22">
      <c r="A38" s="117">
        <v>37</v>
      </c>
      <c r="B38" s="120"/>
      <c r="C38" s="120"/>
      <c r="D38" s="120"/>
      <c r="E38" s="120"/>
      <c r="F38" s="120"/>
      <c r="G38" s="145"/>
      <c r="H38" s="149"/>
      <c r="I38" s="160"/>
      <c r="J38" s="175"/>
      <c r="K38" s="190"/>
      <c r="L38" s="124"/>
      <c r="M38" s="124"/>
      <c r="N38" s="124"/>
      <c r="O38" s="191"/>
      <c r="P38" s="181"/>
      <c r="Q38" s="124"/>
      <c r="R38" s="124"/>
      <c r="S38" s="124"/>
      <c r="T38" s="161"/>
      <c r="U38" s="155"/>
      <c r="V38" s="222"/>
    </row>
    <row r="39" spans="1:22">
      <c r="A39" s="117">
        <v>38</v>
      </c>
      <c r="B39" s="120"/>
      <c r="C39" s="120"/>
      <c r="D39" s="120"/>
      <c r="E39" s="120"/>
      <c r="F39" s="120"/>
      <c r="G39" s="145"/>
      <c r="H39" s="149"/>
      <c r="I39" s="160"/>
      <c r="J39" s="175"/>
      <c r="K39" s="190"/>
      <c r="L39" s="124"/>
      <c r="M39" s="124"/>
      <c r="N39" s="124"/>
      <c r="O39" s="191"/>
      <c r="P39" s="181"/>
      <c r="Q39" s="124"/>
      <c r="R39" s="124"/>
      <c r="S39" s="124"/>
      <c r="T39" s="161"/>
      <c r="U39" s="155"/>
      <c r="V39" s="222"/>
    </row>
    <row r="40" spans="1:22">
      <c r="A40" s="207">
        <v>39</v>
      </c>
      <c r="B40" s="208"/>
      <c r="C40" s="208"/>
      <c r="D40" s="208"/>
      <c r="E40" s="208"/>
      <c r="F40" s="208"/>
      <c r="G40" s="209"/>
      <c r="H40" s="210"/>
      <c r="I40" s="211"/>
      <c r="J40" s="212"/>
      <c r="K40" s="213"/>
      <c r="L40" s="214"/>
      <c r="M40" s="214"/>
      <c r="N40" s="214"/>
      <c r="O40" s="215"/>
      <c r="P40" s="216"/>
      <c r="Q40" s="214"/>
      <c r="R40" s="214"/>
      <c r="S40" s="214"/>
      <c r="T40" s="217"/>
      <c r="U40" s="155"/>
      <c r="V40" s="222"/>
    </row>
    <row r="41" spans="1:22">
      <c r="A41" s="207">
        <v>40</v>
      </c>
      <c r="B41" s="208"/>
      <c r="C41" s="208"/>
      <c r="D41" s="208"/>
      <c r="E41" s="208"/>
      <c r="F41" s="208"/>
      <c r="G41" s="209"/>
      <c r="H41" s="210"/>
      <c r="I41" s="211"/>
      <c r="J41" s="212"/>
      <c r="K41" s="213"/>
      <c r="L41" s="214"/>
      <c r="M41" s="214"/>
      <c r="N41" s="214"/>
      <c r="O41" s="215"/>
      <c r="P41" s="216"/>
      <c r="Q41" s="214"/>
      <c r="R41" s="214"/>
      <c r="S41" s="214"/>
      <c r="T41" s="217"/>
      <c r="U41" s="155"/>
      <c r="V41" s="222"/>
    </row>
    <row r="42" spans="1:22">
      <c r="A42" s="117">
        <v>41</v>
      </c>
      <c r="B42" s="120"/>
      <c r="C42" s="120"/>
      <c r="D42" s="120"/>
      <c r="E42" s="120"/>
      <c r="F42" s="120"/>
      <c r="G42" s="145"/>
      <c r="H42" s="149"/>
      <c r="I42" s="160"/>
      <c r="J42" s="175"/>
      <c r="K42" s="190"/>
      <c r="L42" s="124"/>
      <c r="M42" s="124"/>
      <c r="N42" s="124"/>
      <c r="O42" s="191"/>
      <c r="P42" s="181"/>
      <c r="Q42" s="124"/>
      <c r="R42" s="124"/>
      <c r="S42" s="124"/>
      <c r="T42" s="161"/>
      <c r="U42" s="155"/>
      <c r="V42" s="222"/>
    </row>
    <row r="43" spans="1:22">
      <c r="A43" s="117">
        <v>42</v>
      </c>
      <c r="B43" s="120"/>
      <c r="C43" s="120"/>
      <c r="D43" s="120"/>
      <c r="E43" s="120"/>
      <c r="F43" s="120"/>
      <c r="G43" s="145"/>
      <c r="H43" s="149"/>
      <c r="I43" s="160"/>
      <c r="J43" s="175"/>
      <c r="K43" s="190"/>
      <c r="L43" s="124"/>
      <c r="M43" s="124"/>
      <c r="N43" s="124"/>
      <c r="O43" s="191"/>
      <c r="P43" s="181"/>
      <c r="Q43" s="124"/>
      <c r="R43" s="124"/>
      <c r="S43" s="124"/>
      <c r="T43" s="161"/>
      <c r="U43" s="155"/>
      <c r="V43" s="222"/>
    </row>
    <row r="44" spans="1:22">
      <c r="A44" s="117">
        <v>43</v>
      </c>
      <c r="B44" s="120"/>
      <c r="C44" s="120"/>
      <c r="D44" s="120"/>
      <c r="E44" s="120"/>
      <c r="F44" s="120"/>
      <c r="G44" s="145"/>
      <c r="H44" s="149"/>
      <c r="I44" s="160"/>
      <c r="J44" s="175"/>
      <c r="K44" s="190"/>
      <c r="L44" s="124"/>
      <c r="M44" s="124"/>
      <c r="N44" s="124"/>
      <c r="O44" s="191"/>
      <c r="P44" s="181"/>
      <c r="Q44" s="124"/>
      <c r="R44" s="124"/>
      <c r="S44" s="124"/>
      <c r="T44" s="161"/>
      <c r="U44" s="155"/>
      <c r="V44" s="222"/>
    </row>
    <row r="45" spans="1:22">
      <c r="A45" s="117">
        <v>44</v>
      </c>
      <c r="B45" s="120"/>
      <c r="C45" s="120"/>
      <c r="D45" s="120"/>
      <c r="E45" s="120"/>
      <c r="F45" s="120"/>
      <c r="G45" s="145"/>
      <c r="H45" s="149"/>
      <c r="I45" s="160"/>
      <c r="J45" s="175"/>
      <c r="K45" s="190"/>
      <c r="L45" s="124"/>
      <c r="M45" s="124"/>
      <c r="N45" s="124"/>
      <c r="O45" s="191"/>
      <c r="P45" s="181"/>
      <c r="Q45" s="124"/>
      <c r="R45" s="124"/>
      <c r="S45" s="124"/>
      <c r="T45" s="161"/>
      <c r="U45" s="155"/>
      <c r="V45" s="222"/>
    </row>
    <row r="46" spans="1:22">
      <c r="A46" s="117">
        <v>45</v>
      </c>
      <c r="B46" s="120"/>
      <c r="C46" s="120"/>
      <c r="D46" s="120"/>
      <c r="E46" s="120"/>
      <c r="F46" s="120"/>
      <c r="G46" s="145"/>
      <c r="H46" s="149"/>
      <c r="I46" s="160"/>
      <c r="J46" s="175"/>
      <c r="K46" s="190"/>
      <c r="L46" s="124"/>
      <c r="M46" s="124"/>
      <c r="N46" s="124"/>
      <c r="O46" s="191"/>
      <c r="P46" s="181"/>
      <c r="Q46" s="124"/>
      <c r="R46" s="124"/>
      <c r="S46" s="124"/>
      <c r="T46" s="161"/>
      <c r="U46" s="155"/>
      <c r="V46" s="222"/>
    </row>
    <row r="47" spans="1:22">
      <c r="A47" s="117">
        <v>46</v>
      </c>
      <c r="B47" s="120"/>
      <c r="C47" s="120"/>
      <c r="D47" s="120"/>
      <c r="E47" s="120"/>
      <c r="F47" s="120"/>
      <c r="G47" s="145"/>
      <c r="H47" s="149"/>
      <c r="I47" s="160"/>
      <c r="J47" s="175"/>
      <c r="K47" s="190"/>
      <c r="L47" s="124"/>
      <c r="M47" s="124"/>
      <c r="N47" s="124"/>
      <c r="O47" s="191"/>
      <c r="P47" s="181"/>
      <c r="Q47" s="124"/>
      <c r="R47" s="124"/>
      <c r="S47" s="124"/>
      <c r="T47" s="161"/>
      <c r="U47" s="155"/>
      <c r="V47" s="222"/>
    </row>
    <row r="48" spans="1:22">
      <c r="A48" s="117">
        <v>47</v>
      </c>
      <c r="B48" s="120"/>
      <c r="C48" s="120"/>
      <c r="D48" s="120"/>
      <c r="E48" s="120"/>
      <c r="F48" s="120"/>
      <c r="G48" s="145"/>
      <c r="H48" s="149"/>
      <c r="I48" s="160"/>
      <c r="J48" s="175"/>
      <c r="K48" s="190"/>
      <c r="L48" s="124"/>
      <c r="M48" s="124"/>
      <c r="N48" s="124"/>
      <c r="O48" s="191"/>
      <c r="P48" s="181"/>
      <c r="Q48" s="124"/>
      <c r="R48" s="124"/>
      <c r="S48" s="124"/>
      <c r="T48" s="161"/>
      <c r="U48" s="155"/>
      <c r="V48" s="222"/>
    </row>
    <row r="49" spans="1:22">
      <c r="A49" s="117">
        <v>48</v>
      </c>
      <c r="B49" s="120"/>
      <c r="C49" s="120"/>
      <c r="D49" s="120"/>
      <c r="E49" s="120"/>
      <c r="F49" s="120"/>
      <c r="G49" s="145"/>
      <c r="H49" s="149"/>
      <c r="I49" s="160"/>
      <c r="J49" s="175"/>
      <c r="K49" s="190"/>
      <c r="L49" s="124"/>
      <c r="M49" s="124"/>
      <c r="N49" s="124"/>
      <c r="O49" s="191"/>
      <c r="P49" s="181"/>
      <c r="Q49" s="124"/>
      <c r="R49" s="124"/>
      <c r="S49" s="124"/>
      <c r="T49" s="161"/>
      <c r="U49" s="155"/>
      <c r="V49" s="222"/>
    </row>
    <row r="50" spans="1:22">
      <c r="A50" s="117">
        <v>49</v>
      </c>
      <c r="B50" s="120"/>
      <c r="C50" s="120"/>
      <c r="D50" s="120"/>
      <c r="E50" s="120"/>
      <c r="F50" s="120"/>
      <c r="G50" s="145"/>
      <c r="H50" s="149"/>
      <c r="I50" s="160"/>
      <c r="J50" s="175"/>
      <c r="K50" s="190"/>
      <c r="L50" s="124"/>
      <c r="M50" s="124"/>
      <c r="N50" s="124"/>
      <c r="O50" s="191"/>
      <c r="P50" s="181"/>
      <c r="Q50" s="124"/>
      <c r="R50" s="124"/>
      <c r="S50" s="124"/>
      <c r="T50" s="161"/>
      <c r="U50" s="155"/>
      <c r="V50" s="222"/>
    </row>
    <row r="51" spans="1:22">
      <c r="A51" s="117">
        <v>50</v>
      </c>
      <c r="B51" s="120"/>
      <c r="C51" s="120"/>
      <c r="D51" s="120"/>
      <c r="E51" s="120"/>
      <c r="F51" s="120"/>
      <c r="G51" s="145"/>
      <c r="H51" s="149"/>
      <c r="I51" s="160"/>
      <c r="J51" s="175"/>
      <c r="K51" s="190"/>
      <c r="L51" s="124"/>
      <c r="M51" s="124"/>
      <c r="N51" s="124"/>
      <c r="O51" s="191"/>
      <c r="P51" s="181"/>
      <c r="Q51" s="124"/>
      <c r="R51" s="124"/>
      <c r="S51" s="124"/>
      <c r="T51" s="161"/>
      <c r="U51" s="155"/>
      <c r="V51" s="222"/>
    </row>
    <row r="52" spans="1:22">
      <c r="A52" s="117">
        <v>51</v>
      </c>
      <c r="B52" s="120"/>
      <c r="C52" s="120"/>
      <c r="D52" s="120"/>
      <c r="E52" s="120"/>
      <c r="F52" s="120"/>
      <c r="G52" s="145"/>
      <c r="H52" s="149"/>
      <c r="I52" s="160"/>
      <c r="J52" s="175"/>
      <c r="K52" s="190"/>
      <c r="L52" s="124"/>
      <c r="M52" s="124"/>
      <c r="N52" s="124"/>
      <c r="O52" s="191"/>
      <c r="P52" s="181"/>
      <c r="Q52" s="124"/>
      <c r="R52" s="124"/>
      <c r="S52" s="124"/>
      <c r="T52" s="161"/>
      <c r="U52" s="155"/>
      <c r="V52" s="222"/>
    </row>
    <row r="53" spans="1:22">
      <c r="A53" s="117">
        <v>52</v>
      </c>
      <c r="B53" s="120"/>
      <c r="C53" s="120"/>
      <c r="D53" s="120"/>
      <c r="E53" s="120"/>
      <c r="F53" s="120"/>
      <c r="G53" s="145"/>
      <c r="H53" s="149"/>
      <c r="I53" s="160"/>
      <c r="J53" s="175"/>
      <c r="K53" s="190"/>
      <c r="L53" s="124"/>
      <c r="M53" s="124"/>
      <c r="N53" s="124"/>
      <c r="O53" s="191"/>
      <c r="P53" s="181"/>
      <c r="Q53" s="124"/>
      <c r="R53" s="124"/>
      <c r="S53" s="124"/>
      <c r="T53" s="161"/>
      <c r="U53" s="155"/>
      <c r="V53" s="222"/>
    </row>
    <row r="54" spans="1:22">
      <c r="A54" s="117">
        <v>53</v>
      </c>
      <c r="B54" s="120"/>
      <c r="C54" s="120"/>
      <c r="D54" s="120"/>
      <c r="E54" s="120"/>
      <c r="F54" s="120"/>
      <c r="G54" s="145"/>
      <c r="H54" s="149"/>
      <c r="I54" s="160"/>
      <c r="J54" s="175"/>
      <c r="K54" s="190"/>
      <c r="L54" s="124"/>
      <c r="M54" s="124"/>
      <c r="N54" s="124"/>
      <c r="O54" s="191"/>
      <c r="P54" s="181"/>
      <c r="Q54" s="124"/>
      <c r="R54" s="124"/>
      <c r="S54" s="124"/>
      <c r="T54" s="161"/>
      <c r="U54" s="155"/>
      <c r="V54" s="222"/>
    </row>
    <row r="55" spans="1:22">
      <c r="A55" s="117">
        <v>54</v>
      </c>
      <c r="B55" s="120"/>
      <c r="C55" s="120"/>
      <c r="D55" s="120"/>
      <c r="E55" s="120"/>
      <c r="F55" s="120"/>
      <c r="G55" s="145"/>
      <c r="H55" s="149"/>
      <c r="I55" s="160"/>
      <c r="J55" s="175"/>
      <c r="K55" s="190"/>
      <c r="L55" s="124"/>
      <c r="M55" s="124"/>
      <c r="N55" s="124"/>
      <c r="O55" s="191"/>
      <c r="P55" s="181"/>
      <c r="Q55" s="124"/>
      <c r="R55" s="124"/>
      <c r="S55" s="124"/>
      <c r="T55" s="161"/>
      <c r="U55" s="155"/>
      <c r="V55" s="222"/>
    </row>
    <row r="56" spans="1:22">
      <c r="A56" s="117">
        <v>55</v>
      </c>
      <c r="B56" s="120"/>
      <c r="C56" s="120"/>
      <c r="D56" s="120"/>
      <c r="E56" s="120"/>
      <c r="F56" s="120"/>
      <c r="G56" s="145"/>
      <c r="H56" s="149"/>
      <c r="I56" s="160"/>
      <c r="J56" s="175"/>
      <c r="K56" s="190"/>
      <c r="L56" s="124"/>
      <c r="M56" s="124"/>
      <c r="N56" s="124"/>
      <c r="O56" s="191"/>
      <c r="P56" s="181"/>
      <c r="Q56" s="124"/>
      <c r="R56" s="124"/>
      <c r="S56" s="124"/>
      <c r="T56" s="161"/>
      <c r="U56" s="155"/>
      <c r="V56" s="222"/>
    </row>
    <row r="57" spans="1:22">
      <c r="A57" s="117">
        <v>56</v>
      </c>
      <c r="B57" s="120"/>
      <c r="C57" s="120"/>
      <c r="D57" s="120"/>
      <c r="E57" s="120"/>
      <c r="F57" s="120"/>
      <c r="G57" s="145"/>
      <c r="H57" s="149"/>
      <c r="I57" s="160"/>
      <c r="J57" s="175"/>
      <c r="K57" s="190"/>
      <c r="L57" s="124"/>
      <c r="M57" s="124"/>
      <c r="N57" s="124"/>
      <c r="O57" s="191"/>
      <c r="P57" s="181"/>
      <c r="Q57" s="124"/>
      <c r="R57" s="124"/>
      <c r="S57" s="124"/>
      <c r="T57" s="161"/>
      <c r="U57" s="155"/>
      <c r="V57" s="222"/>
    </row>
    <row r="58" spans="1:22">
      <c r="A58" s="117">
        <v>57</v>
      </c>
      <c r="B58" s="120"/>
      <c r="C58" s="120"/>
      <c r="D58" s="120"/>
      <c r="E58" s="120"/>
      <c r="F58" s="120"/>
      <c r="G58" s="145"/>
      <c r="H58" s="149"/>
      <c r="I58" s="160"/>
      <c r="J58" s="175"/>
      <c r="K58" s="190"/>
      <c r="L58" s="124"/>
      <c r="M58" s="124"/>
      <c r="N58" s="124"/>
      <c r="O58" s="191"/>
      <c r="P58" s="181"/>
      <c r="Q58" s="124"/>
      <c r="R58" s="124"/>
      <c r="S58" s="124"/>
      <c r="T58" s="161"/>
      <c r="U58" s="155"/>
      <c r="V58" s="222"/>
    </row>
    <row r="59" spans="1:22">
      <c r="A59" s="117">
        <v>58</v>
      </c>
      <c r="B59" s="120"/>
      <c r="C59" s="120"/>
      <c r="D59" s="120"/>
      <c r="E59" s="120"/>
      <c r="F59" s="120"/>
      <c r="G59" s="145"/>
      <c r="H59" s="149"/>
      <c r="I59" s="160"/>
      <c r="J59" s="175"/>
      <c r="K59" s="190"/>
      <c r="L59" s="124"/>
      <c r="M59" s="124"/>
      <c r="N59" s="124"/>
      <c r="O59" s="191"/>
      <c r="P59" s="181"/>
      <c r="Q59" s="124"/>
      <c r="R59" s="124"/>
      <c r="S59" s="124"/>
      <c r="T59" s="161"/>
      <c r="U59" s="155"/>
      <c r="V59" s="222"/>
    </row>
    <row r="60" spans="1:22">
      <c r="A60" s="117">
        <v>59</v>
      </c>
      <c r="B60" s="120"/>
      <c r="C60" s="120"/>
      <c r="D60" s="120"/>
      <c r="E60" s="120"/>
      <c r="F60" s="120"/>
      <c r="G60" s="145"/>
      <c r="H60" s="149"/>
      <c r="I60" s="160"/>
      <c r="J60" s="175"/>
      <c r="K60" s="190"/>
      <c r="L60" s="124"/>
      <c r="M60" s="124"/>
      <c r="N60" s="124"/>
      <c r="O60" s="191"/>
      <c r="P60" s="181"/>
      <c r="Q60" s="124"/>
      <c r="R60" s="124"/>
      <c r="S60" s="124"/>
      <c r="T60" s="161"/>
      <c r="U60" s="155"/>
      <c r="V60" s="222"/>
    </row>
    <row r="61" spans="1:22">
      <c r="A61" s="117">
        <v>60</v>
      </c>
      <c r="B61" s="120"/>
      <c r="C61" s="120"/>
      <c r="D61" s="120"/>
      <c r="E61" s="120"/>
      <c r="F61" s="120"/>
      <c r="G61" s="145"/>
      <c r="H61" s="149"/>
      <c r="I61" s="160"/>
      <c r="J61" s="175"/>
      <c r="K61" s="190"/>
      <c r="L61" s="124"/>
      <c r="M61" s="124"/>
      <c r="N61" s="124"/>
      <c r="O61" s="191"/>
      <c r="P61" s="181"/>
      <c r="Q61" s="124"/>
      <c r="R61" s="124"/>
      <c r="S61" s="124"/>
      <c r="T61" s="161"/>
      <c r="U61" s="155"/>
      <c r="V61" s="222"/>
    </row>
    <row r="62" spans="1:22">
      <c r="A62" s="117">
        <v>61</v>
      </c>
      <c r="B62" s="120"/>
      <c r="C62" s="120"/>
      <c r="D62" s="120"/>
      <c r="E62" s="120"/>
      <c r="F62" s="120"/>
      <c r="G62" s="145"/>
      <c r="H62" s="149"/>
      <c r="I62" s="160"/>
      <c r="J62" s="175"/>
      <c r="K62" s="190"/>
      <c r="L62" s="124"/>
      <c r="M62" s="124"/>
      <c r="N62" s="124"/>
      <c r="O62" s="191"/>
      <c r="P62" s="181"/>
      <c r="Q62" s="124"/>
      <c r="R62" s="124"/>
      <c r="S62" s="124"/>
      <c r="T62" s="161"/>
      <c r="U62" s="155"/>
      <c r="V62" s="222"/>
    </row>
    <row r="63" spans="1:22">
      <c r="A63" s="117">
        <v>62</v>
      </c>
      <c r="B63" s="120"/>
      <c r="C63" s="120"/>
      <c r="D63" s="120"/>
      <c r="E63" s="120"/>
      <c r="F63" s="120"/>
      <c r="G63" s="145"/>
      <c r="H63" s="149"/>
      <c r="I63" s="160"/>
      <c r="J63" s="175"/>
      <c r="K63" s="190"/>
      <c r="L63" s="124"/>
      <c r="M63" s="124"/>
      <c r="N63" s="124"/>
      <c r="O63" s="191"/>
      <c r="P63" s="181"/>
      <c r="Q63" s="124"/>
      <c r="R63" s="124"/>
      <c r="S63" s="124"/>
      <c r="T63" s="161"/>
      <c r="U63" s="155"/>
      <c r="V63" s="222"/>
    </row>
    <row r="64" spans="1:22">
      <c r="A64" s="117">
        <v>63</v>
      </c>
      <c r="B64" s="120"/>
      <c r="C64" s="120"/>
      <c r="D64" s="120"/>
      <c r="E64" s="120"/>
      <c r="F64" s="120"/>
      <c r="G64" s="145"/>
      <c r="H64" s="149"/>
      <c r="I64" s="160"/>
      <c r="J64" s="175"/>
      <c r="K64" s="190"/>
      <c r="L64" s="124"/>
      <c r="M64" s="124"/>
      <c r="N64" s="124"/>
      <c r="O64" s="191"/>
      <c r="P64" s="181"/>
      <c r="Q64" s="124"/>
      <c r="R64" s="124"/>
      <c r="S64" s="124"/>
      <c r="T64" s="161"/>
      <c r="U64" s="155"/>
      <c r="V64" s="222"/>
    </row>
    <row r="65" spans="1:22">
      <c r="A65" s="117">
        <v>64</v>
      </c>
      <c r="B65" s="120"/>
      <c r="C65" s="120"/>
      <c r="D65" s="120"/>
      <c r="E65" s="120"/>
      <c r="F65" s="120"/>
      <c r="G65" s="145"/>
      <c r="H65" s="149"/>
      <c r="I65" s="160"/>
      <c r="J65" s="175"/>
      <c r="K65" s="190"/>
      <c r="L65" s="124"/>
      <c r="M65" s="124"/>
      <c r="N65" s="124"/>
      <c r="O65" s="191"/>
      <c r="P65" s="181"/>
      <c r="Q65" s="124"/>
      <c r="R65" s="124"/>
      <c r="S65" s="124"/>
      <c r="T65" s="161"/>
      <c r="U65" s="155"/>
      <c r="V65" s="222"/>
    </row>
    <row r="66" spans="1:22">
      <c r="A66" s="117">
        <v>65</v>
      </c>
      <c r="B66" s="120"/>
      <c r="C66" s="120"/>
      <c r="D66" s="120"/>
      <c r="E66" s="120"/>
      <c r="F66" s="120"/>
      <c r="G66" s="145"/>
      <c r="H66" s="149"/>
      <c r="I66" s="160"/>
      <c r="J66" s="175"/>
      <c r="K66" s="190"/>
      <c r="L66" s="124"/>
      <c r="M66" s="124"/>
      <c r="N66" s="124"/>
      <c r="O66" s="191"/>
      <c r="P66" s="181"/>
      <c r="Q66" s="124"/>
      <c r="R66" s="124"/>
      <c r="S66" s="124"/>
      <c r="T66" s="161"/>
      <c r="U66" s="155"/>
      <c r="V66" s="222"/>
    </row>
    <row r="67" spans="1:22">
      <c r="A67" s="117">
        <v>66</v>
      </c>
      <c r="B67" s="120"/>
      <c r="C67" s="120"/>
      <c r="D67" s="120"/>
      <c r="E67" s="120"/>
      <c r="F67" s="120"/>
      <c r="G67" s="145"/>
      <c r="H67" s="149"/>
      <c r="I67" s="160"/>
      <c r="J67" s="175"/>
      <c r="K67" s="190"/>
      <c r="L67" s="124"/>
      <c r="M67" s="124"/>
      <c r="N67" s="124"/>
      <c r="O67" s="191"/>
      <c r="P67" s="181"/>
      <c r="Q67" s="124"/>
      <c r="R67" s="124"/>
      <c r="S67" s="124"/>
      <c r="T67" s="161"/>
      <c r="U67" s="155"/>
      <c r="V67" s="222"/>
    </row>
    <row r="68" spans="1:22">
      <c r="A68" s="117">
        <v>67</v>
      </c>
      <c r="B68" s="120"/>
      <c r="C68" s="120"/>
      <c r="D68" s="120"/>
      <c r="E68" s="120"/>
      <c r="F68" s="120"/>
      <c r="G68" s="145"/>
      <c r="H68" s="149"/>
      <c r="I68" s="160"/>
      <c r="J68" s="175"/>
      <c r="K68" s="190"/>
      <c r="L68" s="124"/>
      <c r="M68" s="124"/>
      <c r="N68" s="124"/>
      <c r="O68" s="191"/>
      <c r="P68" s="181"/>
      <c r="Q68" s="124"/>
      <c r="R68" s="124"/>
      <c r="S68" s="124"/>
      <c r="T68" s="161"/>
      <c r="U68" s="155"/>
      <c r="V68" s="222"/>
    </row>
    <row r="69" spans="1:22">
      <c r="A69" s="117">
        <v>68</v>
      </c>
      <c r="B69" s="120"/>
      <c r="C69" s="120"/>
      <c r="D69" s="120"/>
      <c r="E69" s="120"/>
      <c r="F69" s="120"/>
      <c r="G69" s="145"/>
      <c r="H69" s="149"/>
      <c r="I69" s="160"/>
      <c r="J69" s="175"/>
      <c r="K69" s="190"/>
      <c r="L69" s="124"/>
      <c r="M69" s="124"/>
      <c r="N69" s="124"/>
      <c r="O69" s="191"/>
      <c r="P69" s="181"/>
      <c r="Q69" s="124"/>
      <c r="R69" s="124"/>
      <c r="S69" s="124"/>
      <c r="T69" s="161"/>
      <c r="U69" s="155"/>
      <c r="V69" s="222"/>
    </row>
    <row r="70" spans="1:22">
      <c r="A70" s="117">
        <v>69</v>
      </c>
      <c r="B70" s="120"/>
      <c r="C70" s="120"/>
      <c r="D70" s="120"/>
      <c r="E70" s="120"/>
      <c r="F70" s="120"/>
      <c r="G70" s="145"/>
      <c r="H70" s="149"/>
      <c r="I70" s="160"/>
      <c r="J70" s="175"/>
      <c r="K70" s="190"/>
      <c r="L70" s="124"/>
      <c r="M70" s="124"/>
      <c r="N70" s="124"/>
      <c r="O70" s="191"/>
      <c r="P70" s="181"/>
      <c r="Q70" s="124"/>
      <c r="R70" s="124"/>
      <c r="S70" s="124"/>
      <c r="T70" s="161"/>
      <c r="U70" s="155"/>
      <c r="V70" s="222"/>
    </row>
    <row r="71" spans="1:22">
      <c r="A71" s="117">
        <v>70</v>
      </c>
      <c r="B71" s="120"/>
      <c r="C71" s="120"/>
      <c r="D71" s="120"/>
      <c r="E71" s="120"/>
      <c r="F71" s="120"/>
      <c r="G71" s="145"/>
      <c r="H71" s="149"/>
      <c r="I71" s="160"/>
      <c r="J71" s="175"/>
      <c r="K71" s="190"/>
      <c r="L71" s="124"/>
      <c r="M71" s="124"/>
      <c r="N71" s="124"/>
      <c r="O71" s="191"/>
      <c r="P71" s="181"/>
      <c r="Q71" s="124"/>
      <c r="R71" s="124"/>
      <c r="S71" s="124"/>
      <c r="T71" s="161"/>
      <c r="U71" s="155"/>
      <c r="V71" s="222"/>
    </row>
    <row r="72" spans="1:22">
      <c r="A72" s="117">
        <v>71</v>
      </c>
      <c r="B72" s="120"/>
      <c r="C72" s="120"/>
      <c r="D72" s="120"/>
      <c r="E72" s="120"/>
      <c r="F72" s="120"/>
      <c r="G72" s="145"/>
      <c r="H72" s="149"/>
      <c r="I72" s="160"/>
      <c r="J72" s="175"/>
      <c r="K72" s="190"/>
      <c r="L72" s="124"/>
      <c r="M72" s="124"/>
      <c r="N72" s="124"/>
      <c r="O72" s="191"/>
      <c r="P72" s="181"/>
      <c r="Q72" s="124"/>
      <c r="R72" s="124"/>
      <c r="S72" s="124"/>
      <c r="T72" s="161"/>
      <c r="U72" s="155"/>
      <c r="V72" s="222"/>
    </row>
    <row r="73" spans="1:22">
      <c r="A73" s="117">
        <v>72</v>
      </c>
      <c r="B73" s="120"/>
      <c r="C73" s="120"/>
      <c r="D73" s="120"/>
      <c r="E73" s="120"/>
      <c r="F73" s="120"/>
      <c r="G73" s="145"/>
      <c r="H73" s="149"/>
      <c r="I73" s="160"/>
      <c r="J73" s="175"/>
      <c r="K73" s="190"/>
      <c r="L73" s="124"/>
      <c r="M73" s="124"/>
      <c r="N73" s="124"/>
      <c r="O73" s="191"/>
      <c r="P73" s="181"/>
      <c r="Q73" s="124"/>
      <c r="R73" s="124"/>
      <c r="S73" s="124"/>
      <c r="T73" s="161"/>
      <c r="U73" s="155"/>
      <c r="V73" s="222"/>
    </row>
    <row r="74" spans="1:22">
      <c r="A74" s="117">
        <v>73</v>
      </c>
      <c r="B74" s="120"/>
      <c r="C74" s="120"/>
      <c r="D74" s="120"/>
      <c r="E74" s="120"/>
      <c r="F74" s="120"/>
      <c r="G74" s="145"/>
      <c r="H74" s="149"/>
      <c r="I74" s="160"/>
      <c r="J74" s="175"/>
      <c r="K74" s="190"/>
      <c r="L74" s="124"/>
      <c r="M74" s="124"/>
      <c r="N74" s="124"/>
      <c r="O74" s="191"/>
      <c r="P74" s="181"/>
      <c r="Q74" s="124"/>
      <c r="R74" s="124"/>
      <c r="S74" s="124"/>
      <c r="T74" s="161"/>
      <c r="U74" s="155"/>
      <c r="V74" s="222"/>
    </row>
    <row r="75" spans="1:22">
      <c r="A75" s="117">
        <v>74</v>
      </c>
      <c r="B75" s="120"/>
      <c r="C75" s="120"/>
      <c r="D75" s="120"/>
      <c r="E75" s="120"/>
      <c r="F75" s="120"/>
      <c r="G75" s="145"/>
      <c r="H75" s="149"/>
      <c r="I75" s="160"/>
      <c r="J75" s="175"/>
      <c r="K75" s="190"/>
      <c r="L75" s="124"/>
      <c r="M75" s="124"/>
      <c r="N75" s="124"/>
      <c r="O75" s="191"/>
      <c r="P75" s="181"/>
      <c r="Q75" s="124"/>
      <c r="R75" s="124"/>
      <c r="S75" s="124"/>
      <c r="T75" s="161"/>
      <c r="U75" s="155"/>
      <c r="V75" s="222"/>
    </row>
    <row r="76" spans="1:22">
      <c r="A76" s="117">
        <v>75</v>
      </c>
      <c r="B76" s="120"/>
      <c r="C76" s="120"/>
      <c r="D76" s="120"/>
      <c r="E76" s="120"/>
      <c r="F76" s="120"/>
      <c r="G76" s="145"/>
      <c r="H76" s="149"/>
      <c r="I76" s="160"/>
      <c r="J76" s="175"/>
      <c r="K76" s="190"/>
      <c r="L76" s="124"/>
      <c r="M76" s="124"/>
      <c r="N76" s="124"/>
      <c r="O76" s="191"/>
      <c r="P76" s="181"/>
      <c r="Q76" s="124"/>
      <c r="R76" s="124"/>
      <c r="S76" s="124"/>
      <c r="T76" s="161"/>
      <c r="U76" s="155"/>
      <c r="V76" s="222"/>
    </row>
    <row r="77" spans="1:22">
      <c r="A77" s="117">
        <v>76</v>
      </c>
      <c r="B77" s="120"/>
      <c r="C77" s="120"/>
      <c r="D77" s="120"/>
      <c r="E77" s="120"/>
      <c r="F77" s="120"/>
      <c r="G77" s="145"/>
      <c r="H77" s="149"/>
      <c r="I77" s="160"/>
      <c r="J77" s="175"/>
      <c r="K77" s="190"/>
      <c r="L77" s="124"/>
      <c r="M77" s="124"/>
      <c r="N77" s="124"/>
      <c r="O77" s="191"/>
      <c r="P77" s="181"/>
      <c r="Q77" s="124"/>
      <c r="R77" s="124"/>
      <c r="S77" s="124"/>
      <c r="T77" s="161"/>
      <c r="U77" s="155"/>
      <c r="V77" s="222"/>
    </row>
    <row r="78" spans="1:22">
      <c r="A78" s="117">
        <v>77</v>
      </c>
      <c r="B78" s="120"/>
      <c r="C78" s="120"/>
      <c r="D78" s="120"/>
      <c r="E78" s="120"/>
      <c r="F78" s="120"/>
      <c r="G78" s="145"/>
      <c r="H78" s="149"/>
      <c r="I78" s="160"/>
      <c r="J78" s="175"/>
      <c r="K78" s="190"/>
      <c r="L78" s="124"/>
      <c r="M78" s="124"/>
      <c r="N78" s="124"/>
      <c r="O78" s="191"/>
      <c r="P78" s="181"/>
      <c r="Q78" s="124"/>
      <c r="R78" s="124"/>
      <c r="S78" s="124"/>
      <c r="T78" s="161"/>
      <c r="U78" s="155"/>
      <c r="V78" s="222"/>
    </row>
    <row r="79" spans="1:22">
      <c r="A79" s="117">
        <v>78</v>
      </c>
      <c r="B79" s="120"/>
      <c r="C79" s="120"/>
      <c r="D79" s="120"/>
      <c r="E79" s="120"/>
      <c r="F79" s="120"/>
      <c r="G79" s="145"/>
      <c r="H79" s="149"/>
      <c r="I79" s="160"/>
      <c r="J79" s="175"/>
      <c r="K79" s="190"/>
      <c r="L79" s="124"/>
      <c r="M79" s="124"/>
      <c r="N79" s="124"/>
      <c r="O79" s="191"/>
      <c r="P79" s="181"/>
      <c r="Q79" s="124"/>
      <c r="R79" s="124"/>
      <c r="S79" s="124"/>
      <c r="T79" s="161"/>
      <c r="U79" s="155"/>
      <c r="V79" s="222"/>
    </row>
    <row r="80" spans="1:22">
      <c r="A80" s="117">
        <v>79</v>
      </c>
      <c r="B80" s="120"/>
      <c r="C80" s="120"/>
      <c r="D80" s="120"/>
      <c r="E80" s="120"/>
      <c r="F80" s="120"/>
      <c r="G80" s="145"/>
      <c r="H80" s="149"/>
      <c r="I80" s="160"/>
      <c r="J80" s="175"/>
      <c r="K80" s="190"/>
      <c r="L80" s="124"/>
      <c r="M80" s="124"/>
      <c r="N80" s="124"/>
      <c r="O80" s="191"/>
      <c r="P80" s="181"/>
      <c r="Q80" s="124"/>
      <c r="R80" s="124"/>
      <c r="S80" s="124"/>
      <c r="T80" s="161"/>
      <c r="U80" s="155"/>
      <c r="V80" s="222"/>
    </row>
    <row r="81" spans="1:22">
      <c r="A81" s="117">
        <v>80</v>
      </c>
      <c r="B81" s="120"/>
      <c r="C81" s="120"/>
      <c r="D81" s="120"/>
      <c r="E81" s="120"/>
      <c r="F81" s="120"/>
      <c r="G81" s="145"/>
      <c r="H81" s="149"/>
      <c r="I81" s="160"/>
      <c r="J81" s="175"/>
      <c r="K81" s="190"/>
      <c r="L81" s="124"/>
      <c r="M81" s="124"/>
      <c r="N81" s="124"/>
      <c r="O81" s="191"/>
      <c r="P81" s="181"/>
      <c r="Q81" s="124"/>
      <c r="R81" s="124"/>
      <c r="S81" s="124"/>
      <c r="T81" s="161"/>
      <c r="U81" s="155"/>
      <c r="V81" s="222"/>
    </row>
    <row r="82" spans="1:22">
      <c r="A82" s="117">
        <v>81</v>
      </c>
      <c r="B82" s="120"/>
      <c r="C82" s="120"/>
      <c r="D82" s="120"/>
      <c r="E82" s="120"/>
      <c r="F82" s="120"/>
      <c r="G82" s="145"/>
      <c r="H82" s="149"/>
      <c r="I82" s="160"/>
      <c r="J82" s="175"/>
      <c r="K82" s="190"/>
      <c r="L82" s="124"/>
      <c r="M82" s="124"/>
      <c r="N82" s="124"/>
      <c r="O82" s="191"/>
      <c r="P82" s="181"/>
      <c r="Q82" s="124"/>
      <c r="R82" s="124"/>
      <c r="S82" s="124"/>
      <c r="T82" s="161"/>
      <c r="U82" s="155"/>
      <c r="V82" s="222"/>
    </row>
    <row r="83" spans="1:22">
      <c r="A83" s="117">
        <v>82</v>
      </c>
      <c r="B83" s="120"/>
      <c r="C83" s="120"/>
      <c r="D83" s="120"/>
      <c r="E83" s="120"/>
      <c r="F83" s="120"/>
      <c r="G83" s="145"/>
      <c r="H83" s="149"/>
      <c r="I83" s="160"/>
      <c r="J83" s="175"/>
      <c r="K83" s="190"/>
      <c r="L83" s="124"/>
      <c r="M83" s="124"/>
      <c r="N83" s="124"/>
      <c r="O83" s="191"/>
      <c r="P83" s="181"/>
      <c r="Q83" s="124"/>
      <c r="R83" s="124"/>
      <c r="S83" s="124"/>
      <c r="T83" s="161"/>
      <c r="U83" s="155"/>
      <c r="V83" s="222"/>
    </row>
    <row r="84" spans="1:22">
      <c r="A84" s="117">
        <v>83</v>
      </c>
      <c r="B84" s="120"/>
      <c r="C84" s="120"/>
      <c r="D84" s="120"/>
      <c r="E84" s="120"/>
      <c r="F84" s="120"/>
      <c r="G84" s="145"/>
      <c r="H84" s="149"/>
      <c r="I84" s="160"/>
      <c r="J84" s="175"/>
      <c r="K84" s="190"/>
      <c r="L84" s="124"/>
      <c r="M84" s="124"/>
      <c r="N84" s="124"/>
      <c r="O84" s="191"/>
      <c r="P84" s="181"/>
      <c r="Q84" s="124"/>
      <c r="R84" s="124"/>
      <c r="S84" s="124"/>
      <c r="T84" s="161"/>
      <c r="U84" s="155"/>
      <c r="V84" s="222"/>
    </row>
    <row r="85" spans="1:22">
      <c r="A85" s="117">
        <v>84</v>
      </c>
      <c r="B85" s="120"/>
      <c r="C85" s="120"/>
      <c r="D85" s="120"/>
      <c r="E85" s="120"/>
      <c r="F85" s="120"/>
      <c r="G85" s="145"/>
      <c r="H85" s="149"/>
      <c r="I85" s="160"/>
      <c r="J85" s="175"/>
      <c r="K85" s="190"/>
      <c r="L85" s="124"/>
      <c r="M85" s="124"/>
      <c r="N85" s="124"/>
      <c r="O85" s="191"/>
      <c r="P85" s="181"/>
      <c r="Q85" s="124"/>
      <c r="R85" s="124"/>
      <c r="S85" s="124"/>
      <c r="T85" s="161"/>
      <c r="U85" s="155"/>
      <c r="V85" s="222"/>
    </row>
    <row r="86" spans="1:22">
      <c r="A86" s="117">
        <v>85</v>
      </c>
      <c r="B86" s="120"/>
      <c r="C86" s="120"/>
      <c r="D86" s="120"/>
      <c r="E86" s="120"/>
      <c r="F86" s="120"/>
      <c r="G86" s="145"/>
      <c r="H86" s="149"/>
      <c r="I86" s="160"/>
      <c r="J86" s="175"/>
      <c r="K86" s="190"/>
      <c r="L86" s="124"/>
      <c r="M86" s="124"/>
      <c r="N86" s="124"/>
      <c r="O86" s="191"/>
      <c r="P86" s="181"/>
      <c r="Q86" s="124"/>
      <c r="R86" s="124"/>
      <c r="S86" s="124"/>
      <c r="T86" s="161"/>
      <c r="U86" s="155"/>
      <c r="V86" s="222"/>
    </row>
    <row r="87" spans="1:22">
      <c r="A87" s="117">
        <v>86</v>
      </c>
      <c r="B87" s="120"/>
      <c r="C87" s="120"/>
      <c r="D87" s="120"/>
      <c r="E87" s="120"/>
      <c r="F87" s="120"/>
      <c r="G87" s="145"/>
      <c r="H87" s="149"/>
      <c r="I87" s="160"/>
      <c r="J87" s="175"/>
      <c r="K87" s="190"/>
      <c r="L87" s="124"/>
      <c r="M87" s="124"/>
      <c r="N87" s="124"/>
      <c r="O87" s="191"/>
      <c r="P87" s="181"/>
      <c r="Q87" s="124"/>
      <c r="R87" s="124"/>
      <c r="S87" s="124"/>
      <c r="T87" s="161"/>
      <c r="U87" s="155"/>
      <c r="V87" s="222"/>
    </row>
    <row r="88" spans="1:22">
      <c r="A88" s="117">
        <v>87</v>
      </c>
      <c r="B88" s="120"/>
      <c r="C88" s="120"/>
      <c r="D88" s="120"/>
      <c r="E88" s="120"/>
      <c r="F88" s="120"/>
      <c r="G88" s="145"/>
      <c r="H88" s="149"/>
      <c r="I88" s="160"/>
      <c r="J88" s="175"/>
      <c r="K88" s="190"/>
      <c r="L88" s="124"/>
      <c r="M88" s="124"/>
      <c r="N88" s="124"/>
      <c r="O88" s="191"/>
      <c r="P88" s="181"/>
      <c r="Q88" s="124"/>
      <c r="R88" s="124"/>
      <c r="S88" s="124"/>
      <c r="T88" s="161"/>
      <c r="U88" s="155"/>
      <c r="V88" s="222"/>
    </row>
    <row r="89" spans="1:22">
      <c r="A89" s="117">
        <v>88</v>
      </c>
      <c r="B89" s="120"/>
      <c r="C89" s="120"/>
      <c r="D89" s="120"/>
      <c r="E89" s="120"/>
      <c r="F89" s="120"/>
      <c r="G89" s="145"/>
      <c r="H89" s="149"/>
      <c r="I89" s="160"/>
      <c r="J89" s="175"/>
      <c r="K89" s="190"/>
      <c r="L89" s="124"/>
      <c r="M89" s="124"/>
      <c r="N89" s="124"/>
      <c r="O89" s="191"/>
      <c r="P89" s="181"/>
      <c r="Q89" s="124"/>
      <c r="R89" s="124"/>
      <c r="S89" s="124"/>
      <c r="T89" s="161"/>
      <c r="U89" s="155"/>
      <c r="V89" s="222"/>
    </row>
    <row r="90" spans="1:22">
      <c r="A90" s="117">
        <v>89</v>
      </c>
      <c r="B90" s="120"/>
      <c r="C90" s="120"/>
      <c r="D90" s="120"/>
      <c r="E90" s="120"/>
      <c r="F90" s="120"/>
      <c r="G90" s="145"/>
      <c r="H90" s="149"/>
      <c r="I90" s="160"/>
      <c r="J90" s="175"/>
      <c r="K90" s="190"/>
      <c r="L90" s="124"/>
      <c r="M90" s="124"/>
      <c r="N90" s="124"/>
      <c r="O90" s="191"/>
      <c r="P90" s="181"/>
      <c r="Q90" s="124"/>
      <c r="R90" s="124"/>
      <c r="S90" s="124"/>
      <c r="T90" s="161"/>
      <c r="U90" s="155"/>
      <c r="V90" s="222"/>
    </row>
    <row r="91" spans="1:22">
      <c r="A91" s="117">
        <v>90</v>
      </c>
      <c r="B91" s="120"/>
      <c r="C91" s="120"/>
      <c r="D91" s="120"/>
      <c r="E91" s="120"/>
      <c r="F91" s="120"/>
      <c r="G91" s="145"/>
      <c r="H91" s="149"/>
      <c r="I91" s="160"/>
      <c r="J91" s="175"/>
      <c r="K91" s="190"/>
      <c r="L91" s="124"/>
      <c r="M91" s="124"/>
      <c r="N91" s="124"/>
      <c r="O91" s="191"/>
      <c r="P91" s="181"/>
      <c r="Q91" s="124"/>
      <c r="R91" s="124"/>
      <c r="S91" s="124"/>
      <c r="T91" s="161"/>
      <c r="U91" s="155"/>
      <c r="V91" s="222"/>
    </row>
    <row r="92" spans="1:22">
      <c r="A92" s="117">
        <v>91</v>
      </c>
      <c r="B92" s="120"/>
      <c r="C92" s="120"/>
      <c r="D92" s="120"/>
      <c r="E92" s="120"/>
      <c r="F92" s="120"/>
      <c r="G92" s="145"/>
      <c r="H92" s="149"/>
      <c r="I92" s="160"/>
      <c r="J92" s="175"/>
      <c r="K92" s="190"/>
      <c r="L92" s="124"/>
      <c r="M92" s="124"/>
      <c r="N92" s="124"/>
      <c r="O92" s="191"/>
      <c r="P92" s="181"/>
      <c r="Q92" s="124"/>
      <c r="R92" s="124"/>
      <c r="S92" s="124"/>
      <c r="T92" s="161"/>
      <c r="U92" s="155"/>
      <c r="V92" s="222"/>
    </row>
    <row r="93" spans="1:22">
      <c r="A93" s="117">
        <v>92</v>
      </c>
      <c r="B93" s="120"/>
      <c r="C93" s="120"/>
      <c r="D93" s="120"/>
      <c r="E93" s="120"/>
      <c r="F93" s="120"/>
      <c r="G93" s="145"/>
      <c r="H93" s="149"/>
      <c r="I93" s="160"/>
      <c r="J93" s="175"/>
      <c r="K93" s="190"/>
      <c r="L93" s="124"/>
      <c r="M93" s="124"/>
      <c r="N93" s="124"/>
      <c r="O93" s="191"/>
      <c r="P93" s="181"/>
      <c r="Q93" s="124"/>
      <c r="R93" s="124"/>
      <c r="S93" s="124"/>
      <c r="T93" s="161"/>
      <c r="U93" s="155"/>
      <c r="V93" s="222"/>
    </row>
    <row r="94" spans="1:22">
      <c r="A94" s="117">
        <v>93</v>
      </c>
      <c r="B94" s="120"/>
      <c r="C94" s="120"/>
      <c r="D94" s="120"/>
      <c r="E94" s="120"/>
      <c r="F94" s="120"/>
      <c r="G94" s="145"/>
      <c r="H94" s="149"/>
      <c r="I94" s="160"/>
      <c r="J94" s="175"/>
      <c r="K94" s="190"/>
      <c r="L94" s="124"/>
      <c r="M94" s="124"/>
      <c r="N94" s="124"/>
      <c r="O94" s="191"/>
      <c r="P94" s="181"/>
      <c r="Q94" s="124"/>
      <c r="R94" s="124"/>
      <c r="S94" s="124"/>
      <c r="T94" s="161"/>
      <c r="U94" s="155"/>
      <c r="V94" s="222"/>
    </row>
    <row r="95" spans="1:22">
      <c r="A95" s="117">
        <v>94</v>
      </c>
      <c r="B95" s="120"/>
      <c r="C95" s="120"/>
      <c r="D95" s="120"/>
      <c r="E95" s="120"/>
      <c r="F95" s="120"/>
      <c r="G95" s="145"/>
      <c r="H95" s="149"/>
      <c r="I95" s="160"/>
      <c r="J95" s="175"/>
      <c r="K95" s="190"/>
      <c r="L95" s="124"/>
      <c r="M95" s="124"/>
      <c r="N95" s="124"/>
      <c r="O95" s="191"/>
      <c r="P95" s="181"/>
      <c r="Q95" s="124"/>
      <c r="R95" s="124"/>
      <c r="S95" s="124"/>
      <c r="T95" s="161"/>
      <c r="U95" s="155"/>
      <c r="V95" s="222"/>
    </row>
    <row r="96" spans="1:22">
      <c r="A96" s="117">
        <v>95</v>
      </c>
      <c r="B96" s="120"/>
      <c r="C96" s="120"/>
      <c r="D96" s="120"/>
      <c r="E96" s="120"/>
      <c r="F96" s="120"/>
      <c r="G96" s="145"/>
      <c r="H96" s="149"/>
      <c r="I96" s="160"/>
      <c r="J96" s="175"/>
      <c r="K96" s="190"/>
      <c r="L96" s="124"/>
      <c r="M96" s="124"/>
      <c r="N96" s="124"/>
      <c r="O96" s="191"/>
      <c r="P96" s="181"/>
      <c r="Q96" s="124"/>
      <c r="R96" s="124"/>
      <c r="S96" s="124"/>
      <c r="T96" s="161"/>
      <c r="U96" s="155"/>
      <c r="V96" s="222"/>
    </row>
    <row r="97" spans="1:22">
      <c r="A97" s="117">
        <v>96</v>
      </c>
      <c r="B97" s="120"/>
      <c r="C97" s="120"/>
      <c r="D97" s="120"/>
      <c r="E97" s="120"/>
      <c r="F97" s="120"/>
      <c r="G97" s="145"/>
      <c r="H97" s="149"/>
      <c r="I97" s="160"/>
      <c r="J97" s="175"/>
      <c r="K97" s="190"/>
      <c r="L97" s="124"/>
      <c r="M97" s="124"/>
      <c r="N97" s="124"/>
      <c r="O97" s="191"/>
      <c r="P97" s="181"/>
      <c r="Q97" s="124"/>
      <c r="R97" s="124"/>
      <c r="S97" s="124"/>
      <c r="T97" s="161"/>
      <c r="U97" s="155"/>
      <c r="V97" s="222"/>
    </row>
    <row r="98" spans="1:22">
      <c r="A98" s="117">
        <v>97</v>
      </c>
      <c r="B98" s="120"/>
      <c r="C98" s="120"/>
      <c r="D98" s="120"/>
      <c r="E98" s="120"/>
      <c r="F98" s="120"/>
      <c r="G98" s="145"/>
      <c r="H98" s="149"/>
      <c r="I98" s="160"/>
      <c r="J98" s="175"/>
      <c r="K98" s="190"/>
      <c r="L98" s="124"/>
      <c r="M98" s="124"/>
      <c r="N98" s="124"/>
      <c r="O98" s="191"/>
      <c r="P98" s="181"/>
      <c r="Q98" s="124"/>
      <c r="R98" s="124"/>
      <c r="S98" s="124"/>
      <c r="T98" s="161"/>
      <c r="U98" s="155"/>
      <c r="V98" s="222"/>
    </row>
    <row r="99" spans="1:22">
      <c r="A99" s="117">
        <v>98</v>
      </c>
      <c r="B99" s="120"/>
      <c r="C99" s="120"/>
      <c r="D99" s="120"/>
      <c r="E99" s="120"/>
      <c r="F99" s="120"/>
      <c r="G99" s="145"/>
      <c r="H99" s="149"/>
      <c r="I99" s="160"/>
      <c r="J99" s="175"/>
      <c r="K99" s="190"/>
      <c r="L99" s="124"/>
      <c r="M99" s="124"/>
      <c r="N99" s="124"/>
      <c r="O99" s="191"/>
      <c r="P99" s="181"/>
      <c r="Q99" s="124"/>
      <c r="R99" s="124"/>
      <c r="S99" s="124"/>
      <c r="T99" s="161"/>
      <c r="U99" s="155"/>
      <c r="V99" s="222"/>
    </row>
    <row r="100" spans="1:22">
      <c r="A100" s="117">
        <v>99</v>
      </c>
      <c r="B100" s="120"/>
      <c r="C100" s="120"/>
      <c r="D100" s="120"/>
      <c r="E100" s="120"/>
      <c r="F100" s="120"/>
      <c r="G100" s="145"/>
      <c r="H100" s="149"/>
      <c r="I100" s="160"/>
      <c r="J100" s="175"/>
      <c r="K100" s="190"/>
      <c r="L100" s="124"/>
      <c r="M100" s="124"/>
      <c r="N100" s="124"/>
      <c r="O100" s="191"/>
      <c r="P100" s="181"/>
      <c r="Q100" s="124"/>
      <c r="R100" s="124"/>
      <c r="S100" s="124"/>
      <c r="T100" s="161"/>
      <c r="U100" s="155"/>
      <c r="V100" s="222"/>
    </row>
    <row r="101" spans="1:22">
      <c r="A101" s="117">
        <v>100</v>
      </c>
      <c r="B101" s="120"/>
      <c r="C101" s="120"/>
      <c r="D101" s="120"/>
      <c r="E101" s="120"/>
      <c r="F101" s="120"/>
      <c r="G101" s="145"/>
      <c r="H101" s="149"/>
      <c r="I101" s="160"/>
      <c r="J101" s="175"/>
      <c r="K101" s="190"/>
      <c r="L101" s="124"/>
      <c r="M101" s="124"/>
      <c r="N101" s="124"/>
      <c r="O101" s="191"/>
      <c r="P101" s="181"/>
      <c r="Q101" s="124"/>
      <c r="R101" s="124"/>
      <c r="S101" s="124"/>
      <c r="T101" s="161"/>
      <c r="U101" s="155"/>
      <c r="V101" s="222"/>
    </row>
    <row r="102" spans="1:22">
      <c r="A102" s="117">
        <v>101</v>
      </c>
      <c r="B102" s="120"/>
      <c r="C102" s="120"/>
      <c r="D102" s="120"/>
      <c r="E102" s="120"/>
      <c r="F102" s="120"/>
      <c r="G102" s="145"/>
      <c r="H102" s="149"/>
      <c r="I102" s="160"/>
      <c r="J102" s="175"/>
      <c r="K102" s="190"/>
      <c r="L102" s="124"/>
      <c r="M102" s="124"/>
      <c r="N102" s="124"/>
      <c r="O102" s="191"/>
      <c r="P102" s="181"/>
      <c r="Q102" s="124"/>
      <c r="R102" s="124"/>
      <c r="S102" s="124"/>
      <c r="T102" s="161"/>
      <c r="U102" s="155"/>
      <c r="V102" s="222"/>
    </row>
    <row r="103" spans="1:22">
      <c r="A103" s="117">
        <v>102</v>
      </c>
      <c r="B103" s="120"/>
      <c r="C103" s="120"/>
      <c r="D103" s="120"/>
      <c r="E103" s="120"/>
      <c r="F103" s="120"/>
      <c r="G103" s="145"/>
      <c r="H103" s="149"/>
      <c r="I103" s="160"/>
      <c r="J103" s="175"/>
      <c r="K103" s="190"/>
      <c r="L103" s="124"/>
      <c r="M103" s="124"/>
      <c r="N103" s="124"/>
      <c r="O103" s="191"/>
      <c r="P103" s="181"/>
      <c r="Q103" s="124"/>
      <c r="R103" s="124"/>
      <c r="S103" s="124"/>
      <c r="T103" s="161"/>
      <c r="U103" s="155"/>
      <c r="V103" s="222"/>
    </row>
    <row r="104" spans="1:22">
      <c r="A104" s="117">
        <v>103</v>
      </c>
      <c r="B104" s="120"/>
      <c r="C104" s="120"/>
      <c r="D104" s="120"/>
      <c r="E104" s="120"/>
      <c r="F104" s="120"/>
      <c r="G104" s="145"/>
      <c r="H104" s="149"/>
      <c r="I104" s="160"/>
      <c r="J104" s="175"/>
      <c r="K104" s="190"/>
      <c r="L104" s="124"/>
      <c r="M104" s="124"/>
      <c r="N104" s="124"/>
      <c r="O104" s="191"/>
      <c r="P104" s="181"/>
      <c r="Q104" s="124"/>
      <c r="R104" s="124"/>
      <c r="S104" s="124"/>
      <c r="T104" s="161"/>
      <c r="U104" s="155"/>
      <c r="V104" s="222"/>
    </row>
    <row r="105" spans="1:22">
      <c r="A105" s="117">
        <v>104</v>
      </c>
      <c r="B105" s="120"/>
      <c r="C105" s="120"/>
      <c r="D105" s="120"/>
      <c r="E105" s="120"/>
      <c r="F105" s="120"/>
      <c r="G105" s="145"/>
      <c r="H105" s="149"/>
      <c r="I105" s="160"/>
      <c r="J105" s="175"/>
      <c r="K105" s="190"/>
      <c r="L105" s="124"/>
      <c r="M105" s="124"/>
      <c r="N105" s="124"/>
      <c r="O105" s="191"/>
      <c r="P105" s="181"/>
      <c r="Q105" s="124"/>
      <c r="R105" s="124"/>
      <c r="S105" s="124"/>
      <c r="T105" s="161"/>
      <c r="U105" s="155"/>
      <c r="V105" s="222"/>
    </row>
    <row r="106" spans="1:22">
      <c r="A106" s="117">
        <v>105</v>
      </c>
      <c r="B106" s="120"/>
      <c r="C106" s="120"/>
      <c r="D106" s="120"/>
      <c r="E106" s="120"/>
      <c r="F106" s="120"/>
      <c r="G106" s="145"/>
      <c r="H106" s="149"/>
      <c r="I106" s="160"/>
      <c r="J106" s="175"/>
      <c r="K106" s="190"/>
      <c r="L106" s="124"/>
      <c r="M106" s="124"/>
      <c r="N106" s="124"/>
      <c r="O106" s="191"/>
      <c r="P106" s="181"/>
      <c r="Q106" s="124"/>
      <c r="R106" s="124"/>
      <c r="S106" s="124"/>
      <c r="T106" s="161"/>
      <c r="U106" s="155"/>
      <c r="V106" s="222"/>
    </row>
    <row r="107" spans="1:22">
      <c r="A107" s="117">
        <v>106</v>
      </c>
      <c r="B107" s="120"/>
      <c r="C107" s="120"/>
      <c r="D107" s="120"/>
      <c r="E107" s="120"/>
      <c r="F107" s="120"/>
      <c r="G107" s="145"/>
      <c r="H107" s="149"/>
      <c r="I107" s="160"/>
      <c r="J107" s="175"/>
      <c r="K107" s="190"/>
      <c r="L107" s="124"/>
      <c r="M107" s="124"/>
      <c r="N107" s="124"/>
      <c r="O107" s="191"/>
      <c r="P107" s="181"/>
      <c r="Q107" s="124"/>
      <c r="R107" s="124"/>
      <c r="S107" s="124"/>
      <c r="T107" s="161"/>
      <c r="U107" s="155"/>
      <c r="V107" s="222"/>
    </row>
    <row r="108" spans="1:22">
      <c r="A108" s="117">
        <v>107</v>
      </c>
      <c r="B108" s="120"/>
      <c r="C108" s="120"/>
      <c r="D108" s="120"/>
      <c r="E108" s="120"/>
      <c r="F108" s="120"/>
      <c r="G108" s="145"/>
      <c r="H108" s="149"/>
      <c r="I108" s="160"/>
      <c r="J108" s="175"/>
      <c r="K108" s="190"/>
      <c r="L108" s="124"/>
      <c r="M108" s="124"/>
      <c r="N108" s="124"/>
      <c r="O108" s="191"/>
      <c r="P108" s="181"/>
      <c r="Q108" s="124"/>
      <c r="R108" s="124"/>
      <c r="S108" s="124"/>
      <c r="T108" s="161"/>
      <c r="U108" s="155"/>
      <c r="V108" s="222"/>
    </row>
    <row r="109" spans="1:22">
      <c r="A109" s="117">
        <v>108</v>
      </c>
      <c r="B109" s="120"/>
      <c r="C109" s="120"/>
      <c r="D109" s="120"/>
      <c r="E109" s="120"/>
      <c r="F109" s="120"/>
      <c r="G109" s="145"/>
      <c r="H109" s="149"/>
      <c r="I109" s="160"/>
      <c r="J109" s="175"/>
      <c r="K109" s="190"/>
      <c r="L109" s="124"/>
      <c r="M109" s="124"/>
      <c r="N109" s="124"/>
      <c r="O109" s="191"/>
      <c r="P109" s="181"/>
      <c r="Q109" s="124"/>
      <c r="R109" s="124"/>
      <c r="S109" s="124"/>
      <c r="T109" s="161"/>
      <c r="U109" s="155"/>
      <c r="V109" s="222"/>
    </row>
    <row r="110" spans="1:22">
      <c r="A110" s="117">
        <v>109</v>
      </c>
      <c r="B110" s="120"/>
      <c r="C110" s="120"/>
      <c r="D110" s="120"/>
      <c r="E110" s="120"/>
      <c r="F110" s="120"/>
      <c r="G110" s="145"/>
      <c r="H110" s="149"/>
      <c r="I110" s="160"/>
      <c r="J110" s="175"/>
      <c r="K110" s="190"/>
      <c r="L110" s="124"/>
      <c r="M110" s="124"/>
      <c r="N110" s="124"/>
      <c r="O110" s="191"/>
      <c r="P110" s="181"/>
      <c r="Q110" s="124"/>
      <c r="R110" s="124"/>
      <c r="S110" s="124"/>
      <c r="T110" s="161"/>
      <c r="U110" s="155"/>
      <c r="V110" s="222"/>
    </row>
    <row r="111" spans="1:22">
      <c r="A111" s="117">
        <v>110</v>
      </c>
      <c r="B111" s="120"/>
      <c r="C111" s="120"/>
      <c r="D111" s="120"/>
      <c r="E111" s="120"/>
      <c r="F111" s="120"/>
      <c r="G111" s="145"/>
      <c r="H111" s="149"/>
      <c r="I111" s="160"/>
      <c r="J111" s="175"/>
      <c r="K111" s="190"/>
      <c r="L111" s="124"/>
      <c r="M111" s="124"/>
      <c r="N111" s="124"/>
      <c r="O111" s="191"/>
      <c r="P111" s="181"/>
      <c r="Q111" s="124"/>
      <c r="R111" s="124"/>
      <c r="S111" s="124"/>
      <c r="T111" s="161"/>
      <c r="U111" s="155"/>
      <c r="V111" s="222"/>
    </row>
    <row r="112" spans="1:22">
      <c r="A112" s="117">
        <v>111</v>
      </c>
      <c r="B112" s="120"/>
      <c r="C112" s="120"/>
      <c r="D112" s="120"/>
      <c r="E112" s="120"/>
      <c r="F112" s="120"/>
      <c r="G112" s="145"/>
      <c r="H112" s="149"/>
      <c r="I112" s="160"/>
      <c r="J112" s="175"/>
      <c r="K112" s="190"/>
      <c r="L112" s="124"/>
      <c r="M112" s="124"/>
      <c r="N112" s="124"/>
      <c r="O112" s="191"/>
      <c r="P112" s="181"/>
      <c r="Q112" s="124"/>
      <c r="R112" s="124"/>
      <c r="S112" s="124"/>
      <c r="T112" s="161"/>
      <c r="U112" s="155"/>
      <c r="V112" s="222"/>
    </row>
    <row r="113" spans="1:22">
      <c r="A113" s="117">
        <v>112</v>
      </c>
      <c r="B113" s="120"/>
      <c r="C113" s="120"/>
      <c r="D113" s="120"/>
      <c r="E113" s="120"/>
      <c r="F113" s="120"/>
      <c r="G113" s="145"/>
      <c r="H113" s="149"/>
      <c r="I113" s="160"/>
      <c r="J113" s="175"/>
      <c r="K113" s="190"/>
      <c r="L113" s="124"/>
      <c r="M113" s="124"/>
      <c r="N113" s="124"/>
      <c r="O113" s="191"/>
      <c r="P113" s="181"/>
      <c r="Q113" s="124"/>
      <c r="R113" s="124"/>
      <c r="S113" s="124"/>
      <c r="T113" s="161"/>
      <c r="U113" s="155"/>
      <c r="V113" s="222"/>
    </row>
    <row r="114" spans="1:22">
      <c r="A114" s="117">
        <v>113</v>
      </c>
      <c r="B114" s="120"/>
      <c r="C114" s="120"/>
      <c r="D114" s="120"/>
      <c r="E114" s="120"/>
      <c r="F114" s="120"/>
      <c r="G114" s="145"/>
      <c r="H114" s="149"/>
      <c r="I114" s="160"/>
      <c r="J114" s="175"/>
      <c r="K114" s="190"/>
      <c r="L114" s="124"/>
      <c r="M114" s="124"/>
      <c r="N114" s="124"/>
      <c r="O114" s="191"/>
      <c r="P114" s="181"/>
      <c r="Q114" s="124"/>
      <c r="R114" s="124"/>
      <c r="S114" s="124"/>
      <c r="T114" s="161"/>
      <c r="U114" s="155"/>
      <c r="V114" s="222"/>
    </row>
    <row r="115" spans="1:22">
      <c r="A115" s="117">
        <v>114</v>
      </c>
      <c r="B115" s="120"/>
      <c r="C115" s="120"/>
      <c r="D115" s="120"/>
      <c r="E115" s="120"/>
      <c r="F115" s="120"/>
      <c r="G115" s="145"/>
      <c r="H115" s="149"/>
      <c r="I115" s="160"/>
      <c r="J115" s="175"/>
      <c r="K115" s="190"/>
      <c r="L115" s="124"/>
      <c r="M115" s="124"/>
      <c r="N115" s="124"/>
      <c r="O115" s="191"/>
      <c r="P115" s="181"/>
      <c r="Q115" s="124"/>
      <c r="R115" s="124"/>
      <c r="S115" s="124"/>
      <c r="T115" s="161"/>
      <c r="U115" s="155"/>
      <c r="V115" s="222"/>
    </row>
    <row r="116" spans="1:22">
      <c r="A116" s="117">
        <v>115</v>
      </c>
      <c r="B116" s="120"/>
      <c r="C116" s="120"/>
      <c r="D116" s="120"/>
      <c r="E116" s="120"/>
      <c r="F116" s="120"/>
      <c r="G116" s="145"/>
      <c r="H116" s="149"/>
      <c r="I116" s="160"/>
      <c r="J116" s="175"/>
      <c r="K116" s="190"/>
      <c r="L116" s="124"/>
      <c r="M116" s="124"/>
      <c r="N116" s="124"/>
      <c r="O116" s="191"/>
      <c r="P116" s="181"/>
      <c r="Q116" s="124"/>
      <c r="R116" s="124"/>
      <c r="S116" s="124"/>
      <c r="T116" s="161"/>
      <c r="U116" s="155"/>
      <c r="V116" s="222"/>
    </row>
    <row r="117" spans="1:22">
      <c r="A117" s="117">
        <v>116</v>
      </c>
      <c r="B117" s="120"/>
      <c r="C117" s="120"/>
      <c r="D117" s="120"/>
      <c r="E117" s="120"/>
      <c r="F117" s="120"/>
      <c r="G117" s="145"/>
      <c r="H117" s="149"/>
      <c r="I117" s="160"/>
      <c r="J117" s="175"/>
      <c r="K117" s="190"/>
      <c r="L117" s="124"/>
      <c r="M117" s="124"/>
      <c r="N117" s="124"/>
      <c r="O117" s="191"/>
      <c r="P117" s="181"/>
      <c r="Q117" s="124"/>
      <c r="R117" s="124"/>
      <c r="S117" s="124"/>
      <c r="T117" s="161"/>
      <c r="U117" s="155"/>
      <c r="V117" s="222"/>
    </row>
    <row r="118" spans="1:22">
      <c r="A118" s="117">
        <v>117</v>
      </c>
      <c r="B118" s="120"/>
      <c r="C118" s="120"/>
      <c r="D118" s="120"/>
      <c r="E118" s="120"/>
      <c r="F118" s="120"/>
      <c r="G118" s="145"/>
      <c r="H118" s="149"/>
      <c r="I118" s="160"/>
      <c r="J118" s="175"/>
      <c r="K118" s="190"/>
      <c r="L118" s="124"/>
      <c r="M118" s="124"/>
      <c r="N118" s="124"/>
      <c r="O118" s="191"/>
      <c r="P118" s="181"/>
      <c r="Q118" s="124"/>
      <c r="R118" s="124"/>
      <c r="S118" s="124"/>
      <c r="T118" s="161"/>
      <c r="U118" s="155"/>
      <c r="V118" s="222"/>
    </row>
    <row r="119" spans="1:22">
      <c r="A119" s="117">
        <v>118</v>
      </c>
      <c r="B119" s="120"/>
      <c r="C119" s="120"/>
      <c r="D119" s="120"/>
      <c r="E119" s="120"/>
      <c r="F119" s="120"/>
      <c r="G119" s="145"/>
      <c r="H119" s="149"/>
      <c r="I119" s="160"/>
      <c r="J119" s="175"/>
      <c r="K119" s="190"/>
      <c r="L119" s="124"/>
      <c r="M119" s="124"/>
      <c r="N119" s="124"/>
      <c r="O119" s="191"/>
      <c r="P119" s="181"/>
      <c r="Q119" s="124"/>
      <c r="R119" s="124"/>
      <c r="S119" s="124"/>
      <c r="T119" s="161"/>
      <c r="U119" s="155"/>
      <c r="V119" s="222"/>
    </row>
    <row r="120" spans="1:22">
      <c r="A120" s="117">
        <v>119</v>
      </c>
      <c r="B120" s="120"/>
      <c r="C120" s="120"/>
      <c r="D120" s="120"/>
      <c r="E120" s="120"/>
      <c r="F120" s="120"/>
      <c r="G120" s="145"/>
      <c r="H120" s="149"/>
      <c r="I120" s="160"/>
      <c r="J120" s="175"/>
      <c r="K120" s="190"/>
      <c r="L120" s="124"/>
      <c r="M120" s="124"/>
      <c r="N120" s="124"/>
      <c r="O120" s="191"/>
      <c r="P120" s="181"/>
      <c r="Q120" s="124"/>
      <c r="R120" s="124"/>
      <c r="S120" s="124"/>
      <c r="T120" s="161"/>
      <c r="U120" s="155"/>
      <c r="V120" s="222"/>
    </row>
    <row r="121" spans="1:22">
      <c r="A121" s="117">
        <v>120</v>
      </c>
      <c r="B121" s="120"/>
      <c r="C121" s="120"/>
      <c r="D121" s="120"/>
      <c r="E121" s="120"/>
      <c r="F121" s="120"/>
      <c r="G121" s="145"/>
      <c r="H121" s="149"/>
      <c r="I121" s="163"/>
      <c r="J121" s="176"/>
      <c r="K121" s="192"/>
      <c r="L121" s="125"/>
      <c r="M121" s="125"/>
      <c r="N121" s="125"/>
      <c r="O121" s="193"/>
      <c r="P121" s="182"/>
      <c r="Q121" s="125"/>
      <c r="R121" s="125"/>
      <c r="S121" s="125"/>
      <c r="T121" s="162"/>
      <c r="U121" s="155"/>
      <c r="V121" s="222"/>
    </row>
    <row r="122" spans="1:22">
      <c r="A122" s="117">
        <v>121</v>
      </c>
      <c r="B122" s="120"/>
      <c r="C122" s="120"/>
      <c r="D122" s="120"/>
      <c r="E122" s="120"/>
      <c r="F122" s="120"/>
      <c r="G122" s="145"/>
      <c r="H122" s="149"/>
      <c r="I122" s="163"/>
      <c r="J122" s="176"/>
      <c r="K122" s="192"/>
      <c r="L122" s="125"/>
      <c r="M122" s="125"/>
      <c r="N122" s="125"/>
      <c r="O122" s="193"/>
      <c r="P122" s="182"/>
      <c r="Q122" s="125"/>
      <c r="R122" s="125"/>
      <c r="S122" s="125"/>
      <c r="T122" s="162"/>
      <c r="U122" s="155"/>
      <c r="V122" s="222"/>
    </row>
    <row r="123" spans="1:22">
      <c r="A123" s="117">
        <v>122</v>
      </c>
      <c r="B123" s="120"/>
      <c r="C123" s="120"/>
      <c r="D123" s="120"/>
      <c r="E123" s="120"/>
      <c r="F123" s="120"/>
      <c r="G123" s="145"/>
      <c r="H123" s="149"/>
      <c r="I123" s="163"/>
      <c r="J123" s="176"/>
      <c r="K123" s="192"/>
      <c r="L123" s="125"/>
      <c r="M123" s="125"/>
      <c r="N123" s="125"/>
      <c r="O123" s="193"/>
      <c r="P123" s="182"/>
      <c r="Q123" s="125"/>
      <c r="R123" s="125"/>
      <c r="S123" s="125"/>
      <c r="T123" s="162"/>
      <c r="U123" s="155"/>
      <c r="V123" s="222"/>
    </row>
    <row r="124" spans="1:22">
      <c r="A124" s="117">
        <v>123</v>
      </c>
      <c r="B124" s="120"/>
      <c r="C124" s="120"/>
      <c r="D124" s="120"/>
      <c r="E124" s="120"/>
      <c r="F124" s="120"/>
      <c r="G124" s="145"/>
      <c r="H124" s="149"/>
      <c r="I124" s="163"/>
      <c r="J124" s="176"/>
      <c r="K124" s="192"/>
      <c r="L124" s="125"/>
      <c r="M124" s="125"/>
      <c r="N124" s="125"/>
      <c r="O124" s="193"/>
      <c r="P124" s="182"/>
      <c r="Q124" s="125"/>
      <c r="R124" s="125"/>
      <c r="S124" s="125"/>
      <c r="T124" s="162"/>
      <c r="U124" s="155"/>
      <c r="V124" s="222"/>
    </row>
    <row r="125" spans="1:22">
      <c r="A125" s="117">
        <v>124</v>
      </c>
      <c r="B125" s="120"/>
      <c r="C125" s="120"/>
      <c r="D125" s="120"/>
      <c r="E125" s="120"/>
      <c r="F125" s="120"/>
      <c r="G125" s="145"/>
      <c r="H125" s="149"/>
      <c r="I125" s="163"/>
      <c r="J125" s="176"/>
      <c r="K125" s="192"/>
      <c r="L125" s="125"/>
      <c r="M125" s="125"/>
      <c r="N125" s="125"/>
      <c r="O125" s="193"/>
      <c r="P125" s="182"/>
      <c r="Q125" s="125"/>
      <c r="R125" s="125"/>
      <c r="S125" s="125"/>
      <c r="T125" s="162"/>
      <c r="U125" s="155"/>
      <c r="V125" s="222"/>
    </row>
    <row r="126" spans="1:22">
      <c r="A126" s="117">
        <v>125</v>
      </c>
      <c r="B126" s="120"/>
      <c r="C126" s="120"/>
      <c r="D126" s="120"/>
      <c r="E126" s="120"/>
      <c r="F126" s="120"/>
      <c r="G126" s="145"/>
      <c r="H126" s="149"/>
      <c r="I126" s="163"/>
      <c r="J126" s="176"/>
      <c r="K126" s="192"/>
      <c r="L126" s="125"/>
      <c r="M126" s="125"/>
      <c r="N126" s="125"/>
      <c r="O126" s="193"/>
      <c r="P126" s="182"/>
      <c r="Q126" s="125"/>
      <c r="R126" s="125"/>
      <c r="S126" s="125"/>
      <c r="T126" s="162"/>
      <c r="U126" s="155"/>
      <c r="V126" s="222"/>
    </row>
    <row r="127" spans="1:22">
      <c r="A127" s="117">
        <v>126</v>
      </c>
      <c r="B127" s="120"/>
      <c r="C127" s="120"/>
      <c r="D127" s="120"/>
      <c r="E127" s="120"/>
      <c r="F127" s="120"/>
      <c r="G127" s="145"/>
      <c r="H127" s="149"/>
      <c r="I127" s="163"/>
      <c r="J127" s="176"/>
      <c r="K127" s="192"/>
      <c r="L127" s="125"/>
      <c r="M127" s="125"/>
      <c r="N127" s="125"/>
      <c r="O127" s="193"/>
      <c r="P127" s="182"/>
      <c r="Q127" s="125"/>
      <c r="R127" s="125"/>
      <c r="S127" s="125"/>
      <c r="T127" s="162"/>
      <c r="U127" s="155"/>
      <c r="V127" s="222"/>
    </row>
    <row r="128" spans="1:22">
      <c r="A128" s="117">
        <v>127</v>
      </c>
      <c r="B128" s="120"/>
      <c r="C128" s="120"/>
      <c r="D128" s="120"/>
      <c r="E128" s="120"/>
      <c r="F128" s="120"/>
      <c r="G128" s="145"/>
      <c r="H128" s="149"/>
      <c r="I128" s="163"/>
      <c r="J128" s="176"/>
      <c r="K128" s="192"/>
      <c r="L128" s="125"/>
      <c r="M128" s="125"/>
      <c r="N128" s="125"/>
      <c r="O128" s="193"/>
      <c r="P128" s="182"/>
      <c r="Q128" s="125"/>
      <c r="R128" s="125"/>
      <c r="S128" s="125"/>
      <c r="T128" s="162"/>
      <c r="U128" s="155"/>
      <c r="V128" s="222"/>
    </row>
    <row r="129" spans="1:22">
      <c r="A129" s="117">
        <v>128</v>
      </c>
      <c r="B129" s="120"/>
      <c r="C129" s="120"/>
      <c r="D129" s="120"/>
      <c r="E129" s="120"/>
      <c r="F129" s="120"/>
      <c r="G129" s="145"/>
      <c r="H129" s="149"/>
      <c r="I129" s="163"/>
      <c r="J129" s="176"/>
      <c r="K129" s="192"/>
      <c r="L129" s="125"/>
      <c r="M129" s="125"/>
      <c r="N129" s="125"/>
      <c r="O129" s="193"/>
      <c r="P129" s="182"/>
      <c r="Q129" s="125"/>
      <c r="R129" s="125"/>
      <c r="S129" s="125"/>
      <c r="T129" s="162"/>
      <c r="U129" s="155"/>
      <c r="V129" s="222"/>
    </row>
    <row r="130" spans="1:22">
      <c r="A130" s="117">
        <v>129</v>
      </c>
      <c r="B130" s="120"/>
      <c r="C130" s="120"/>
      <c r="D130" s="120"/>
      <c r="E130" s="120"/>
      <c r="F130" s="120"/>
      <c r="G130" s="145"/>
      <c r="H130" s="149"/>
      <c r="I130" s="163"/>
      <c r="J130" s="176"/>
      <c r="K130" s="192"/>
      <c r="L130" s="125"/>
      <c r="M130" s="125"/>
      <c r="N130" s="125"/>
      <c r="O130" s="193"/>
      <c r="P130" s="182"/>
      <c r="Q130" s="125"/>
      <c r="R130" s="125"/>
      <c r="S130" s="125"/>
      <c r="T130" s="162"/>
      <c r="U130" s="155"/>
      <c r="V130" s="222"/>
    </row>
    <row r="131" spans="1:22">
      <c r="A131" s="117">
        <v>130</v>
      </c>
      <c r="B131" s="120"/>
      <c r="C131" s="120"/>
      <c r="D131" s="120"/>
      <c r="E131" s="120"/>
      <c r="F131" s="120"/>
      <c r="G131" s="145"/>
      <c r="H131" s="149"/>
      <c r="I131" s="163"/>
      <c r="J131" s="176"/>
      <c r="K131" s="192"/>
      <c r="L131" s="125"/>
      <c r="M131" s="125"/>
      <c r="N131" s="125"/>
      <c r="O131" s="193"/>
      <c r="P131" s="182"/>
      <c r="Q131" s="125"/>
      <c r="R131" s="125"/>
      <c r="S131" s="125"/>
      <c r="T131" s="162"/>
      <c r="U131" s="155"/>
      <c r="V131" s="222"/>
    </row>
    <row r="132" spans="1:22">
      <c r="A132" s="117">
        <v>131</v>
      </c>
      <c r="B132" s="120"/>
      <c r="C132" s="120"/>
      <c r="D132" s="120"/>
      <c r="E132" s="120"/>
      <c r="F132" s="120"/>
      <c r="G132" s="145"/>
      <c r="H132" s="149"/>
      <c r="I132" s="163"/>
      <c r="J132" s="176"/>
      <c r="K132" s="192"/>
      <c r="L132" s="125"/>
      <c r="M132" s="125"/>
      <c r="N132" s="125"/>
      <c r="O132" s="193"/>
      <c r="P132" s="182"/>
      <c r="Q132" s="125"/>
      <c r="R132" s="125"/>
      <c r="S132" s="125"/>
      <c r="T132" s="162"/>
      <c r="U132" s="155"/>
      <c r="V132" s="222"/>
    </row>
    <row r="133" spans="1:22">
      <c r="A133" s="117">
        <v>132</v>
      </c>
      <c r="B133" s="120"/>
      <c r="C133" s="120"/>
      <c r="D133" s="120"/>
      <c r="E133" s="120"/>
      <c r="F133" s="120"/>
      <c r="G133" s="145"/>
      <c r="H133" s="149"/>
      <c r="I133" s="163"/>
      <c r="J133" s="176"/>
      <c r="K133" s="192"/>
      <c r="L133" s="125"/>
      <c r="M133" s="125"/>
      <c r="N133" s="125"/>
      <c r="O133" s="193"/>
      <c r="P133" s="182"/>
      <c r="Q133" s="125"/>
      <c r="R133" s="125"/>
      <c r="S133" s="125"/>
      <c r="T133" s="162"/>
      <c r="U133" s="155"/>
      <c r="V133" s="222"/>
    </row>
    <row r="134" spans="1:22">
      <c r="A134" s="117">
        <v>133</v>
      </c>
      <c r="B134" s="120"/>
      <c r="C134" s="120"/>
      <c r="D134" s="120"/>
      <c r="E134" s="120"/>
      <c r="F134" s="120"/>
      <c r="G134" s="145"/>
      <c r="H134" s="149"/>
      <c r="I134" s="163"/>
      <c r="J134" s="176"/>
      <c r="K134" s="192"/>
      <c r="L134" s="125"/>
      <c r="M134" s="125"/>
      <c r="N134" s="125"/>
      <c r="O134" s="193"/>
      <c r="P134" s="182"/>
      <c r="Q134" s="125"/>
      <c r="R134" s="125"/>
      <c r="S134" s="125"/>
      <c r="T134" s="162"/>
      <c r="U134" s="155"/>
      <c r="V134" s="222"/>
    </row>
    <row r="135" spans="1:22">
      <c r="A135" s="117">
        <v>134</v>
      </c>
      <c r="B135" s="120"/>
      <c r="C135" s="120"/>
      <c r="D135" s="120"/>
      <c r="E135" s="120"/>
      <c r="F135" s="120"/>
      <c r="G135" s="145"/>
      <c r="H135" s="149"/>
      <c r="I135" s="163"/>
      <c r="J135" s="176"/>
      <c r="K135" s="192"/>
      <c r="L135" s="125"/>
      <c r="M135" s="125"/>
      <c r="N135" s="125"/>
      <c r="O135" s="193"/>
      <c r="P135" s="182"/>
      <c r="Q135" s="125"/>
      <c r="R135" s="125"/>
      <c r="S135" s="125"/>
      <c r="T135" s="162"/>
      <c r="U135" s="155"/>
      <c r="V135" s="222"/>
    </row>
    <row r="136" spans="1:22">
      <c r="A136" s="117">
        <v>135</v>
      </c>
      <c r="B136" s="120"/>
      <c r="C136" s="120"/>
      <c r="D136" s="120"/>
      <c r="E136" s="120"/>
      <c r="F136" s="120"/>
      <c r="G136" s="145"/>
      <c r="H136" s="149"/>
      <c r="I136" s="163"/>
      <c r="J136" s="176"/>
      <c r="K136" s="192"/>
      <c r="L136" s="125"/>
      <c r="M136" s="125"/>
      <c r="N136" s="125"/>
      <c r="O136" s="193"/>
      <c r="P136" s="182"/>
      <c r="Q136" s="125"/>
      <c r="R136" s="125"/>
      <c r="S136" s="125"/>
      <c r="T136" s="162"/>
      <c r="U136" s="155"/>
      <c r="V136" s="222"/>
    </row>
    <row r="137" spans="1:22">
      <c r="A137" s="117">
        <v>136</v>
      </c>
      <c r="B137" s="120"/>
      <c r="C137" s="120"/>
      <c r="D137" s="120"/>
      <c r="E137" s="120"/>
      <c r="F137" s="120"/>
      <c r="G137" s="145"/>
      <c r="H137" s="149"/>
      <c r="I137" s="163"/>
      <c r="J137" s="176"/>
      <c r="K137" s="192"/>
      <c r="L137" s="125"/>
      <c r="M137" s="125"/>
      <c r="N137" s="125"/>
      <c r="O137" s="193"/>
      <c r="P137" s="182"/>
      <c r="Q137" s="125"/>
      <c r="R137" s="125"/>
      <c r="S137" s="125"/>
      <c r="T137" s="162"/>
      <c r="U137" s="155"/>
      <c r="V137" s="222"/>
    </row>
    <row r="138" spans="1:22">
      <c r="A138" s="117">
        <v>137</v>
      </c>
      <c r="B138" s="120"/>
      <c r="C138" s="120"/>
      <c r="D138" s="120"/>
      <c r="E138" s="120"/>
      <c r="F138" s="120"/>
      <c r="G138" s="145"/>
      <c r="H138" s="149"/>
      <c r="I138" s="163"/>
      <c r="J138" s="176"/>
      <c r="K138" s="192"/>
      <c r="L138" s="125"/>
      <c r="M138" s="125"/>
      <c r="N138" s="125"/>
      <c r="O138" s="193"/>
      <c r="P138" s="182"/>
      <c r="Q138" s="125"/>
      <c r="R138" s="125"/>
      <c r="S138" s="125"/>
      <c r="T138" s="162"/>
      <c r="U138" s="155"/>
      <c r="V138" s="222"/>
    </row>
    <row r="139" spans="1:22">
      <c r="A139" s="117">
        <v>138</v>
      </c>
      <c r="B139" s="120"/>
      <c r="C139" s="120"/>
      <c r="D139" s="120"/>
      <c r="E139" s="120"/>
      <c r="F139" s="120"/>
      <c r="G139" s="145"/>
      <c r="H139" s="149"/>
      <c r="I139" s="163"/>
      <c r="J139" s="176"/>
      <c r="K139" s="192"/>
      <c r="L139" s="125"/>
      <c r="M139" s="125"/>
      <c r="N139" s="125"/>
      <c r="O139" s="193"/>
      <c r="P139" s="182"/>
      <c r="Q139" s="125"/>
      <c r="R139" s="125"/>
      <c r="S139" s="125"/>
      <c r="T139" s="162"/>
      <c r="U139" s="155"/>
      <c r="V139" s="222"/>
    </row>
    <row r="140" spans="1:22">
      <c r="A140" s="117">
        <v>139</v>
      </c>
      <c r="B140" s="120"/>
      <c r="C140" s="120"/>
      <c r="D140" s="120"/>
      <c r="E140" s="120"/>
      <c r="F140" s="120"/>
      <c r="G140" s="145"/>
      <c r="H140" s="149"/>
      <c r="I140" s="163"/>
      <c r="J140" s="176"/>
      <c r="K140" s="192"/>
      <c r="L140" s="125"/>
      <c r="M140" s="125"/>
      <c r="N140" s="125"/>
      <c r="O140" s="193"/>
      <c r="P140" s="182"/>
      <c r="Q140" s="125"/>
      <c r="R140" s="125"/>
      <c r="S140" s="125"/>
      <c r="T140" s="162"/>
      <c r="U140" s="155"/>
      <c r="V140" s="222"/>
    </row>
    <row r="141" spans="1:22">
      <c r="A141" s="117">
        <v>140</v>
      </c>
      <c r="B141" s="120"/>
      <c r="C141" s="120"/>
      <c r="D141" s="120"/>
      <c r="E141" s="120"/>
      <c r="F141" s="120"/>
      <c r="G141" s="145"/>
      <c r="H141" s="149"/>
      <c r="I141" s="163"/>
      <c r="J141" s="176"/>
      <c r="K141" s="192"/>
      <c r="L141" s="125"/>
      <c r="M141" s="125"/>
      <c r="N141" s="125"/>
      <c r="O141" s="193"/>
      <c r="P141" s="182"/>
      <c r="Q141" s="125"/>
      <c r="R141" s="125"/>
      <c r="S141" s="125"/>
      <c r="T141" s="162"/>
      <c r="U141" s="155"/>
      <c r="V141" s="222"/>
    </row>
    <row r="142" spans="1:22">
      <c r="A142" s="117">
        <v>141</v>
      </c>
      <c r="B142" s="120"/>
      <c r="C142" s="120"/>
      <c r="D142" s="120"/>
      <c r="E142" s="120"/>
      <c r="F142" s="120"/>
      <c r="G142" s="145"/>
      <c r="H142" s="149"/>
      <c r="I142" s="163"/>
      <c r="J142" s="176"/>
      <c r="K142" s="192"/>
      <c r="L142" s="125"/>
      <c r="M142" s="125"/>
      <c r="N142" s="125"/>
      <c r="O142" s="193"/>
      <c r="P142" s="182"/>
      <c r="Q142" s="125"/>
      <c r="R142" s="125"/>
      <c r="S142" s="125"/>
      <c r="T142" s="162"/>
      <c r="U142" s="155"/>
      <c r="V142" s="222"/>
    </row>
    <row r="143" spans="1:22">
      <c r="A143" s="117">
        <v>142</v>
      </c>
      <c r="B143" s="120"/>
      <c r="C143" s="120"/>
      <c r="D143" s="120"/>
      <c r="E143" s="120"/>
      <c r="F143" s="120"/>
      <c r="G143" s="145"/>
      <c r="H143" s="149"/>
      <c r="I143" s="163"/>
      <c r="J143" s="176"/>
      <c r="K143" s="192"/>
      <c r="L143" s="125"/>
      <c r="M143" s="125"/>
      <c r="N143" s="125"/>
      <c r="O143" s="193"/>
      <c r="P143" s="182"/>
      <c r="Q143" s="125"/>
      <c r="R143" s="125"/>
      <c r="S143" s="125"/>
      <c r="T143" s="162"/>
      <c r="U143" s="155"/>
      <c r="V143" s="222"/>
    </row>
    <row r="144" spans="1:22">
      <c r="A144" s="117">
        <v>143</v>
      </c>
      <c r="B144" s="120"/>
      <c r="C144" s="120"/>
      <c r="D144" s="120"/>
      <c r="E144" s="120"/>
      <c r="F144" s="120"/>
      <c r="G144" s="145"/>
      <c r="H144" s="149"/>
      <c r="I144" s="163"/>
      <c r="J144" s="176"/>
      <c r="K144" s="192"/>
      <c r="L144" s="125"/>
      <c r="M144" s="125"/>
      <c r="N144" s="125"/>
      <c r="O144" s="193"/>
      <c r="P144" s="182"/>
      <c r="Q144" s="125"/>
      <c r="R144" s="125"/>
      <c r="S144" s="125"/>
      <c r="T144" s="162"/>
      <c r="U144" s="155"/>
      <c r="V144" s="222"/>
    </row>
    <row r="145" spans="1:22">
      <c r="A145" s="117">
        <v>144</v>
      </c>
      <c r="B145" s="120"/>
      <c r="C145" s="120"/>
      <c r="D145" s="120"/>
      <c r="E145" s="120"/>
      <c r="F145" s="120"/>
      <c r="G145" s="145"/>
      <c r="H145" s="149"/>
      <c r="I145" s="163"/>
      <c r="J145" s="176"/>
      <c r="K145" s="192"/>
      <c r="L145" s="125"/>
      <c r="M145" s="125"/>
      <c r="N145" s="125"/>
      <c r="O145" s="193"/>
      <c r="P145" s="182"/>
      <c r="Q145" s="125"/>
      <c r="R145" s="125"/>
      <c r="S145" s="125"/>
      <c r="T145" s="162"/>
      <c r="U145" s="155"/>
      <c r="V145" s="222"/>
    </row>
    <row r="146" spans="1:22">
      <c r="A146" s="117">
        <v>145</v>
      </c>
      <c r="B146" s="120"/>
      <c r="C146" s="120"/>
      <c r="D146" s="120"/>
      <c r="E146" s="120"/>
      <c r="F146" s="120"/>
      <c r="G146" s="145"/>
      <c r="H146" s="149"/>
      <c r="I146" s="163"/>
      <c r="J146" s="176"/>
      <c r="K146" s="192"/>
      <c r="L146" s="125"/>
      <c r="M146" s="125"/>
      <c r="N146" s="125"/>
      <c r="O146" s="193"/>
      <c r="P146" s="182"/>
      <c r="Q146" s="125"/>
      <c r="R146" s="125"/>
      <c r="S146" s="125"/>
      <c r="T146" s="162"/>
      <c r="U146" s="155"/>
      <c r="V146" s="222"/>
    </row>
    <row r="147" spans="1:22">
      <c r="A147" s="117">
        <v>146</v>
      </c>
      <c r="B147" s="120"/>
      <c r="C147" s="120"/>
      <c r="D147" s="120"/>
      <c r="E147" s="120"/>
      <c r="F147" s="120"/>
      <c r="G147" s="145"/>
      <c r="H147" s="149"/>
      <c r="I147" s="163"/>
      <c r="J147" s="176"/>
      <c r="K147" s="192"/>
      <c r="L147" s="125"/>
      <c r="M147" s="125"/>
      <c r="N147" s="125"/>
      <c r="O147" s="193"/>
      <c r="P147" s="182"/>
      <c r="Q147" s="125"/>
      <c r="R147" s="125"/>
      <c r="S147" s="125"/>
      <c r="T147" s="162"/>
      <c r="U147" s="155"/>
      <c r="V147" s="222"/>
    </row>
    <row r="148" spans="1:22">
      <c r="A148" s="117">
        <v>147</v>
      </c>
      <c r="B148" s="120"/>
      <c r="C148" s="120"/>
      <c r="D148" s="120"/>
      <c r="E148" s="120"/>
      <c r="F148" s="120"/>
      <c r="G148" s="145"/>
      <c r="H148" s="149"/>
      <c r="I148" s="163"/>
      <c r="J148" s="176"/>
      <c r="K148" s="192"/>
      <c r="L148" s="125"/>
      <c r="M148" s="125"/>
      <c r="N148" s="125"/>
      <c r="O148" s="193"/>
      <c r="P148" s="182"/>
      <c r="Q148" s="125"/>
      <c r="R148" s="125"/>
      <c r="S148" s="125"/>
      <c r="T148" s="162"/>
      <c r="U148" s="155"/>
      <c r="V148" s="222"/>
    </row>
    <row r="149" spans="1:22">
      <c r="A149" s="117">
        <v>148</v>
      </c>
      <c r="B149" s="120"/>
      <c r="C149" s="120"/>
      <c r="D149" s="120"/>
      <c r="E149" s="120"/>
      <c r="F149" s="120"/>
      <c r="G149" s="145"/>
      <c r="H149" s="149"/>
      <c r="I149" s="163"/>
      <c r="J149" s="176"/>
      <c r="K149" s="192"/>
      <c r="L149" s="125"/>
      <c r="M149" s="125"/>
      <c r="N149" s="125"/>
      <c r="O149" s="193"/>
      <c r="P149" s="182"/>
      <c r="Q149" s="125"/>
      <c r="R149" s="125"/>
      <c r="S149" s="125"/>
      <c r="T149" s="162"/>
      <c r="U149" s="155"/>
      <c r="V149" s="222"/>
    </row>
    <row r="150" spans="1:22">
      <c r="A150" s="117">
        <v>149</v>
      </c>
      <c r="B150" s="120"/>
      <c r="C150" s="120"/>
      <c r="D150" s="120"/>
      <c r="E150" s="120"/>
      <c r="F150" s="120"/>
      <c r="G150" s="145"/>
      <c r="H150" s="149"/>
      <c r="I150" s="163"/>
      <c r="J150" s="176"/>
      <c r="K150" s="192"/>
      <c r="L150" s="125"/>
      <c r="M150" s="125"/>
      <c r="N150" s="125"/>
      <c r="O150" s="193"/>
      <c r="P150" s="182"/>
      <c r="Q150" s="125"/>
      <c r="R150" s="125"/>
      <c r="S150" s="125"/>
      <c r="T150" s="162"/>
      <c r="U150" s="155"/>
      <c r="V150" s="222"/>
    </row>
    <row r="151" spans="1:22">
      <c r="A151" s="117">
        <v>150</v>
      </c>
      <c r="B151" s="120"/>
      <c r="C151" s="120"/>
      <c r="D151" s="120"/>
      <c r="E151" s="120"/>
      <c r="F151" s="120"/>
      <c r="G151" s="145"/>
      <c r="H151" s="149"/>
      <c r="I151" s="163"/>
      <c r="J151" s="176"/>
      <c r="K151" s="192"/>
      <c r="L151" s="125"/>
      <c r="M151" s="125"/>
      <c r="N151" s="125"/>
      <c r="O151" s="193"/>
      <c r="P151" s="182"/>
      <c r="Q151" s="125"/>
      <c r="R151" s="125"/>
      <c r="S151" s="125"/>
      <c r="T151" s="162"/>
      <c r="U151" s="155"/>
      <c r="V151" s="222"/>
    </row>
    <row r="152" spans="1:22">
      <c r="A152" s="117">
        <v>151</v>
      </c>
      <c r="B152" s="120"/>
      <c r="C152" s="120"/>
      <c r="D152" s="120"/>
      <c r="E152" s="120"/>
      <c r="F152" s="120"/>
      <c r="G152" s="145"/>
      <c r="H152" s="149"/>
      <c r="I152" s="163"/>
      <c r="J152" s="176"/>
      <c r="K152" s="192"/>
      <c r="L152" s="125"/>
      <c r="M152" s="125"/>
      <c r="N152" s="125"/>
      <c r="O152" s="193"/>
      <c r="P152" s="182"/>
      <c r="Q152" s="125"/>
      <c r="R152" s="125"/>
      <c r="S152" s="125"/>
      <c r="T152" s="162"/>
      <c r="U152" s="155"/>
      <c r="V152" s="222"/>
    </row>
    <row r="153" spans="1:22">
      <c r="A153" s="117">
        <v>152</v>
      </c>
      <c r="B153" s="120"/>
      <c r="C153" s="120"/>
      <c r="D153" s="120"/>
      <c r="E153" s="120"/>
      <c r="F153" s="120"/>
      <c r="G153" s="145"/>
      <c r="H153" s="149"/>
      <c r="I153" s="163"/>
      <c r="J153" s="176"/>
      <c r="K153" s="192"/>
      <c r="L153" s="125"/>
      <c r="M153" s="125"/>
      <c r="N153" s="125"/>
      <c r="O153" s="193"/>
      <c r="P153" s="182"/>
      <c r="Q153" s="125"/>
      <c r="R153" s="125"/>
      <c r="S153" s="125"/>
      <c r="T153" s="162"/>
      <c r="U153" s="155"/>
      <c r="V153" s="222"/>
    </row>
    <row r="154" spans="1:22">
      <c r="A154" s="117">
        <v>153</v>
      </c>
      <c r="B154" s="120"/>
      <c r="C154" s="120"/>
      <c r="D154" s="120"/>
      <c r="E154" s="120"/>
      <c r="F154" s="120"/>
      <c r="G154" s="145"/>
      <c r="H154" s="149"/>
      <c r="I154" s="163"/>
      <c r="J154" s="176"/>
      <c r="K154" s="192"/>
      <c r="L154" s="125"/>
      <c r="M154" s="125"/>
      <c r="N154" s="125"/>
      <c r="O154" s="193"/>
      <c r="P154" s="182"/>
      <c r="Q154" s="125"/>
      <c r="R154" s="125"/>
      <c r="S154" s="125"/>
      <c r="T154" s="162"/>
      <c r="U154" s="155"/>
      <c r="V154" s="222"/>
    </row>
    <row r="155" spans="1:22">
      <c r="A155" s="117">
        <v>154</v>
      </c>
      <c r="B155" s="120"/>
      <c r="C155" s="120"/>
      <c r="D155" s="120"/>
      <c r="E155" s="120"/>
      <c r="F155" s="120"/>
      <c r="G155" s="145"/>
      <c r="H155" s="149"/>
      <c r="I155" s="163"/>
      <c r="J155" s="176"/>
      <c r="K155" s="192"/>
      <c r="L155" s="125"/>
      <c r="M155" s="125"/>
      <c r="N155" s="125"/>
      <c r="O155" s="193"/>
      <c r="P155" s="182"/>
      <c r="Q155" s="125"/>
      <c r="R155" s="125"/>
      <c r="S155" s="125"/>
      <c r="T155" s="162"/>
      <c r="U155" s="155"/>
      <c r="V155" s="222"/>
    </row>
    <row r="156" spans="1:22">
      <c r="A156" s="117">
        <v>155</v>
      </c>
      <c r="B156" s="120"/>
      <c r="C156" s="120"/>
      <c r="D156" s="120"/>
      <c r="E156" s="120"/>
      <c r="F156" s="120"/>
      <c r="G156" s="145"/>
      <c r="H156" s="149"/>
      <c r="I156" s="163"/>
      <c r="J156" s="176"/>
      <c r="K156" s="192"/>
      <c r="L156" s="125"/>
      <c r="M156" s="125"/>
      <c r="N156" s="125"/>
      <c r="O156" s="193"/>
      <c r="P156" s="182"/>
      <c r="Q156" s="125"/>
      <c r="R156" s="125"/>
      <c r="S156" s="125"/>
      <c r="T156" s="162"/>
      <c r="U156" s="155"/>
      <c r="V156" s="222"/>
    </row>
    <row r="157" spans="1:22">
      <c r="A157" s="117">
        <v>156</v>
      </c>
      <c r="B157" s="120"/>
      <c r="C157" s="120"/>
      <c r="D157" s="120"/>
      <c r="E157" s="120"/>
      <c r="F157" s="120"/>
      <c r="G157" s="145"/>
      <c r="H157" s="149"/>
      <c r="I157" s="163"/>
      <c r="J157" s="176"/>
      <c r="K157" s="192"/>
      <c r="L157" s="125"/>
      <c r="M157" s="125"/>
      <c r="N157" s="125"/>
      <c r="O157" s="193"/>
      <c r="P157" s="182"/>
      <c r="Q157" s="125"/>
      <c r="R157" s="125"/>
      <c r="S157" s="125"/>
      <c r="T157" s="162"/>
      <c r="U157" s="155"/>
      <c r="V157" s="222"/>
    </row>
    <row r="158" spans="1:22">
      <c r="A158" s="117">
        <v>157</v>
      </c>
      <c r="B158" s="120"/>
      <c r="C158" s="120"/>
      <c r="D158" s="120"/>
      <c r="E158" s="120"/>
      <c r="F158" s="120"/>
      <c r="G158" s="145"/>
      <c r="H158" s="149"/>
      <c r="I158" s="163"/>
      <c r="J158" s="176"/>
      <c r="K158" s="192"/>
      <c r="L158" s="125"/>
      <c r="M158" s="125"/>
      <c r="N158" s="125"/>
      <c r="O158" s="193"/>
      <c r="P158" s="182"/>
      <c r="Q158" s="125"/>
      <c r="R158" s="125"/>
      <c r="S158" s="125"/>
      <c r="T158" s="162"/>
      <c r="U158" s="155"/>
      <c r="V158" s="222"/>
    </row>
    <row r="159" spans="1:22">
      <c r="A159" s="117">
        <v>158</v>
      </c>
      <c r="B159" s="120"/>
      <c r="C159" s="120"/>
      <c r="D159" s="120"/>
      <c r="E159" s="120"/>
      <c r="F159" s="120"/>
      <c r="G159" s="145"/>
      <c r="H159" s="149"/>
      <c r="I159" s="163"/>
      <c r="J159" s="176"/>
      <c r="K159" s="192"/>
      <c r="L159" s="125"/>
      <c r="M159" s="125"/>
      <c r="N159" s="125"/>
      <c r="O159" s="193"/>
      <c r="P159" s="182"/>
      <c r="Q159" s="125"/>
      <c r="R159" s="125"/>
      <c r="S159" s="125"/>
      <c r="T159" s="162"/>
      <c r="U159" s="155"/>
      <c r="V159" s="222"/>
    </row>
    <row r="160" spans="1:22">
      <c r="A160" s="117">
        <v>159</v>
      </c>
      <c r="B160" s="120"/>
      <c r="C160" s="120"/>
      <c r="D160" s="120"/>
      <c r="E160" s="120"/>
      <c r="F160" s="120"/>
      <c r="G160" s="145"/>
      <c r="H160" s="149"/>
      <c r="I160" s="163"/>
      <c r="J160" s="176"/>
      <c r="K160" s="192"/>
      <c r="L160" s="125"/>
      <c r="M160" s="125"/>
      <c r="N160" s="125"/>
      <c r="O160" s="193"/>
      <c r="P160" s="182"/>
      <c r="Q160" s="125"/>
      <c r="R160" s="125"/>
      <c r="S160" s="125"/>
      <c r="T160" s="162"/>
      <c r="U160" s="155"/>
      <c r="V160" s="222"/>
    </row>
    <row r="161" spans="1:22">
      <c r="A161" s="117">
        <v>160</v>
      </c>
      <c r="B161" s="120"/>
      <c r="C161" s="120"/>
      <c r="D161" s="120"/>
      <c r="E161" s="120"/>
      <c r="F161" s="120"/>
      <c r="G161" s="145"/>
      <c r="H161" s="149"/>
      <c r="I161" s="163"/>
      <c r="J161" s="176"/>
      <c r="K161" s="192"/>
      <c r="L161" s="125"/>
      <c r="M161" s="125"/>
      <c r="N161" s="125"/>
      <c r="O161" s="193"/>
      <c r="P161" s="182"/>
      <c r="Q161" s="125"/>
      <c r="R161" s="125"/>
      <c r="S161" s="125"/>
      <c r="T161" s="162"/>
      <c r="U161" s="155"/>
      <c r="V161" s="222"/>
    </row>
    <row r="162" spans="1:22">
      <c r="A162" s="117">
        <v>161</v>
      </c>
      <c r="B162" s="120"/>
      <c r="C162" s="120"/>
      <c r="D162" s="120"/>
      <c r="E162" s="120"/>
      <c r="F162" s="120"/>
      <c r="G162" s="145"/>
      <c r="H162" s="149"/>
      <c r="I162" s="163"/>
      <c r="J162" s="176"/>
      <c r="K162" s="192"/>
      <c r="L162" s="125"/>
      <c r="M162" s="125"/>
      <c r="N162" s="125"/>
      <c r="O162" s="193"/>
      <c r="P162" s="182"/>
      <c r="Q162" s="125"/>
      <c r="R162" s="125"/>
      <c r="S162" s="125"/>
      <c r="T162" s="162"/>
      <c r="U162" s="155"/>
      <c r="V162" s="222"/>
    </row>
    <row r="163" spans="1:22">
      <c r="A163" s="117">
        <v>162</v>
      </c>
      <c r="B163" s="120"/>
      <c r="C163" s="120"/>
      <c r="D163" s="120"/>
      <c r="E163" s="120"/>
      <c r="F163" s="120"/>
      <c r="G163" s="145"/>
      <c r="H163" s="149"/>
      <c r="I163" s="163"/>
      <c r="J163" s="176"/>
      <c r="K163" s="192"/>
      <c r="L163" s="125"/>
      <c r="M163" s="125"/>
      <c r="N163" s="125"/>
      <c r="O163" s="193"/>
      <c r="P163" s="182"/>
      <c r="Q163" s="125"/>
      <c r="R163" s="125"/>
      <c r="S163" s="125"/>
      <c r="T163" s="162"/>
      <c r="U163" s="155"/>
      <c r="V163" s="222"/>
    </row>
    <row r="164" spans="1:22">
      <c r="A164" s="117">
        <v>163</v>
      </c>
      <c r="B164" s="120"/>
      <c r="C164" s="120"/>
      <c r="D164" s="120"/>
      <c r="E164" s="120"/>
      <c r="F164" s="120"/>
      <c r="G164" s="145"/>
      <c r="H164" s="149"/>
      <c r="I164" s="163"/>
      <c r="J164" s="176"/>
      <c r="K164" s="192"/>
      <c r="L164" s="125"/>
      <c r="M164" s="125"/>
      <c r="N164" s="125"/>
      <c r="O164" s="193"/>
      <c r="P164" s="182"/>
      <c r="Q164" s="125"/>
      <c r="R164" s="125"/>
      <c r="S164" s="125"/>
      <c r="T164" s="162"/>
      <c r="U164" s="155"/>
      <c r="V164" s="222"/>
    </row>
    <row r="165" spans="1:22">
      <c r="A165" s="117">
        <v>164</v>
      </c>
      <c r="B165" s="120"/>
      <c r="C165" s="120"/>
      <c r="D165" s="120"/>
      <c r="E165" s="120"/>
      <c r="F165" s="120"/>
      <c r="G165" s="145"/>
      <c r="H165" s="149"/>
      <c r="I165" s="163"/>
      <c r="J165" s="176"/>
      <c r="K165" s="192"/>
      <c r="L165" s="125"/>
      <c r="M165" s="125"/>
      <c r="N165" s="125"/>
      <c r="O165" s="193"/>
      <c r="P165" s="182"/>
      <c r="Q165" s="125"/>
      <c r="R165" s="125"/>
      <c r="S165" s="125"/>
      <c r="T165" s="162"/>
      <c r="U165" s="155"/>
      <c r="V165" s="222"/>
    </row>
    <row r="166" spans="1:22">
      <c r="A166" s="117">
        <v>165</v>
      </c>
      <c r="B166" s="120"/>
      <c r="C166" s="120"/>
      <c r="D166" s="120"/>
      <c r="E166" s="120"/>
      <c r="F166" s="120"/>
      <c r="G166" s="145"/>
      <c r="H166" s="149"/>
      <c r="I166" s="163"/>
      <c r="J166" s="176"/>
      <c r="K166" s="192"/>
      <c r="L166" s="125"/>
      <c r="M166" s="125"/>
      <c r="N166" s="125"/>
      <c r="O166" s="193"/>
      <c r="P166" s="182"/>
      <c r="Q166" s="125"/>
      <c r="R166" s="125"/>
      <c r="S166" s="125"/>
      <c r="T166" s="162"/>
      <c r="U166" s="155"/>
      <c r="V166" s="222"/>
    </row>
    <row r="167" spans="1:22">
      <c r="A167" s="117">
        <v>166</v>
      </c>
      <c r="B167" s="120"/>
      <c r="C167" s="120"/>
      <c r="D167" s="120"/>
      <c r="E167" s="120"/>
      <c r="F167" s="120"/>
      <c r="G167" s="145"/>
      <c r="H167" s="149"/>
      <c r="I167" s="163"/>
      <c r="J167" s="176"/>
      <c r="K167" s="192"/>
      <c r="L167" s="125"/>
      <c r="M167" s="125"/>
      <c r="N167" s="125"/>
      <c r="O167" s="193"/>
      <c r="P167" s="182"/>
      <c r="Q167" s="125"/>
      <c r="R167" s="125"/>
      <c r="S167" s="125"/>
      <c r="T167" s="162"/>
      <c r="U167" s="155"/>
      <c r="V167" s="222"/>
    </row>
    <row r="168" spans="1:22">
      <c r="A168" s="117">
        <v>167</v>
      </c>
      <c r="B168" s="120"/>
      <c r="C168" s="120"/>
      <c r="D168" s="120"/>
      <c r="E168" s="120"/>
      <c r="F168" s="120"/>
      <c r="G168" s="145"/>
      <c r="H168" s="149"/>
      <c r="I168" s="163"/>
      <c r="J168" s="176"/>
      <c r="K168" s="192"/>
      <c r="L168" s="125"/>
      <c r="M168" s="125"/>
      <c r="N168" s="125"/>
      <c r="O168" s="193"/>
      <c r="P168" s="182"/>
      <c r="Q168" s="125"/>
      <c r="R168" s="125"/>
      <c r="S168" s="125"/>
      <c r="T168" s="162"/>
      <c r="U168" s="155"/>
      <c r="V168" s="222"/>
    </row>
    <row r="169" spans="1:22">
      <c r="A169" s="117">
        <v>168</v>
      </c>
      <c r="B169" s="120"/>
      <c r="C169" s="120"/>
      <c r="D169" s="120"/>
      <c r="E169" s="120"/>
      <c r="F169" s="120"/>
      <c r="G169" s="145"/>
      <c r="H169" s="149"/>
      <c r="I169" s="163"/>
      <c r="J169" s="176"/>
      <c r="K169" s="192"/>
      <c r="L169" s="125"/>
      <c r="M169" s="125"/>
      <c r="N169" s="125"/>
      <c r="O169" s="193"/>
      <c r="P169" s="182"/>
      <c r="Q169" s="125"/>
      <c r="R169" s="125"/>
      <c r="S169" s="125"/>
      <c r="T169" s="162"/>
      <c r="U169" s="155"/>
      <c r="V169" s="222"/>
    </row>
    <row r="170" spans="1:22">
      <c r="A170" s="117">
        <v>169</v>
      </c>
      <c r="B170" s="120"/>
      <c r="C170" s="120"/>
      <c r="D170" s="120"/>
      <c r="E170" s="120"/>
      <c r="F170" s="120"/>
      <c r="G170" s="145"/>
      <c r="H170" s="149"/>
      <c r="I170" s="163"/>
      <c r="J170" s="176"/>
      <c r="K170" s="192"/>
      <c r="L170" s="125"/>
      <c r="M170" s="125"/>
      <c r="N170" s="125"/>
      <c r="O170" s="193"/>
      <c r="P170" s="182"/>
      <c r="Q170" s="125"/>
      <c r="R170" s="125"/>
      <c r="S170" s="125"/>
      <c r="T170" s="162"/>
      <c r="U170" s="155"/>
      <c r="V170" s="222"/>
    </row>
    <row r="171" spans="1:22">
      <c r="A171" s="117">
        <v>170</v>
      </c>
      <c r="B171" s="120"/>
      <c r="C171" s="120"/>
      <c r="D171" s="120"/>
      <c r="E171" s="120"/>
      <c r="F171" s="120"/>
      <c r="G171" s="145"/>
      <c r="H171" s="149"/>
      <c r="I171" s="163"/>
      <c r="J171" s="176"/>
      <c r="K171" s="192"/>
      <c r="L171" s="125"/>
      <c r="M171" s="125"/>
      <c r="N171" s="125"/>
      <c r="O171" s="193"/>
      <c r="P171" s="182"/>
      <c r="Q171" s="125"/>
      <c r="R171" s="125"/>
      <c r="S171" s="125"/>
      <c r="T171" s="162"/>
      <c r="U171" s="155"/>
      <c r="V171" s="222"/>
    </row>
    <row r="172" spans="1:22">
      <c r="A172" s="117">
        <v>171</v>
      </c>
      <c r="B172" s="120"/>
      <c r="C172" s="120"/>
      <c r="D172" s="120"/>
      <c r="E172" s="120"/>
      <c r="F172" s="120"/>
      <c r="G172" s="145"/>
      <c r="H172" s="149"/>
      <c r="I172" s="163"/>
      <c r="J172" s="176"/>
      <c r="K172" s="192"/>
      <c r="L172" s="125"/>
      <c r="M172" s="125"/>
      <c r="N172" s="125"/>
      <c r="O172" s="193"/>
      <c r="P172" s="182"/>
      <c r="Q172" s="125"/>
      <c r="R172" s="125"/>
      <c r="S172" s="125"/>
      <c r="T172" s="162"/>
      <c r="U172" s="155"/>
      <c r="V172" s="222"/>
    </row>
    <row r="173" spans="1:22">
      <c r="A173" s="117">
        <v>172</v>
      </c>
      <c r="B173" s="120"/>
      <c r="C173" s="120"/>
      <c r="D173" s="120"/>
      <c r="E173" s="120"/>
      <c r="F173" s="120"/>
      <c r="G173" s="145"/>
      <c r="H173" s="149"/>
      <c r="I173" s="163"/>
      <c r="J173" s="176"/>
      <c r="K173" s="192"/>
      <c r="L173" s="125"/>
      <c r="M173" s="125"/>
      <c r="N173" s="125"/>
      <c r="O173" s="193"/>
      <c r="P173" s="182"/>
      <c r="Q173" s="125"/>
      <c r="R173" s="125"/>
      <c r="S173" s="125"/>
      <c r="T173" s="162"/>
      <c r="U173" s="155"/>
      <c r="V173" s="222"/>
    </row>
    <row r="174" spans="1:22">
      <c r="A174" s="117">
        <v>173</v>
      </c>
      <c r="B174" s="120"/>
      <c r="C174" s="120"/>
      <c r="D174" s="120"/>
      <c r="E174" s="120"/>
      <c r="F174" s="120"/>
      <c r="G174" s="145"/>
      <c r="H174" s="149"/>
      <c r="I174" s="163"/>
      <c r="J174" s="176"/>
      <c r="K174" s="192"/>
      <c r="L174" s="125"/>
      <c r="M174" s="125"/>
      <c r="N174" s="125"/>
      <c r="O174" s="193"/>
      <c r="P174" s="182"/>
      <c r="Q174" s="125"/>
      <c r="R174" s="125"/>
      <c r="S174" s="125"/>
      <c r="T174" s="162"/>
      <c r="U174" s="155"/>
      <c r="V174" s="222"/>
    </row>
    <row r="175" spans="1:22">
      <c r="A175" s="117">
        <v>174</v>
      </c>
      <c r="B175" s="120"/>
      <c r="C175" s="120"/>
      <c r="D175" s="120"/>
      <c r="E175" s="120"/>
      <c r="F175" s="120"/>
      <c r="G175" s="145"/>
      <c r="H175" s="149"/>
      <c r="I175" s="163"/>
      <c r="J175" s="176"/>
      <c r="K175" s="192"/>
      <c r="L175" s="125"/>
      <c r="M175" s="125"/>
      <c r="N175" s="125"/>
      <c r="O175" s="193"/>
      <c r="P175" s="182"/>
      <c r="Q175" s="125"/>
      <c r="R175" s="125"/>
      <c r="S175" s="125"/>
      <c r="T175" s="162"/>
      <c r="U175" s="155"/>
      <c r="V175" s="222"/>
    </row>
    <row r="176" spans="1:22">
      <c r="A176" s="117">
        <v>175</v>
      </c>
      <c r="B176" s="120"/>
      <c r="C176" s="120"/>
      <c r="D176" s="120"/>
      <c r="E176" s="120"/>
      <c r="F176" s="120"/>
      <c r="G176" s="145"/>
      <c r="H176" s="149"/>
      <c r="I176" s="163"/>
      <c r="J176" s="176"/>
      <c r="K176" s="192"/>
      <c r="L176" s="125"/>
      <c r="M176" s="125"/>
      <c r="N176" s="125"/>
      <c r="O176" s="193"/>
      <c r="P176" s="182"/>
      <c r="Q176" s="125"/>
      <c r="R176" s="125"/>
      <c r="S176" s="125"/>
      <c r="T176" s="162"/>
      <c r="U176" s="155"/>
      <c r="V176" s="222"/>
    </row>
    <row r="177" spans="1:22">
      <c r="A177" s="117">
        <v>176</v>
      </c>
      <c r="B177" s="120"/>
      <c r="C177" s="120"/>
      <c r="D177" s="120"/>
      <c r="E177" s="120"/>
      <c r="F177" s="120"/>
      <c r="G177" s="145"/>
      <c r="H177" s="149"/>
      <c r="I177" s="163"/>
      <c r="J177" s="176"/>
      <c r="K177" s="192"/>
      <c r="L177" s="125"/>
      <c r="M177" s="125"/>
      <c r="N177" s="125"/>
      <c r="O177" s="193"/>
      <c r="P177" s="182"/>
      <c r="Q177" s="125"/>
      <c r="R177" s="125"/>
      <c r="S177" s="125"/>
      <c r="T177" s="162"/>
      <c r="U177" s="155"/>
      <c r="V177" s="222"/>
    </row>
    <row r="178" spans="1:22">
      <c r="A178" s="117">
        <v>177</v>
      </c>
      <c r="B178" s="120"/>
      <c r="C178" s="120"/>
      <c r="D178" s="120"/>
      <c r="E178" s="120"/>
      <c r="F178" s="120"/>
      <c r="G178" s="145"/>
      <c r="H178" s="149"/>
      <c r="I178" s="163"/>
      <c r="J178" s="176"/>
      <c r="K178" s="192"/>
      <c r="L178" s="125"/>
      <c r="M178" s="125"/>
      <c r="N178" s="125"/>
      <c r="O178" s="193"/>
      <c r="P178" s="182"/>
      <c r="Q178" s="125"/>
      <c r="R178" s="125"/>
      <c r="S178" s="125"/>
      <c r="T178" s="162"/>
      <c r="U178" s="155"/>
      <c r="V178" s="222"/>
    </row>
    <row r="179" spans="1:22">
      <c r="A179" s="117">
        <v>178</v>
      </c>
      <c r="B179" s="120"/>
      <c r="C179" s="120"/>
      <c r="D179" s="120"/>
      <c r="E179" s="120"/>
      <c r="F179" s="120"/>
      <c r="G179" s="145"/>
      <c r="H179" s="149"/>
      <c r="I179" s="163"/>
      <c r="J179" s="176"/>
      <c r="K179" s="192"/>
      <c r="L179" s="125"/>
      <c r="M179" s="125"/>
      <c r="N179" s="125"/>
      <c r="O179" s="193"/>
      <c r="P179" s="182"/>
      <c r="Q179" s="125"/>
      <c r="R179" s="125"/>
      <c r="S179" s="125"/>
      <c r="T179" s="162"/>
      <c r="U179" s="155"/>
      <c r="V179" s="222"/>
    </row>
    <row r="180" spans="1:22">
      <c r="A180" s="117">
        <v>179</v>
      </c>
      <c r="B180" s="120"/>
      <c r="C180" s="120"/>
      <c r="D180" s="120"/>
      <c r="E180" s="120"/>
      <c r="F180" s="120"/>
      <c r="G180" s="145"/>
      <c r="H180" s="149"/>
      <c r="I180" s="163"/>
      <c r="J180" s="176"/>
      <c r="K180" s="192"/>
      <c r="L180" s="125"/>
      <c r="M180" s="125"/>
      <c r="N180" s="125"/>
      <c r="O180" s="193"/>
      <c r="P180" s="182"/>
      <c r="Q180" s="125"/>
      <c r="R180" s="125"/>
      <c r="S180" s="125"/>
      <c r="T180" s="162"/>
      <c r="U180" s="155"/>
      <c r="V180" s="222"/>
    </row>
    <row r="181" spans="1:22">
      <c r="A181" s="117">
        <v>180</v>
      </c>
      <c r="B181" s="120"/>
      <c r="C181" s="120"/>
      <c r="D181" s="120"/>
      <c r="E181" s="120"/>
      <c r="F181" s="120"/>
      <c r="G181" s="145"/>
      <c r="H181" s="149"/>
      <c r="I181" s="163"/>
      <c r="J181" s="176"/>
      <c r="K181" s="192"/>
      <c r="L181" s="125"/>
      <c r="M181" s="125"/>
      <c r="N181" s="125"/>
      <c r="O181" s="193"/>
      <c r="P181" s="182"/>
      <c r="Q181" s="125"/>
      <c r="R181" s="125"/>
      <c r="S181" s="125"/>
      <c r="T181" s="162"/>
      <c r="U181" s="155"/>
      <c r="V181" s="222"/>
    </row>
    <row r="182" spans="1:22">
      <c r="A182" s="117">
        <v>181</v>
      </c>
      <c r="B182" s="120"/>
      <c r="C182" s="120"/>
      <c r="D182" s="120"/>
      <c r="E182" s="120"/>
      <c r="F182" s="120"/>
      <c r="G182" s="145"/>
      <c r="H182" s="149"/>
      <c r="I182" s="163"/>
      <c r="J182" s="176"/>
      <c r="K182" s="192"/>
      <c r="L182" s="125"/>
      <c r="M182" s="125"/>
      <c r="N182" s="125"/>
      <c r="O182" s="193"/>
      <c r="P182" s="182"/>
      <c r="Q182" s="125"/>
      <c r="R182" s="125"/>
      <c r="S182" s="125"/>
      <c r="T182" s="162"/>
      <c r="U182" s="155"/>
      <c r="V182" s="222"/>
    </row>
    <row r="183" spans="1:22">
      <c r="A183" s="117">
        <v>182</v>
      </c>
      <c r="B183" s="120"/>
      <c r="C183" s="120"/>
      <c r="D183" s="120"/>
      <c r="E183" s="120"/>
      <c r="F183" s="120"/>
      <c r="G183" s="145"/>
      <c r="H183" s="149"/>
      <c r="I183" s="163"/>
      <c r="J183" s="176"/>
      <c r="K183" s="192"/>
      <c r="L183" s="125"/>
      <c r="M183" s="125"/>
      <c r="N183" s="125"/>
      <c r="O183" s="193"/>
      <c r="P183" s="182"/>
      <c r="Q183" s="125"/>
      <c r="R183" s="125"/>
      <c r="S183" s="125"/>
      <c r="T183" s="162"/>
      <c r="U183" s="155"/>
      <c r="V183" s="222"/>
    </row>
    <row r="184" spans="1:22">
      <c r="A184" s="117">
        <v>183</v>
      </c>
      <c r="B184" s="120"/>
      <c r="C184" s="120"/>
      <c r="D184" s="120"/>
      <c r="E184" s="120"/>
      <c r="F184" s="120"/>
      <c r="G184" s="145"/>
      <c r="H184" s="149"/>
      <c r="I184" s="163"/>
      <c r="J184" s="176"/>
      <c r="K184" s="192"/>
      <c r="L184" s="125"/>
      <c r="M184" s="125"/>
      <c r="N184" s="125"/>
      <c r="O184" s="193"/>
      <c r="P184" s="182"/>
      <c r="Q184" s="125"/>
      <c r="R184" s="125"/>
      <c r="S184" s="125"/>
      <c r="T184" s="162"/>
      <c r="U184" s="155"/>
      <c r="V184" s="222"/>
    </row>
    <row r="185" spans="1:22">
      <c r="A185" s="117">
        <v>184</v>
      </c>
      <c r="B185" s="120"/>
      <c r="C185" s="120"/>
      <c r="D185" s="120"/>
      <c r="E185" s="120"/>
      <c r="F185" s="120"/>
      <c r="G185" s="145"/>
      <c r="H185" s="149"/>
      <c r="I185" s="163"/>
      <c r="J185" s="176"/>
      <c r="K185" s="192"/>
      <c r="L185" s="125"/>
      <c r="M185" s="125"/>
      <c r="N185" s="125"/>
      <c r="O185" s="193"/>
      <c r="P185" s="182"/>
      <c r="Q185" s="125"/>
      <c r="R185" s="125"/>
      <c r="S185" s="125"/>
      <c r="T185" s="162"/>
      <c r="U185" s="155"/>
      <c r="V185" s="222"/>
    </row>
    <row r="186" spans="1:22">
      <c r="A186" s="117">
        <v>185</v>
      </c>
      <c r="B186" s="120"/>
      <c r="C186" s="120"/>
      <c r="D186" s="120"/>
      <c r="E186" s="120"/>
      <c r="F186" s="120"/>
      <c r="G186" s="145"/>
      <c r="H186" s="149"/>
      <c r="I186" s="163"/>
      <c r="J186" s="176"/>
      <c r="K186" s="192"/>
      <c r="L186" s="125"/>
      <c r="M186" s="125"/>
      <c r="N186" s="125"/>
      <c r="O186" s="193"/>
      <c r="P186" s="182"/>
      <c r="Q186" s="125"/>
      <c r="R186" s="125"/>
      <c r="S186" s="125"/>
      <c r="T186" s="162"/>
      <c r="U186" s="155"/>
      <c r="V186" s="222"/>
    </row>
    <row r="187" spans="1:22">
      <c r="A187" s="117">
        <v>186</v>
      </c>
      <c r="B187" s="120"/>
      <c r="C187" s="120"/>
      <c r="D187" s="120"/>
      <c r="E187" s="120"/>
      <c r="F187" s="120"/>
      <c r="G187" s="145"/>
      <c r="H187" s="149"/>
      <c r="I187" s="163"/>
      <c r="J187" s="176"/>
      <c r="K187" s="192"/>
      <c r="L187" s="125"/>
      <c r="M187" s="125"/>
      <c r="N187" s="125"/>
      <c r="O187" s="193"/>
      <c r="P187" s="182"/>
      <c r="Q187" s="125"/>
      <c r="R187" s="125"/>
      <c r="S187" s="125"/>
      <c r="T187" s="162"/>
      <c r="U187" s="155"/>
      <c r="V187" s="222"/>
    </row>
    <row r="188" spans="1:22">
      <c r="A188" s="117">
        <v>187</v>
      </c>
      <c r="B188" s="120"/>
      <c r="C188" s="120"/>
      <c r="D188" s="120"/>
      <c r="E188" s="120"/>
      <c r="F188" s="120"/>
      <c r="G188" s="145"/>
      <c r="H188" s="149"/>
      <c r="I188" s="163"/>
      <c r="J188" s="176"/>
      <c r="K188" s="192"/>
      <c r="L188" s="125"/>
      <c r="M188" s="125"/>
      <c r="N188" s="125"/>
      <c r="O188" s="193"/>
      <c r="P188" s="182"/>
      <c r="Q188" s="125"/>
      <c r="R188" s="125"/>
      <c r="S188" s="125"/>
      <c r="T188" s="162"/>
      <c r="U188" s="155"/>
      <c r="V188" s="222"/>
    </row>
    <row r="189" spans="1:22">
      <c r="A189" s="117">
        <v>188</v>
      </c>
      <c r="B189" s="120"/>
      <c r="C189" s="120"/>
      <c r="D189" s="120"/>
      <c r="E189" s="120"/>
      <c r="F189" s="120"/>
      <c r="G189" s="145"/>
      <c r="H189" s="149"/>
      <c r="I189" s="163"/>
      <c r="J189" s="176"/>
      <c r="K189" s="192"/>
      <c r="L189" s="125"/>
      <c r="M189" s="125"/>
      <c r="N189" s="125"/>
      <c r="O189" s="193"/>
      <c r="P189" s="182"/>
      <c r="Q189" s="125"/>
      <c r="R189" s="125"/>
      <c r="S189" s="125"/>
      <c r="T189" s="162"/>
      <c r="U189" s="155"/>
      <c r="V189" s="222"/>
    </row>
    <row r="190" spans="1:22">
      <c r="A190" s="117">
        <v>189</v>
      </c>
      <c r="B190" s="120"/>
      <c r="C190" s="120"/>
      <c r="D190" s="120"/>
      <c r="E190" s="120"/>
      <c r="F190" s="120"/>
      <c r="G190" s="145"/>
      <c r="H190" s="149"/>
      <c r="I190" s="163"/>
      <c r="J190" s="176"/>
      <c r="K190" s="192"/>
      <c r="L190" s="125"/>
      <c r="M190" s="125"/>
      <c r="N190" s="125"/>
      <c r="O190" s="193"/>
      <c r="P190" s="182"/>
      <c r="Q190" s="125"/>
      <c r="R190" s="125"/>
      <c r="S190" s="125"/>
      <c r="T190" s="162"/>
      <c r="U190" s="155"/>
      <c r="V190" s="222"/>
    </row>
    <row r="191" spans="1:22">
      <c r="A191" s="117">
        <v>190</v>
      </c>
      <c r="B191" s="120"/>
      <c r="C191" s="120"/>
      <c r="D191" s="120"/>
      <c r="E191" s="120"/>
      <c r="F191" s="120"/>
      <c r="G191" s="145"/>
      <c r="H191" s="149"/>
      <c r="I191" s="163"/>
      <c r="J191" s="176"/>
      <c r="K191" s="192"/>
      <c r="L191" s="125"/>
      <c r="M191" s="125"/>
      <c r="N191" s="125"/>
      <c r="O191" s="193"/>
      <c r="P191" s="182"/>
      <c r="Q191" s="125"/>
      <c r="R191" s="125"/>
      <c r="S191" s="125"/>
      <c r="T191" s="162"/>
      <c r="U191" s="155"/>
      <c r="V191" s="222"/>
    </row>
    <row r="192" spans="1:22">
      <c r="A192" s="117">
        <v>191</v>
      </c>
      <c r="B192" s="120"/>
      <c r="C192" s="120"/>
      <c r="D192" s="120"/>
      <c r="E192" s="120"/>
      <c r="F192" s="120"/>
      <c r="G192" s="145"/>
      <c r="H192" s="149"/>
      <c r="I192" s="163"/>
      <c r="J192" s="176"/>
      <c r="K192" s="192"/>
      <c r="L192" s="125"/>
      <c r="M192" s="125"/>
      <c r="N192" s="125"/>
      <c r="O192" s="193"/>
      <c r="P192" s="182"/>
      <c r="Q192" s="125"/>
      <c r="R192" s="125"/>
      <c r="S192" s="125"/>
      <c r="T192" s="162"/>
      <c r="U192" s="155"/>
      <c r="V192" s="222"/>
    </row>
    <row r="193" spans="1:22">
      <c r="A193" s="117">
        <v>192</v>
      </c>
      <c r="B193" s="120"/>
      <c r="C193" s="120"/>
      <c r="D193" s="120"/>
      <c r="E193" s="120"/>
      <c r="F193" s="120"/>
      <c r="G193" s="145"/>
      <c r="H193" s="149"/>
      <c r="I193" s="163"/>
      <c r="J193" s="176"/>
      <c r="K193" s="192"/>
      <c r="L193" s="125"/>
      <c r="M193" s="125"/>
      <c r="N193" s="125"/>
      <c r="O193" s="193"/>
      <c r="P193" s="182"/>
      <c r="Q193" s="125"/>
      <c r="R193" s="125"/>
      <c r="S193" s="125"/>
      <c r="T193" s="162"/>
      <c r="U193" s="155"/>
      <c r="V193" s="222"/>
    </row>
    <row r="194" spans="1:22">
      <c r="A194" s="117">
        <v>193</v>
      </c>
      <c r="B194" s="120"/>
      <c r="C194" s="120"/>
      <c r="D194" s="120"/>
      <c r="E194" s="120"/>
      <c r="F194" s="120"/>
      <c r="G194" s="145"/>
      <c r="H194" s="149"/>
      <c r="I194" s="163"/>
      <c r="J194" s="176"/>
      <c r="K194" s="192"/>
      <c r="L194" s="125"/>
      <c r="M194" s="125"/>
      <c r="N194" s="125"/>
      <c r="O194" s="193"/>
      <c r="P194" s="182"/>
      <c r="Q194" s="125"/>
      <c r="R194" s="125"/>
      <c r="S194" s="125"/>
      <c r="T194" s="162"/>
      <c r="U194" s="155"/>
      <c r="V194" s="222"/>
    </row>
    <row r="195" spans="1:22">
      <c r="A195" s="117">
        <v>194</v>
      </c>
      <c r="B195" s="120"/>
      <c r="C195" s="120"/>
      <c r="D195" s="120"/>
      <c r="E195" s="120"/>
      <c r="F195" s="120"/>
      <c r="G195" s="145"/>
      <c r="H195" s="149"/>
      <c r="I195" s="163"/>
      <c r="J195" s="176"/>
      <c r="K195" s="192"/>
      <c r="L195" s="125"/>
      <c r="M195" s="125"/>
      <c r="N195" s="125"/>
      <c r="O195" s="193"/>
      <c r="P195" s="182"/>
      <c r="Q195" s="125"/>
      <c r="R195" s="125"/>
      <c r="S195" s="125"/>
      <c r="T195" s="162"/>
      <c r="U195" s="155"/>
      <c r="V195" s="222"/>
    </row>
    <row r="196" spans="1:22">
      <c r="A196" s="117">
        <v>195</v>
      </c>
      <c r="B196" s="120"/>
      <c r="C196" s="120"/>
      <c r="D196" s="120"/>
      <c r="E196" s="120"/>
      <c r="F196" s="120"/>
      <c r="G196" s="145"/>
      <c r="H196" s="149"/>
      <c r="I196" s="163"/>
      <c r="J196" s="176"/>
      <c r="K196" s="192"/>
      <c r="L196" s="125"/>
      <c r="M196" s="125"/>
      <c r="N196" s="125"/>
      <c r="O196" s="193"/>
      <c r="P196" s="182"/>
      <c r="Q196" s="125"/>
      <c r="R196" s="125"/>
      <c r="S196" s="125"/>
      <c r="T196" s="162"/>
      <c r="U196" s="155"/>
      <c r="V196" s="222"/>
    </row>
    <row r="197" spans="1:22">
      <c r="A197" s="117">
        <v>196</v>
      </c>
      <c r="B197" s="120"/>
      <c r="C197" s="120"/>
      <c r="D197" s="120"/>
      <c r="E197" s="120"/>
      <c r="F197" s="120"/>
      <c r="G197" s="145"/>
      <c r="H197" s="149"/>
      <c r="I197" s="163"/>
      <c r="J197" s="176"/>
      <c r="K197" s="192"/>
      <c r="L197" s="125"/>
      <c r="M197" s="125"/>
      <c r="N197" s="125"/>
      <c r="O197" s="193"/>
      <c r="P197" s="182"/>
      <c r="Q197" s="125"/>
      <c r="R197" s="125"/>
      <c r="S197" s="125"/>
      <c r="T197" s="162"/>
      <c r="U197" s="155"/>
      <c r="V197" s="222"/>
    </row>
    <row r="198" spans="1:22">
      <c r="A198" s="117">
        <v>197</v>
      </c>
      <c r="B198" s="120"/>
      <c r="C198" s="120"/>
      <c r="D198" s="120"/>
      <c r="E198" s="120"/>
      <c r="F198" s="120"/>
      <c r="G198" s="145"/>
      <c r="H198" s="149"/>
      <c r="I198" s="163"/>
      <c r="J198" s="176"/>
      <c r="K198" s="192"/>
      <c r="L198" s="125"/>
      <c r="M198" s="125"/>
      <c r="N198" s="125"/>
      <c r="O198" s="193"/>
      <c r="P198" s="182"/>
      <c r="Q198" s="125"/>
      <c r="R198" s="125"/>
      <c r="S198" s="125"/>
      <c r="T198" s="162"/>
      <c r="U198" s="155"/>
      <c r="V198" s="222"/>
    </row>
    <row r="199" spans="1:22">
      <c r="A199" s="117">
        <v>198</v>
      </c>
      <c r="B199" s="120"/>
      <c r="C199" s="120"/>
      <c r="D199" s="120"/>
      <c r="E199" s="120"/>
      <c r="F199" s="120"/>
      <c r="G199" s="145"/>
      <c r="H199" s="149"/>
      <c r="I199" s="163"/>
      <c r="J199" s="176"/>
      <c r="K199" s="192"/>
      <c r="L199" s="125"/>
      <c r="M199" s="125"/>
      <c r="N199" s="125"/>
      <c r="O199" s="193"/>
      <c r="P199" s="182"/>
      <c r="Q199" s="125"/>
      <c r="R199" s="125"/>
      <c r="S199" s="125"/>
      <c r="T199" s="162"/>
      <c r="U199" s="155"/>
      <c r="V199" s="222"/>
    </row>
    <row r="200" spans="1:22">
      <c r="A200" s="117">
        <v>199</v>
      </c>
      <c r="B200" s="120"/>
      <c r="C200" s="120"/>
      <c r="D200" s="120"/>
      <c r="E200" s="120"/>
      <c r="F200" s="120"/>
      <c r="G200" s="145"/>
      <c r="H200" s="149"/>
      <c r="I200" s="163"/>
      <c r="J200" s="176"/>
      <c r="K200" s="192"/>
      <c r="L200" s="125"/>
      <c r="M200" s="125"/>
      <c r="N200" s="125"/>
      <c r="O200" s="193"/>
      <c r="P200" s="182"/>
      <c r="Q200" s="125"/>
      <c r="R200" s="125"/>
      <c r="S200" s="125"/>
      <c r="T200" s="162"/>
      <c r="U200" s="155"/>
      <c r="V200" s="222"/>
    </row>
    <row r="201" spans="1:22">
      <c r="A201" s="118">
        <v>200</v>
      </c>
      <c r="B201" s="121"/>
      <c r="C201" s="121"/>
      <c r="D201" s="121"/>
      <c r="E201" s="121"/>
      <c r="F201" s="121"/>
      <c r="G201" s="146"/>
      <c r="H201" s="150"/>
      <c r="I201" s="164"/>
      <c r="J201" s="177"/>
      <c r="K201" s="194"/>
      <c r="L201" s="126"/>
      <c r="M201" s="126"/>
      <c r="N201" s="126"/>
      <c r="O201" s="195"/>
      <c r="P201" s="183"/>
      <c r="Q201" s="126"/>
      <c r="R201" s="126"/>
      <c r="S201" s="126"/>
      <c r="T201" s="165"/>
      <c r="U201" s="156"/>
      <c r="V201" s="223"/>
    </row>
  </sheetData>
  <sortState xmlns:xlrd2="http://schemas.microsoft.com/office/spreadsheetml/2017/richdata2" ref="AB2:AB25">
    <sortCondition ref="AB25"/>
  </sortState>
  <phoneticPr fontId="1"/>
  <dataValidations count="1">
    <dataValidation type="list" allowBlank="1" showInputMessage="1" showErrorMessage="1" sqref="V2:V41" xr:uid="{77B28295-C848-4F46-A1DA-FE689EEC94EA}">
      <formula1>$AB$2:$AB$41</formula1>
    </dataValidation>
  </dataValidations>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EFBC2-AA03-42B3-8121-A7560A871F5D}">
  <dimension ref="A1:H235"/>
  <sheetViews>
    <sheetView topLeftCell="A186" workbookViewId="0">
      <selection activeCell="G153" sqref="G153"/>
    </sheetView>
  </sheetViews>
  <sheetFormatPr defaultRowHeight="18.75"/>
  <cols>
    <col min="2" max="2" width="9" style="10"/>
    <col min="3" max="3" width="19.375" style="11" bestFit="1" customWidth="1"/>
    <col min="4" max="4" width="19.375" style="11" customWidth="1"/>
    <col min="5" max="5" width="33.625" style="11" bestFit="1" customWidth="1"/>
    <col min="6" max="6" width="16.25" style="11" customWidth="1"/>
    <col min="7" max="7" width="42.125" style="12" bestFit="1" customWidth="1"/>
    <col min="8" max="8" width="37.625" bestFit="1" customWidth="1"/>
  </cols>
  <sheetData>
    <row r="1" spans="1:8" ht="19.5" thickBot="1">
      <c r="A1" s="2"/>
      <c r="B1" s="4" t="s">
        <v>7</v>
      </c>
      <c r="C1" s="5" t="s">
        <v>8</v>
      </c>
      <c r="D1" s="5" t="s">
        <v>49</v>
      </c>
      <c r="E1" s="5" t="s">
        <v>51</v>
      </c>
      <c r="F1" s="5" t="s">
        <v>61</v>
      </c>
      <c r="G1" s="6" t="s">
        <v>50</v>
      </c>
      <c r="H1" s="3" t="s">
        <v>48</v>
      </c>
    </row>
    <row r="2" spans="1:8" ht="19.5" thickTop="1">
      <c r="A2" s="1" t="s">
        <v>0</v>
      </c>
      <c r="B2" s="7" t="s">
        <v>734</v>
      </c>
      <c r="C2" s="8">
        <v>1658</v>
      </c>
      <c r="D2" s="8" t="s">
        <v>12</v>
      </c>
      <c r="E2" s="8" t="s">
        <v>57</v>
      </c>
      <c r="F2" s="9">
        <v>620</v>
      </c>
      <c r="G2" s="46" t="s">
        <v>731</v>
      </c>
      <c r="H2" s="1" t="s">
        <v>727</v>
      </c>
    </row>
    <row r="3" spans="1:8">
      <c r="A3" s="13" t="s">
        <v>1</v>
      </c>
      <c r="B3" s="14" t="s">
        <v>795</v>
      </c>
      <c r="C3" s="15">
        <v>1659</v>
      </c>
      <c r="D3" s="15" t="s">
        <v>12</v>
      </c>
      <c r="E3" s="15" t="s">
        <v>53</v>
      </c>
      <c r="F3" s="16">
        <v>274.99</v>
      </c>
      <c r="G3" s="47" t="s">
        <v>754</v>
      </c>
      <c r="H3" s="13" t="s">
        <v>727</v>
      </c>
    </row>
    <row r="4" spans="1:8">
      <c r="A4" s="13" t="s">
        <v>2</v>
      </c>
      <c r="B4" s="14" t="s">
        <v>796</v>
      </c>
      <c r="C4" s="15">
        <v>1660</v>
      </c>
      <c r="D4" s="15" t="s">
        <v>9</v>
      </c>
      <c r="E4" s="15" t="s">
        <v>53</v>
      </c>
      <c r="F4" s="16">
        <v>755.99</v>
      </c>
      <c r="G4" s="47" t="s">
        <v>793</v>
      </c>
      <c r="H4" s="13" t="s">
        <v>727</v>
      </c>
    </row>
    <row r="5" spans="1:8">
      <c r="A5" s="13" t="s">
        <v>3</v>
      </c>
      <c r="B5" s="14" t="s">
        <v>797</v>
      </c>
      <c r="C5" s="15">
        <v>1661</v>
      </c>
      <c r="D5" s="15" t="s">
        <v>18</v>
      </c>
      <c r="E5" s="15" t="s">
        <v>55</v>
      </c>
      <c r="F5" s="16">
        <v>1039.99</v>
      </c>
      <c r="G5" s="47" t="s">
        <v>755</v>
      </c>
      <c r="H5" s="13" t="s">
        <v>727</v>
      </c>
    </row>
    <row r="6" spans="1:8">
      <c r="A6" s="13" t="s">
        <v>4</v>
      </c>
      <c r="B6" s="14" t="s">
        <v>798</v>
      </c>
      <c r="C6" s="15">
        <v>1662</v>
      </c>
      <c r="D6" s="15" t="s">
        <v>18</v>
      </c>
      <c r="E6" s="15" t="s">
        <v>55</v>
      </c>
      <c r="F6" s="16">
        <v>1000.99</v>
      </c>
      <c r="G6" s="47" t="s">
        <v>756</v>
      </c>
      <c r="H6" s="13" t="s">
        <v>727</v>
      </c>
    </row>
    <row r="7" spans="1:8">
      <c r="A7" s="13" t="s">
        <v>5</v>
      </c>
      <c r="B7" s="14" t="s">
        <v>799</v>
      </c>
      <c r="C7" s="15">
        <v>1663</v>
      </c>
      <c r="D7" s="15" t="s">
        <v>12</v>
      </c>
      <c r="E7" s="15" t="s">
        <v>53</v>
      </c>
      <c r="F7" s="16">
        <v>1250.99</v>
      </c>
      <c r="G7" s="47" t="s">
        <v>757</v>
      </c>
      <c r="H7" s="13" t="s">
        <v>727</v>
      </c>
    </row>
    <row r="8" spans="1:8">
      <c r="A8" s="13" t="s">
        <v>6</v>
      </c>
      <c r="B8" s="14" t="s">
        <v>917</v>
      </c>
      <c r="C8" s="15">
        <v>1664</v>
      </c>
      <c r="D8" s="15" t="s">
        <v>11</v>
      </c>
      <c r="E8" s="15" t="s">
        <v>53</v>
      </c>
      <c r="F8" s="16">
        <v>592</v>
      </c>
      <c r="G8" s="47" t="s">
        <v>814</v>
      </c>
      <c r="H8" s="13" t="s">
        <v>727</v>
      </c>
    </row>
    <row r="9" spans="1:8">
      <c r="A9" s="13" t="s">
        <v>82</v>
      </c>
      <c r="B9" s="14" t="s">
        <v>884</v>
      </c>
      <c r="C9" s="15">
        <v>1665</v>
      </c>
      <c r="D9" s="15" t="s">
        <v>11</v>
      </c>
      <c r="E9" s="15" t="s">
        <v>53</v>
      </c>
      <c r="F9" s="35">
        <v>419</v>
      </c>
      <c r="G9" s="47" t="s">
        <v>815</v>
      </c>
      <c r="H9" s="13" t="s">
        <v>727</v>
      </c>
    </row>
    <row r="10" spans="1:8">
      <c r="A10" s="13" t="s">
        <v>83</v>
      </c>
      <c r="B10" s="14" t="s">
        <v>885</v>
      </c>
      <c r="C10" s="15">
        <v>1666</v>
      </c>
      <c r="D10" s="15" t="s">
        <v>11</v>
      </c>
      <c r="E10" s="15" t="s">
        <v>53</v>
      </c>
      <c r="F10" s="35">
        <v>809</v>
      </c>
      <c r="G10" s="47" t="s">
        <v>816</v>
      </c>
      <c r="H10" s="13" t="s">
        <v>727</v>
      </c>
    </row>
    <row r="11" spans="1:8">
      <c r="A11" s="13" t="s">
        <v>84</v>
      </c>
      <c r="B11" s="14" t="s">
        <v>886</v>
      </c>
      <c r="C11" s="15">
        <v>1667</v>
      </c>
      <c r="D11" s="15" t="s">
        <v>10</v>
      </c>
      <c r="E11" s="15" t="s">
        <v>53</v>
      </c>
      <c r="F11" s="35">
        <v>294</v>
      </c>
      <c r="G11" s="47" t="s">
        <v>817</v>
      </c>
      <c r="H11" s="13" t="s">
        <v>727</v>
      </c>
    </row>
    <row r="12" spans="1:8">
      <c r="A12" s="13" t="s">
        <v>104</v>
      </c>
      <c r="B12" s="14" t="s">
        <v>887</v>
      </c>
      <c r="C12" s="15">
        <v>1668</v>
      </c>
      <c r="D12" s="15" t="s">
        <v>10</v>
      </c>
      <c r="E12" s="15" t="s">
        <v>53</v>
      </c>
      <c r="F12" s="35">
        <v>294</v>
      </c>
      <c r="G12" s="47" t="s">
        <v>818</v>
      </c>
      <c r="H12" s="13" t="s">
        <v>727</v>
      </c>
    </row>
    <row r="13" spans="1:8">
      <c r="A13" s="13" t="s">
        <v>105</v>
      </c>
      <c r="B13" s="14" t="s">
        <v>888</v>
      </c>
      <c r="C13" s="15">
        <v>1669</v>
      </c>
      <c r="D13" s="15" t="s">
        <v>91</v>
      </c>
      <c r="E13" s="15" t="s">
        <v>53</v>
      </c>
      <c r="F13" s="35">
        <v>250</v>
      </c>
      <c r="G13" s="47" t="s">
        <v>819</v>
      </c>
      <c r="H13" s="13" t="s">
        <v>727</v>
      </c>
    </row>
    <row r="14" spans="1:8">
      <c r="A14" s="13" t="s">
        <v>106</v>
      </c>
      <c r="B14" s="14" t="s">
        <v>889</v>
      </c>
      <c r="C14" s="15">
        <v>1670</v>
      </c>
      <c r="D14" s="15" t="s">
        <v>91</v>
      </c>
      <c r="E14" s="15" t="s">
        <v>53</v>
      </c>
      <c r="F14" s="15">
        <v>800</v>
      </c>
      <c r="G14" s="47" t="s">
        <v>820</v>
      </c>
      <c r="H14" s="13" t="s">
        <v>727</v>
      </c>
    </row>
    <row r="15" spans="1:8">
      <c r="A15" s="13" t="s">
        <v>107</v>
      </c>
      <c r="B15" s="14" t="s">
        <v>890</v>
      </c>
      <c r="C15" s="15">
        <v>1671</v>
      </c>
      <c r="D15" s="15" t="s">
        <v>13</v>
      </c>
      <c r="E15" s="15" t="s">
        <v>53</v>
      </c>
      <c r="F15" s="15">
        <v>299</v>
      </c>
      <c r="G15" s="47" t="s">
        <v>821</v>
      </c>
      <c r="H15" s="13" t="s">
        <v>727</v>
      </c>
    </row>
    <row r="16" spans="1:8">
      <c r="A16" s="13" t="s">
        <v>108</v>
      </c>
      <c r="B16" s="14" t="s">
        <v>891</v>
      </c>
      <c r="C16" s="15">
        <v>1672</v>
      </c>
      <c r="D16" s="15" t="s">
        <v>13</v>
      </c>
      <c r="E16" s="15" t="s">
        <v>53</v>
      </c>
      <c r="F16" s="15">
        <v>302</v>
      </c>
      <c r="G16" s="47" t="s">
        <v>822</v>
      </c>
      <c r="H16" s="13" t="s">
        <v>727</v>
      </c>
    </row>
    <row r="17" spans="1:8">
      <c r="A17" s="13" t="s">
        <v>584</v>
      </c>
      <c r="B17" s="14" t="s">
        <v>892</v>
      </c>
      <c r="C17" s="15">
        <v>1673</v>
      </c>
      <c r="D17" s="15" t="s">
        <v>13</v>
      </c>
      <c r="E17" s="15" t="s">
        <v>53</v>
      </c>
      <c r="F17" s="15">
        <v>370</v>
      </c>
      <c r="G17" s="47" t="s">
        <v>823</v>
      </c>
      <c r="H17" s="13" t="s">
        <v>727</v>
      </c>
    </row>
    <row r="18" spans="1:8">
      <c r="A18" s="13" t="s">
        <v>585</v>
      </c>
      <c r="B18" s="14" t="s">
        <v>893</v>
      </c>
      <c r="C18" s="15">
        <v>1674</v>
      </c>
      <c r="D18" s="15" t="s">
        <v>18</v>
      </c>
      <c r="E18" s="15" t="s">
        <v>894</v>
      </c>
      <c r="F18" s="15">
        <v>830</v>
      </c>
      <c r="G18" s="47" t="s">
        <v>824</v>
      </c>
      <c r="H18" s="13" t="s">
        <v>727</v>
      </c>
    </row>
    <row r="19" spans="1:8">
      <c r="A19" s="13" t="s">
        <v>586</v>
      </c>
      <c r="B19" s="14" t="s">
        <v>978</v>
      </c>
      <c r="C19" s="15">
        <v>1675</v>
      </c>
      <c r="D19" s="15" t="s">
        <v>91</v>
      </c>
      <c r="E19" s="15" t="s">
        <v>53</v>
      </c>
      <c r="F19" s="15">
        <v>354</v>
      </c>
      <c r="G19" s="47" t="s">
        <v>926</v>
      </c>
      <c r="H19" s="13" t="s">
        <v>727</v>
      </c>
    </row>
    <row r="20" spans="1:8">
      <c r="A20" s="13" t="s">
        <v>587</v>
      </c>
      <c r="B20" s="14" t="s">
        <v>979</v>
      </c>
      <c r="C20" s="15">
        <v>1676</v>
      </c>
      <c r="D20" s="15" t="s">
        <v>91</v>
      </c>
      <c r="E20" s="15" t="s">
        <v>54</v>
      </c>
      <c r="F20" s="15">
        <v>1080</v>
      </c>
      <c r="G20" s="47" t="s">
        <v>927</v>
      </c>
      <c r="H20" s="13" t="s">
        <v>727</v>
      </c>
    </row>
    <row r="21" spans="1:8">
      <c r="A21" s="13" t="s">
        <v>588</v>
      </c>
      <c r="B21" s="14" t="s">
        <v>980</v>
      </c>
      <c r="C21" s="15">
        <v>1677</v>
      </c>
      <c r="D21" s="15" t="s">
        <v>91</v>
      </c>
      <c r="E21" s="15" t="s">
        <v>54</v>
      </c>
      <c r="F21" s="15">
        <v>1080</v>
      </c>
      <c r="G21" s="47" t="s">
        <v>928</v>
      </c>
      <c r="H21" s="13" t="s">
        <v>727</v>
      </c>
    </row>
    <row r="22" spans="1:8">
      <c r="A22" s="13" t="s">
        <v>589</v>
      </c>
      <c r="B22" s="14" t="s">
        <v>981</v>
      </c>
      <c r="C22" s="15">
        <v>1678</v>
      </c>
      <c r="D22" s="15" t="s">
        <v>10</v>
      </c>
      <c r="E22" s="15" t="s">
        <v>59</v>
      </c>
      <c r="F22" s="15">
        <v>720</v>
      </c>
      <c r="G22" s="47" t="s">
        <v>976</v>
      </c>
      <c r="H22" s="13" t="s">
        <v>727</v>
      </c>
    </row>
    <row r="23" spans="1:8">
      <c r="A23" s="13" t="s">
        <v>590</v>
      </c>
      <c r="B23" s="14" t="s">
        <v>982</v>
      </c>
      <c r="C23" s="15">
        <v>1679</v>
      </c>
      <c r="D23" s="15" t="s">
        <v>91</v>
      </c>
      <c r="E23" s="15" t="s">
        <v>53</v>
      </c>
      <c r="F23" s="15">
        <v>269</v>
      </c>
      <c r="G23" s="47" t="s">
        <v>929</v>
      </c>
      <c r="H23" s="13" t="s">
        <v>727</v>
      </c>
    </row>
    <row r="24" spans="1:8">
      <c r="A24" s="13" t="s">
        <v>591</v>
      </c>
      <c r="B24" s="14" t="s">
        <v>983</v>
      </c>
      <c r="C24" s="15">
        <v>1680</v>
      </c>
      <c r="D24" s="15" t="s">
        <v>91</v>
      </c>
      <c r="E24" s="15" t="s">
        <v>53</v>
      </c>
      <c r="F24" s="15">
        <v>560</v>
      </c>
      <c r="G24" s="47" t="s">
        <v>930</v>
      </c>
      <c r="H24" s="13" t="s">
        <v>727</v>
      </c>
    </row>
    <row r="25" spans="1:8">
      <c r="A25" s="13" t="s">
        <v>592</v>
      </c>
      <c r="B25" s="14" t="s">
        <v>984</v>
      </c>
      <c r="C25" s="15">
        <v>1681</v>
      </c>
      <c r="D25" s="15" t="s">
        <v>12</v>
      </c>
      <c r="E25" s="15" t="s">
        <v>53</v>
      </c>
      <c r="F25" s="15">
        <v>288</v>
      </c>
      <c r="G25" s="47" t="s">
        <v>931</v>
      </c>
      <c r="H25" s="13" t="s">
        <v>727</v>
      </c>
    </row>
    <row r="26" spans="1:8">
      <c r="A26" s="13" t="s">
        <v>593</v>
      </c>
      <c r="B26" s="14" t="s">
        <v>985</v>
      </c>
      <c r="C26" s="15">
        <v>1682</v>
      </c>
      <c r="D26" s="15" t="s">
        <v>13</v>
      </c>
      <c r="E26" s="15" t="s">
        <v>53</v>
      </c>
      <c r="F26" s="15">
        <v>650</v>
      </c>
      <c r="G26" s="47" t="s">
        <v>977</v>
      </c>
      <c r="H26" s="13" t="s">
        <v>727</v>
      </c>
    </row>
    <row r="27" spans="1:8">
      <c r="A27" s="13" t="s">
        <v>594</v>
      </c>
      <c r="B27" s="14" t="s">
        <v>1107</v>
      </c>
      <c r="C27" s="15">
        <v>1683</v>
      </c>
      <c r="D27" s="15" t="s">
        <v>19</v>
      </c>
      <c r="E27" s="15" t="s">
        <v>53</v>
      </c>
      <c r="F27" s="15">
        <v>1109</v>
      </c>
      <c r="G27" s="17" t="s">
        <v>1103</v>
      </c>
      <c r="H27" s="13" t="s">
        <v>727</v>
      </c>
    </row>
    <row r="28" spans="1:8">
      <c r="A28" s="13" t="s">
        <v>595</v>
      </c>
      <c r="B28" s="14" t="s">
        <v>1108</v>
      </c>
      <c r="C28" s="15">
        <v>1684</v>
      </c>
      <c r="D28" s="15" t="s">
        <v>16</v>
      </c>
      <c r="E28" s="15" t="s">
        <v>1109</v>
      </c>
      <c r="F28" s="15">
        <v>358</v>
      </c>
      <c r="G28" s="17" t="s">
        <v>1007</v>
      </c>
      <c r="H28" s="13" t="s">
        <v>727</v>
      </c>
    </row>
    <row r="29" spans="1:8">
      <c r="A29" s="13" t="s">
        <v>596</v>
      </c>
      <c r="B29" s="14" t="s">
        <v>1110</v>
      </c>
      <c r="C29" s="15">
        <v>1685</v>
      </c>
      <c r="D29" s="15" t="s">
        <v>16</v>
      </c>
      <c r="E29" s="15" t="s">
        <v>1109</v>
      </c>
      <c r="F29" s="15">
        <v>349</v>
      </c>
      <c r="G29" s="17" t="s">
        <v>1008</v>
      </c>
      <c r="H29" s="13" t="s">
        <v>727</v>
      </c>
    </row>
    <row r="30" spans="1:8">
      <c r="A30" s="13" t="s">
        <v>597</v>
      </c>
      <c r="B30" s="14" t="s">
        <v>1111</v>
      </c>
      <c r="C30" s="15">
        <v>1686</v>
      </c>
      <c r="D30" s="15" t="s">
        <v>10</v>
      </c>
      <c r="E30" s="15" t="s">
        <v>53</v>
      </c>
      <c r="F30" s="15">
        <v>723</v>
      </c>
      <c r="G30" s="17" t="s">
        <v>1018</v>
      </c>
      <c r="H30" s="13" t="s">
        <v>727</v>
      </c>
    </row>
    <row r="31" spans="1:8">
      <c r="A31" s="13" t="s">
        <v>598</v>
      </c>
      <c r="B31" s="14" t="s">
        <v>1112</v>
      </c>
      <c r="C31" s="15">
        <v>1687</v>
      </c>
      <c r="D31" s="15" t="s">
        <v>10</v>
      </c>
      <c r="E31" s="15" t="s">
        <v>53</v>
      </c>
      <c r="F31" s="15">
        <v>1050</v>
      </c>
      <c r="G31" s="17" t="s">
        <v>1019</v>
      </c>
      <c r="H31" s="13" t="s">
        <v>727</v>
      </c>
    </row>
    <row r="32" spans="1:8">
      <c r="A32" s="13" t="s">
        <v>599</v>
      </c>
      <c r="B32" s="14" t="s">
        <v>1113</v>
      </c>
      <c r="C32" s="15">
        <v>1688</v>
      </c>
      <c r="D32" s="15" t="s">
        <v>10</v>
      </c>
      <c r="E32" s="15" t="s">
        <v>53</v>
      </c>
      <c r="F32" s="15">
        <v>980</v>
      </c>
      <c r="G32" s="17" t="s">
        <v>1020</v>
      </c>
      <c r="H32" s="13" t="s">
        <v>727</v>
      </c>
    </row>
    <row r="33" spans="1:8">
      <c r="A33" s="13" t="s">
        <v>600</v>
      </c>
      <c r="B33" s="14" t="s">
        <v>1114</v>
      </c>
      <c r="C33" s="15">
        <v>1689</v>
      </c>
      <c r="D33" s="15" t="s">
        <v>10</v>
      </c>
      <c r="E33" s="15" t="s">
        <v>53</v>
      </c>
      <c r="F33" s="15">
        <v>930</v>
      </c>
      <c r="G33" s="17" t="s">
        <v>1021</v>
      </c>
      <c r="H33" s="13" t="s">
        <v>727</v>
      </c>
    </row>
    <row r="34" spans="1:8">
      <c r="A34" s="13" t="s">
        <v>601</v>
      </c>
      <c r="B34" s="14" t="s">
        <v>1115</v>
      </c>
      <c r="C34" s="15">
        <v>1690</v>
      </c>
      <c r="D34" s="15" t="s">
        <v>9</v>
      </c>
      <c r="E34" s="15" t="s">
        <v>53</v>
      </c>
      <c r="F34" s="15">
        <v>280</v>
      </c>
      <c r="G34" s="17" t="s">
        <v>1022</v>
      </c>
      <c r="H34" s="13" t="s">
        <v>727</v>
      </c>
    </row>
    <row r="35" spans="1:8">
      <c r="A35" s="13" t="s">
        <v>602</v>
      </c>
      <c r="B35" s="14" t="s">
        <v>1116</v>
      </c>
      <c r="C35" s="15">
        <v>1691</v>
      </c>
      <c r="D35" s="15" t="s">
        <v>10</v>
      </c>
      <c r="E35" s="15" t="s">
        <v>56</v>
      </c>
      <c r="F35" s="15">
        <v>950</v>
      </c>
      <c r="G35" s="17" t="s">
        <v>1104</v>
      </c>
      <c r="H35" s="13" t="s">
        <v>727</v>
      </c>
    </row>
    <row r="36" spans="1:8">
      <c r="A36" s="13" t="s">
        <v>603</v>
      </c>
      <c r="B36" s="14" t="s">
        <v>1117</v>
      </c>
      <c r="C36" s="15">
        <v>1692</v>
      </c>
      <c r="D36" s="15" t="s">
        <v>10</v>
      </c>
      <c r="E36" s="15" t="s">
        <v>56</v>
      </c>
      <c r="F36" s="15">
        <v>670</v>
      </c>
      <c r="G36" s="17" t="s">
        <v>1024</v>
      </c>
      <c r="H36" s="13" t="s">
        <v>727</v>
      </c>
    </row>
    <row r="37" spans="1:8">
      <c r="A37" s="13" t="s">
        <v>604</v>
      </c>
      <c r="B37" s="14" t="s">
        <v>1118</v>
      </c>
      <c r="C37" s="15">
        <v>1693</v>
      </c>
      <c r="D37" s="15" t="s">
        <v>10</v>
      </c>
      <c r="E37" s="15" t="s">
        <v>56</v>
      </c>
      <c r="F37" s="15">
        <v>630</v>
      </c>
      <c r="G37" s="17" t="s">
        <v>1025</v>
      </c>
      <c r="H37" s="13" t="s">
        <v>727</v>
      </c>
    </row>
    <row r="38" spans="1:8">
      <c r="A38" s="13" t="s">
        <v>605</v>
      </c>
      <c r="B38" s="14" t="s">
        <v>1185</v>
      </c>
      <c r="C38" s="15">
        <v>1694</v>
      </c>
      <c r="D38" s="15" t="s">
        <v>17</v>
      </c>
      <c r="E38" s="15" t="s">
        <v>1186</v>
      </c>
      <c r="F38" s="15">
        <v>1130</v>
      </c>
      <c r="G38" s="17" t="s">
        <v>1127</v>
      </c>
      <c r="H38" s="13" t="s">
        <v>727</v>
      </c>
    </row>
    <row r="39" spans="1:8">
      <c r="A39" s="13" t="s">
        <v>606</v>
      </c>
      <c r="B39" s="14" t="s">
        <v>1187</v>
      </c>
      <c r="C39" s="15">
        <v>1695</v>
      </c>
      <c r="D39" s="15" t="s">
        <v>11</v>
      </c>
      <c r="E39" s="15" t="s">
        <v>57</v>
      </c>
      <c r="F39" s="15">
        <v>550</v>
      </c>
      <c r="G39" s="17" t="s">
        <v>1182</v>
      </c>
      <c r="H39" s="13" t="s">
        <v>727</v>
      </c>
    </row>
    <row r="40" spans="1:8">
      <c r="A40" s="13" t="s">
        <v>607</v>
      </c>
      <c r="B40" s="14" t="s">
        <v>1188</v>
      </c>
      <c r="C40" s="15">
        <v>1696</v>
      </c>
      <c r="D40" s="15" t="s">
        <v>9</v>
      </c>
      <c r="E40" s="15" t="s">
        <v>1109</v>
      </c>
      <c r="F40" s="15">
        <v>690</v>
      </c>
      <c r="G40" s="17" t="s">
        <v>1183</v>
      </c>
      <c r="H40" s="13" t="s">
        <v>727</v>
      </c>
    </row>
    <row r="41" spans="1:8">
      <c r="A41" s="13" t="s">
        <v>608</v>
      </c>
      <c r="B41" s="14" t="s">
        <v>1189</v>
      </c>
      <c r="C41" s="15">
        <v>1697</v>
      </c>
      <c r="D41" s="15" t="s">
        <v>9</v>
      </c>
      <c r="E41" s="15" t="s">
        <v>1193</v>
      </c>
      <c r="F41" s="15">
        <v>229</v>
      </c>
      <c r="G41" s="17" t="s">
        <v>1128</v>
      </c>
      <c r="H41" s="13" t="s">
        <v>727</v>
      </c>
    </row>
    <row r="42" spans="1:8">
      <c r="A42" s="13" t="s">
        <v>609</v>
      </c>
      <c r="B42" s="14" t="s">
        <v>1190</v>
      </c>
      <c r="C42" s="15">
        <v>1698</v>
      </c>
      <c r="D42" s="15" t="s">
        <v>13</v>
      </c>
      <c r="E42" s="15"/>
      <c r="F42" s="15">
        <v>399</v>
      </c>
      <c r="G42" s="17" t="s">
        <v>1129</v>
      </c>
      <c r="H42" s="13" t="s">
        <v>727</v>
      </c>
    </row>
    <row r="43" spans="1:8">
      <c r="A43" s="13" t="s">
        <v>610</v>
      </c>
      <c r="B43" s="14" t="s">
        <v>1191</v>
      </c>
      <c r="C43" s="15">
        <v>1699</v>
      </c>
      <c r="D43" s="15" t="s">
        <v>13</v>
      </c>
      <c r="E43" s="15" t="s">
        <v>53</v>
      </c>
      <c r="F43" s="15">
        <v>520</v>
      </c>
      <c r="G43" s="17" t="s">
        <v>1130</v>
      </c>
      <c r="H43" s="13" t="s">
        <v>727</v>
      </c>
    </row>
    <row r="44" spans="1:8">
      <c r="A44" s="13" t="s">
        <v>611</v>
      </c>
      <c r="B44" s="14" t="s">
        <v>1192</v>
      </c>
      <c r="C44" s="15">
        <v>1700</v>
      </c>
      <c r="D44" s="15" t="s">
        <v>10</v>
      </c>
      <c r="E44" s="15" t="s">
        <v>58</v>
      </c>
      <c r="F44" s="15">
        <v>298</v>
      </c>
      <c r="G44" s="17" t="s">
        <v>1181</v>
      </c>
      <c r="H44" s="13" t="s">
        <v>727</v>
      </c>
    </row>
    <row r="45" spans="1:8">
      <c r="A45" s="13" t="s">
        <v>612</v>
      </c>
      <c r="B45" s="14" t="s">
        <v>1253</v>
      </c>
      <c r="C45" s="15">
        <v>1701</v>
      </c>
      <c r="D45" s="15" t="s">
        <v>11</v>
      </c>
      <c r="E45" s="15" t="s">
        <v>53</v>
      </c>
      <c r="F45" s="15">
        <v>270</v>
      </c>
      <c r="G45" s="17" t="s">
        <v>1250</v>
      </c>
      <c r="H45" s="13" t="s">
        <v>727</v>
      </c>
    </row>
    <row r="46" spans="1:8">
      <c r="A46" s="13" t="s">
        <v>613</v>
      </c>
      <c r="B46" s="14" t="s">
        <v>1254</v>
      </c>
      <c r="C46" s="15">
        <v>1702</v>
      </c>
      <c r="D46" s="15" t="s">
        <v>17</v>
      </c>
      <c r="E46" s="15" t="s">
        <v>53</v>
      </c>
      <c r="F46" s="15">
        <v>490</v>
      </c>
      <c r="G46" s="17" t="s">
        <v>1204</v>
      </c>
      <c r="H46" s="13" t="s">
        <v>727</v>
      </c>
    </row>
    <row r="47" spans="1:8">
      <c r="A47" s="13" t="s">
        <v>614</v>
      </c>
      <c r="B47" s="14" t="s">
        <v>1255</v>
      </c>
      <c r="C47" s="15">
        <v>1703</v>
      </c>
      <c r="D47" s="15" t="s">
        <v>9</v>
      </c>
      <c r="E47" s="15" t="s">
        <v>53</v>
      </c>
      <c r="F47" s="15">
        <v>228</v>
      </c>
      <c r="G47" s="17" t="s">
        <v>1205</v>
      </c>
      <c r="H47" s="13" t="s">
        <v>727</v>
      </c>
    </row>
    <row r="48" spans="1:8">
      <c r="A48" s="13" t="s">
        <v>615</v>
      </c>
      <c r="B48" s="14" t="s">
        <v>1256</v>
      </c>
      <c r="C48" s="15">
        <v>1704</v>
      </c>
      <c r="D48" s="15" t="s">
        <v>22</v>
      </c>
      <c r="E48" s="15" t="s">
        <v>1257</v>
      </c>
      <c r="F48" s="15">
        <v>920</v>
      </c>
      <c r="G48" s="17" t="s">
        <v>1206</v>
      </c>
      <c r="H48" s="13" t="s">
        <v>727</v>
      </c>
    </row>
    <row r="49" spans="1:8">
      <c r="A49" s="13" t="s">
        <v>616</v>
      </c>
      <c r="B49" s="14" t="s">
        <v>1258</v>
      </c>
      <c r="C49" s="15">
        <v>1705</v>
      </c>
      <c r="D49" s="15" t="s">
        <v>91</v>
      </c>
      <c r="E49" s="15"/>
      <c r="F49" s="15">
        <v>560</v>
      </c>
      <c r="G49" s="17" t="s">
        <v>1207</v>
      </c>
      <c r="H49" s="13" t="s">
        <v>727</v>
      </c>
    </row>
    <row r="50" spans="1:8">
      <c r="A50" s="13" t="s">
        <v>617</v>
      </c>
      <c r="B50" s="14" t="s">
        <v>1259</v>
      </c>
      <c r="C50" s="15">
        <v>1706</v>
      </c>
      <c r="D50" s="15" t="s">
        <v>91</v>
      </c>
      <c r="E50" s="15" t="s">
        <v>60</v>
      </c>
      <c r="F50" s="15">
        <v>980</v>
      </c>
      <c r="G50" s="17" t="s">
        <v>1252</v>
      </c>
      <c r="H50" s="13" t="s">
        <v>727</v>
      </c>
    </row>
    <row r="51" spans="1:8">
      <c r="A51" s="13" t="s">
        <v>618</v>
      </c>
      <c r="B51" s="14" t="s">
        <v>1324</v>
      </c>
      <c r="C51" s="15">
        <v>1707</v>
      </c>
      <c r="D51" s="15" t="s">
        <v>10</v>
      </c>
      <c r="E51" s="15"/>
      <c r="F51" s="15">
        <v>227</v>
      </c>
      <c r="G51" s="17" t="s">
        <v>1312</v>
      </c>
      <c r="H51" s="13" t="s">
        <v>727</v>
      </c>
    </row>
    <row r="52" spans="1:8">
      <c r="A52" s="13" t="s">
        <v>619</v>
      </c>
      <c r="B52" s="14" t="s">
        <v>1325</v>
      </c>
      <c r="C52" s="15">
        <v>1708</v>
      </c>
      <c r="D52" s="15" t="s">
        <v>10</v>
      </c>
      <c r="E52" s="15" t="s">
        <v>55</v>
      </c>
      <c r="F52" s="15">
        <v>420</v>
      </c>
      <c r="G52" s="17" t="s">
        <v>1314</v>
      </c>
      <c r="H52" s="13" t="s">
        <v>727</v>
      </c>
    </row>
    <row r="53" spans="1:8">
      <c r="A53" s="13" t="s">
        <v>620</v>
      </c>
      <c r="B53" s="14" t="s">
        <v>1326</v>
      </c>
      <c r="C53" s="15">
        <v>1709</v>
      </c>
      <c r="D53" s="15" t="s">
        <v>16</v>
      </c>
      <c r="E53" s="15" t="s">
        <v>53</v>
      </c>
      <c r="F53" s="15">
        <v>440</v>
      </c>
      <c r="G53" s="17" t="s">
        <v>1315</v>
      </c>
      <c r="H53" s="13" t="s">
        <v>727</v>
      </c>
    </row>
    <row r="54" spans="1:8">
      <c r="A54" s="13" t="s">
        <v>621</v>
      </c>
      <c r="B54" s="14" t="s">
        <v>1327</v>
      </c>
      <c r="C54" s="15">
        <v>1710</v>
      </c>
      <c r="D54" s="15" t="s">
        <v>9</v>
      </c>
      <c r="E54" s="15" t="s">
        <v>53</v>
      </c>
      <c r="F54" s="15">
        <v>640</v>
      </c>
      <c r="G54" s="17" t="s">
        <v>1316</v>
      </c>
      <c r="H54" s="13" t="s">
        <v>727</v>
      </c>
    </row>
    <row r="55" spans="1:8">
      <c r="A55" s="13" t="s">
        <v>622</v>
      </c>
      <c r="B55" s="14" t="s">
        <v>1328</v>
      </c>
      <c r="C55" s="15">
        <v>1711</v>
      </c>
      <c r="D55" s="15" t="s">
        <v>11</v>
      </c>
      <c r="E55" s="15" t="s">
        <v>53</v>
      </c>
      <c r="F55" s="15">
        <v>193</v>
      </c>
      <c r="G55" s="17" t="s">
        <v>1317</v>
      </c>
      <c r="H55" s="13" t="s">
        <v>727</v>
      </c>
    </row>
    <row r="56" spans="1:8">
      <c r="A56" s="13" t="s">
        <v>623</v>
      </c>
      <c r="B56" s="14" t="s">
        <v>1329</v>
      </c>
      <c r="C56" s="15">
        <v>1712</v>
      </c>
      <c r="D56" s="15" t="s">
        <v>10</v>
      </c>
      <c r="E56" s="15" t="s">
        <v>53</v>
      </c>
      <c r="F56" s="15">
        <v>880</v>
      </c>
      <c r="G56" s="17" t="s">
        <v>1261</v>
      </c>
      <c r="H56" s="13" t="s">
        <v>727</v>
      </c>
    </row>
    <row r="57" spans="1:8">
      <c r="A57" s="13" t="s">
        <v>624</v>
      </c>
      <c r="B57" s="14" t="s">
        <v>1330</v>
      </c>
      <c r="C57" s="15">
        <v>1713</v>
      </c>
      <c r="D57" s="15" t="s">
        <v>16</v>
      </c>
      <c r="E57" s="15" t="s">
        <v>53</v>
      </c>
      <c r="F57" s="15">
        <v>427</v>
      </c>
      <c r="G57" s="17" t="s">
        <v>1262</v>
      </c>
      <c r="H57" s="13" t="s">
        <v>727</v>
      </c>
    </row>
    <row r="58" spans="1:8">
      <c r="A58" s="13" t="s">
        <v>625</v>
      </c>
      <c r="B58" s="14" t="s">
        <v>1406</v>
      </c>
      <c r="C58" s="15">
        <v>1714</v>
      </c>
      <c r="D58" s="15" t="s">
        <v>10</v>
      </c>
      <c r="E58" s="15" t="s">
        <v>53</v>
      </c>
      <c r="F58" s="15">
        <v>372</v>
      </c>
      <c r="G58" s="17" t="s">
        <v>1332</v>
      </c>
      <c r="H58" s="13" t="s">
        <v>727</v>
      </c>
    </row>
    <row r="59" spans="1:8">
      <c r="A59" s="13" t="s">
        <v>626</v>
      </c>
      <c r="B59" s="14" t="s">
        <v>1407</v>
      </c>
      <c r="C59" s="15">
        <v>1715</v>
      </c>
      <c r="D59" s="15" t="s">
        <v>10</v>
      </c>
      <c r="E59" s="15" t="s">
        <v>53</v>
      </c>
      <c r="F59" s="15">
        <v>286</v>
      </c>
      <c r="G59" s="17" t="s">
        <v>1333</v>
      </c>
      <c r="H59" s="13" t="s">
        <v>727</v>
      </c>
    </row>
    <row r="60" spans="1:8">
      <c r="A60" s="13" t="s">
        <v>627</v>
      </c>
      <c r="B60" s="14" t="s">
        <v>1408</v>
      </c>
      <c r="C60" s="15">
        <v>1716</v>
      </c>
      <c r="D60" s="15" t="s">
        <v>91</v>
      </c>
      <c r="E60" s="15" t="s">
        <v>53</v>
      </c>
      <c r="F60" s="15">
        <v>1053</v>
      </c>
      <c r="G60" s="17" t="s">
        <v>1334</v>
      </c>
      <c r="H60" s="13" t="s">
        <v>727</v>
      </c>
    </row>
    <row r="61" spans="1:8">
      <c r="A61" s="13" t="s">
        <v>628</v>
      </c>
      <c r="B61" s="14" t="s">
        <v>1409</v>
      </c>
      <c r="C61" s="15">
        <v>1717</v>
      </c>
      <c r="D61" s="15" t="s">
        <v>11</v>
      </c>
      <c r="E61" s="15" t="s">
        <v>53</v>
      </c>
      <c r="F61" s="15">
        <v>950</v>
      </c>
      <c r="G61" s="17" t="s">
        <v>1404</v>
      </c>
      <c r="H61" s="13" t="s">
        <v>727</v>
      </c>
    </row>
    <row r="62" spans="1:8">
      <c r="A62" s="13" t="s">
        <v>629</v>
      </c>
      <c r="B62" s="14" t="s">
        <v>1410</v>
      </c>
      <c r="C62" s="15">
        <v>1718</v>
      </c>
      <c r="D62" s="15" t="s">
        <v>10</v>
      </c>
      <c r="E62" s="15" t="s">
        <v>53</v>
      </c>
      <c r="F62" s="15">
        <v>922</v>
      </c>
      <c r="G62" s="17" t="s">
        <v>1335</v>
      </c>
      <c r="H62" s="13" t="s">
        <v>727</v>
      </c>
    </row>
    <row r="63" spans="1:8">
      <c r="A63" s="13" t="s">
        <v>630</v>
      </c>
      <c r="B63" s="14" t="s">
        <v>1411</v>
      </c>
      <c r="C63" s="15">
        <v>1719</v>
      </c>
      <c r="D63" s="15" t="s">
        <v>10</v>
      </c>
      <c r="E63" s="15" t="s">
        <v>53</v>
      </c>
      <c r="F63" s="15">
        <v>922</v>
      </c>
      <c r="G63" s="17" t="s">
        <v>1336</v>
      </c>
      <c r="H63" s="13" t="s">
        <v>727</v>
      </c>
    </row>
    <row r="64" spans="1:8">
      <c r="A64" s="13" t="s">
        <v>631</v>
      </c>
      <c r="B64" s="14" t="s">
        <v>1412</v>
      </c>
      <c r="C64" s="15">
        <v>1720</v>
      </c>
      <c r="D64" s="15" t="s">
        <v>11</v>
      </c>
      <c r="E64" s="15" t="s">
        <v>53</v>
      </c>
      <c r="F64" s="15">
        <v>610</v>
      </c>
      <c r="G64" s="17" t="s">
        <v>1337</v>
      </c>
      <c r="H64" s="13" t="s">
        <v>727</v>
      </c>
    </row>
    <row r="65" spans="1:8">
      <c r="A65" s="13" t="s">
        <v>632</v>
      </c>
      <c r="B65" s="14" t="s">
        <v>1413</v>
      </c>
      <c r="C65" s="15">
        <v>1721</v>
      </c>
      <c r="D65" s="15" t="s">
        <v>16</v>
      </c>
      <c r="E65" s="15" t="s">
        <v>85</v>
      </c>
      <c r="F65" s="15">
        <v>699</v>
      </c>
      <c r="G65" s="17" t="s">
        <v>1338</v>
      </c>
      <c r="H65" s="13" t="s">
        <v>727</v>
      </c>
    </row>
    <row r="66" spans="1:8">
      <c r="A66" s="13" t="s">
        <v>633</v>
      </c>
      <c r="B66" s="14" t="s">
        <v>1414</v>
      </c>
      <c r="C66" s="15">
        <v>1722</v>
      </c>
      <c r="D66" s="15" t="s">
        <v>16</v>
      </c>
      <c r="E66" s="15" t="s">
        <v>85</v>
      </c>
      <c r="F66" s="15">
        <v>820</v>
      </c>
      <c r="G66" s="17" t="s">
        <v>1339</v>
      </c>
      <c r="H66" s="13" t="s">
        <v>727</v>
      </c>
    </row>
    <row r="67" spans="1:8">
      <c r="A67" s="13" t="s">
        <v>634</v>
      </c>
      <c r="B67" s="14" t="s">
        <v>1477</v>
      </c>
      <c r="C67" s="15">
        <v>1723</v>
      </c>
      <c r="D67" s="15" t="s">
        <v>91</v>
      </c>
      <c r="E67" s="15" t="s">
        <v>53</v>
      </c>
      <c r="F67" s="15">
        <v>340</v>
      </c>
      <c r="G67" s="17" t="s">
        <v>1415</v>
      </c>
      <c r="H67" s="13" t="s">
        <v>727</v>
      </c>
    </row>
    <row r="68" spans="1:8">
      <c r="A68" s="13" t="s">
        <v>635</v>
      </c>
      <c r="B68" s="14" t="s">
        <v>1478</v>
      </c>
      <c r="C68" s="15">
        <v>1724</v>
      </c>
      <c r="D68" s="15" t="s">
        <v>91</v>
      </c>
      <c r="E68" s="15" t="s">
        <v>53</v>
      </c>
      <c r="F68" s="15">
        <v>830</v>
      </c>
      <c r="G68" s="17" t="s">
        <v>1473</v>
      </c>
      <c r="H68" s="13" t="s">
        <v>727</v>
      </c>
    </row>
    <row r="69" spans="1:8">
      <c r="A69" s="13" t="s">
        <v>636</v>
      </c>
      <c r="B69" s="14" t="s">
        <v>1479</v>
      </c>
      <c r="C69" s="15">
        <v>1725</v>
      </c>
      <c r="D69" s="15" t="s">
        <v>21</v>
      </c>
      <c r="E69" s="15" t="s">
        <v>53</v>
      </c>
      <c r="F69" s="15">
        <v>450</v>
      </c>
      <c r="G69" s="17" t="s">
        <v>1416</v>
      </c>
      <c r="H69" s="13" t="s">
        <v>727</v>
      </c>
    </row>
    <row r="70" spans="1:8">
      <c r="A70" s="13" t="s">
        <v>637</v>
      </c>
      <c r="B70" s="14" t="s">
        <v>1480</v>
      </c>
      <c r="C70" s="15">
        <v>1726</v>
      </c>
      <c r="D70" s="15" t="s">
        <v>14</v>
      </c>
      <c r="E70" s="15" t="s">
        <v>58</v>
      </c>
      <c r="F70" s="15">
        <v>399</v>
      </c>
      <c r="G70" s="17" t="s">
        <v>1417</v>
      </c>
      <c r="H70" s="13" t="s">
        <v>727</v>
      </c>
    </row>
    <row r="71" spans="1:8">
      <c r="A71" s="13" t="s">
        <v>638</v>
      </c>
      <c r="B71" s="14" t="s">
        <v>1481</v>
      </c>
      <c r="C71" s="15">
        <v>1727</v>
      </c>
      <c r="D71" s="15" t="s">
        <v>91</v>
      </c>
      <c r="E71" s="15" t="s">
        <v>60</v>
      </c>
      <c r="F71" s="15">
        <v>175</v>
      </c>
      <c r="G71" s="17" t="s">
        <v>1474</v>
      </c>
      <c r="H71" s="13" t="s">
        <v>727</v>
      </c>
    </row>
    <row r="72" spans="1:8">
      <c r="A72" s="13" t="s">
        <v>639</v>
      </c>
      <c r="B72" s="14" t="s">
        <v>1482</v>
      </c>
      <c r="C72" s="15">
        <v>1728</v>
      </c>
      <c r="D72" s="15" t="s">
        <v>12</v>
      </c>
      <c r="E72" s="15" t="s">
        <v>726</v>
      </c>
      <c r="F72" s="15">
        <v>650</v>
      </c>
      <c r="G72" s="17" t="s">
        <v>1419</v>
      </c>
      <c r="H72" s="13" t="s">
        <v>727</v>
      </c>
    </row>
    <row r="73" spans="1:8">
      <c r="A73" s="13" t="s">
        <v>640</v>
      </c>
      <c r="B73" s="14" t="s">
        <v>1483</v>
      </c>
      <c r="C73" s="15">
        <v>1729</v>
      </c>
      <c r="D73" s="15" t="s">
        <v>10</v>
      </c>
      <c r="E73" s="15" t="s">
        <v>53</v>
      </c>
      <c r="F73" s="15">
        <v>359</v>
      </c>
      <c r="G73" s="17" t="s">
        <v>1476</v>
      </c>
      <c r="H73" s="13" t="s">
        <v>727</v>
      </c>
    </row>
    <row r="74" spans="1:8">
      <c r="A74" s="13" t="s">
        <v>641</v>
      </c>
      <c r="B74" s="14" t="s">
        <v>1552</v>
      </c>
      <c r="C74" s="15">
        <v>1730</v>
      </c>
      <c r="D74" s="15" t="s">
        <v>13</v>
      </c>
      <c r="E74" s="15" t="s">
        <v>53</v>
      </c>
      <c r="F74" s="15">
        <v>480</v>
      </c>
      <c r="G74" s="17" t="s">
        <v>1484</v>
      </c>
      <c r="H74" s="13" t="s">
        <v>727</v>
      </c>
    </row>
    <row r="75" spans="1:8">
      <c r="A75" s="13" t="s">
        <v>642</v>
      </c>
      <c r="B75" s="14" t="s">
        <v>1553</v>
      </c>
      <c r="C75" s="15">
        <v>1731</v>
      </c>
      <c r="D75" s="15" t="s">
        <v>14</v>
      </c>
      <c r="E75" s="15" t="s">
        <v>53</v>
      </c>
      <c r="F75" s="15">
        <v>1100</v>
      </c>
      <c r="G75" s="17" t="s">
        <v>1485</v>
      </c>
      <c r="H75" s="13" t="s">
        <v>727</v>
      </c>
    </row>
    <row r="76" spans="1:8">
      <c r="A76" s="13" t="s">
        <v>643</v>
      </c>
      <c r="B76" s="14" t="s">
        <v>1554</v>
      </c>
      <c r="C76" s="15">
        <v>1732</v>
      </c>
      <c r="D76" s="15" t="s">
        <v>14</v>
      </c>
      <c r="E76" s="15" t="s">
        <v>53</v>
      </c>
      <c r="F76" s="15">
        <v>690</v>
      </c>
      <c r="G76" s="17" t="s">
        <v>1486</v>
      </c>
      <c r="H76" s="13" t="s">
        <v>727</v>
      </c>
    </row>
    <row r="77" spans="1:8">
      <c r="A77" s="13" t="s">
        <v>644</v>
      </c>
      <c r="B77" s="14" t="s">
        <v>1555</v>
      </c>
      <c r="C77" s="15">
        <v>1733</v>
      </c>
      <c r="D77" s="15" t="s">
        <v>23</v>
      </c>
      <c r="E77" s="15" t="s">
        <v>53</v>
      </c>
      <c r="F77" s="15">
        <v>1020</v>
      </c>
      <c r="G77" s="17" t="s">
        <v>1488</v>
      </c>
      <c r="H77" s="13" t="s">
        <v>727</v>
      </c>
    </row>
    <row r="78" spans="1:8">
      <c r="A78" s="13" t="s">
        <v>645</v>
      </c>
      <c r="B78" s="14" t="s">
        <v>1556</v>
      </c>
      <c r="C78" s="15">
        <v>1734</v>
      </c>
      <c r="D78" s="15" t="s">
        <v>13</v>
      </c>
      <c r="E78" s="15" t="s">
        <v>53</v>
      </c>
      <c r="F78" s="15">
        <v>640</v>
      </c>
      <c r="G78" s="17" t="s">
        <v>1490</v>
      </c>
      <c r="H78" s="13" t="s">
        <v>727</v>
      </c>
    </row>
    <row r="79" spans="1:8">
      <c r="A79" s="13" t="s">
        <v>646</v>
      </c>
      <c r="B79" s="14" t="s">
        <v>1557</v>
      </c>
      <c r="C79" s="15">
        <v>1735</v>
      </c>
      <c r="D79" s="15" t="s">
        <v>91</v>
      </c>
      <c r="E79" s="15" t="s">
        <v>58</v>
      </c>
      <c r="F79" s="15">
        <v>319</v>
      </c>
      <c r="G79" s="17" t="s">
        <v>1549</v>
      </c>
      <c r="H79" s="13" t="s">
        <v>727</v>
      </c>
    </row>
    <row r="80" spans="1:8">
      <c r="A80" s="13" t="s">
        <v>647</v>
      </c>
      <c r="B80" s="14" t="s">
        <v>1558</v>
      </c>
      <c r="C80" s="15">
        <v>1736</v>
      </c>
      <c r="D80" s="15" t="s">
        <v>91</v>
      </c>
      <c r="E80" s="15" t="s">
        <v>53</v>
      </c>
      <c r="F80" s="15">
        <v>399</v>
      </c>
      <c r="G80" s="17" t="s">
        <v>1491</v>
      </c>
      <c r="H80" s="13" t="s">
        <v>727</v>
      </c>
    </row>
    <row r="81" spans="1:8">
      <c r="A81" s="13" t="s">
        <v>648</v>
      </c>
      <c r="B81" s="14" t="s">
        <v>1559</v>
      </c>
      <c r="C81" s="15">
        <v>1737</v>
      </c>
      <c r="D81" s="15" t="s">
        <v>14</v>
      </c>
      <c r="E81" s="15" t="s">
        <v>60</v>
      </c>
      <c r="F81" s="15">
        <v>398</v>
      </c>
      <c r="G81" s="17" t="s">
        <v>1550</v>
      </c>
      <c r="H81" s="13" t="s">
        <v>727</v>
      </c>
    </row>
    <row r="82" spans="1:8">
      <c r="A82" s="13" t="s">
        <v>649</v>
      </c>
      <c r="B82" s="14" t="s">
        <v>1618</v>
      </c>
      <c r="C82" s="15">
        <v>1738</v>
      </c>
      <c r="D82" s="15" t="s">
        <v>91</v>
      </c>
      <c r="E82" s="15" t="s">
        <v>53</v>
      </c>
      <c r="F82" s="15">
        <v>230</v>
      </c>
      <c r="G82" s="17" t="s">
        <v>1613</v>
      </c>
      <c r="H82" s="13" t="s">
        <v>727</v>
      </c>
    </row>
    <row r="83" spans="1:8">
      <c r="A83" s="13" t="s">
        <v>650</v>
      </c>
      <c r="B83" s="14" t="s">
        <v>1619</v>
      </c>
      <c r="C83" s="15">
        <v>1739</v>
      </c>
      <c r="D83" s="15" t="s">
        <v>19</v>
      </c>
      <c r="E83" s="15" t="s">
        <v>53</v>
      </c>
      <c r="F83" s="15">
        <v>559</v>
      </c>
      <c r="G83" s="17" t="s">
        <v>1611</v>
      </c>
      <c r="H83" s="13" t="s">
        <v>727</v>
      </c>
    </row>
    <row r="84" spans="1:8">
      <c r="A84" s="13" t="s">
        <v>651</v>
      </c>
      <c r="B84" s="14" t="s">
        <v>1620</v>
      </c>
      <c r="C84" s="15">
        <v>1740</v>
      </c>
      <c r="D84" s="15" t="s">
        <v>11</v>
      </c>
      <c r="E84" s="15" t="s">
        <v>53</v>
      </c>
      <c r="F84" s="15">
        <v>500</v>
      </c>
      <c r="G84" s="17" t="s">
        <v>1615</v>
      </c>
      <c r="H84" s="13" t="s">
        <v>727</v>
      </c>
    </row>
    <row r="85" spans="1:8">
      <c r="A85" s="13" t="s">
        <v>652</v>
      </c>
      <c r="B85" s="14" t="s">
        <v>1621</v>
      </c>
      <c r="C85" s="15">
        <v>1741</v>
      </c>
      <c r="D85" s="15" t="s">
        <v>11</v>
      </c>
      <c r="E85" s="15" t="s">
        <v>53</v>
      </c>
      <c r="F85" s="15">
        <v>480</v>
      </c>
      <c r="G85" s="17" t="s">
        <v>1617</v>
      </c>
      <c r="H85" s="13" t="s">
        <v>727</v>
      </c>
    </row>
    <row r="86" spans="1:8">
      <c r="A86" s="13" t="s">
        <v>653</v>
      </c>
      <c r="B86" s="14" t="s">
        <v>1622</v>
      </c>
      <c r="C86" s="15">
        <v>1742</v>
      </c>
      <c r="D86" s="15" t="s">
        <v>19</v>
      </c>
      <c r="E86" s="15" t="s">
        <v>53</v>
      </c>
      <c r="F86" s="15">
        <v>490</v>
      </c>
      <c r="G86" s="17" t="s">
        <v>1571</v>
      </c>
      <c r="H86" s="13" t="s">
        <v>727</v>
      </c>
    </row>
    <row r="87" spans="1:8">
      <c r="A87" s="13" t="s">
        <v>654</v>
      </c>
      <c r="B87" s="14" t="s">
        <v>1634</v>
      </c>
      <c r="C87" s="15">
        <v>1743</v>
      </c>
      <c r="D87" s="15" t="s">
        <v>91</v>
      </c>
      <c r="E87" s="15" t="s">
        <v>1737</v>
      </c>
      <c r="F87" s="15">
        <v>980</v>
      </c>
      <c r="G87" s="17" t="s">
        <v>1623</v>
      </c>
      <c r="H87" s="13" t="s">
        <v>727</v>
      </c>
    </row>
    <row r="88" spans="1:8">
      <c r="A88" s="13" t="s">
        <v>655</v>
      </c>
      <c r="B88" s="14" t="s">
        <v>1641</v>
      </c>
      <c r="C88" s="15">
        <v>1744</v>
      </c>
      <c r="D88" s="15" t="s">
        <v>91</v>
      </c>
      <c r="E88" s="15" t="s">
        <v>1737</v>
      </c>
      <c r="F88" s="15">
        <v>430</v>
      </c>
      <c r="G88" s="17" t="s">
        <v>1731</v>
      </c>
      <c r="H88" s="13" t="s">
        <v>727</v>
      </c>
    </row>
    <row r="89" spans="1:8">
      <c r="A89" s="13" t="s">
        <v>656</v>
      </c>
      <c r="B89" s="14" t="s">
        <v>1738</v>
      </c>
      <c r="C89" s="15">
        <v>1745</v>
      </c>
      <c r="D89" s="15" t="s">
        <v>9</v>
      </c>
      <c r="E89" s="15" t="s">
        <v>53</v>
      </c>
      <c r="F89" s="15">
        <v>399</v>
      </c>
      <c r="G89" s="17" t="s">
        <v>1624</v>
      </c>
      <c r="H89" s="13" t="s">
        <v>727</v>
      </c>
    </row>
    <row r="90" spans="1:8">
      <c r="A90" s="13" t="s">
        <v>657</v>
      </c>
      <c r="B90" s="14" t="s">
        <v>1657</v>
      </c>
      <c r="C90" s="15">
        <v>1746</v>
      </c>
      <c r="D90" s="15" t="s">
        <v>9</v>
      </c>
      <c r="E90" s="15" t="s">
        <v>53</v>
      </c>
      <c r="F90" s="15">
        <v>870</v>
      </c>
      <c r="G90" s="17" t="s">
        <v>1625</v>
      </c>
      <c r="H90" s="13" t="s">
        <v>727</v>
      </c>
    </row>
    <row r="91" spans="1:8">
      <c r="A91" s="13" t="s">
        <v>658</v>
      </c>
      <c r="B91" s="14" t="s">
        <v>1739</v>
      </c>
      <c r="C91" s="15">
        <v>1747</v>
      </c>
      <c r="D91" s="15" t="s">
        <v>9</v>
      </c>
      <c r="E91" s="15" t="s">
        <v>59</v>
      </c>
      <c r="F91" s="15">
        <v>380</v>
      </c>
      <c r="G91" s="17" t="s">
        <v>1626</v>
      </c>
      <c r="H91" s="13" t="s">
        <v>727</v>
      </c>
    </row>
    <row r="92" spans="1:8">
      <c r="A92" s="13" t="s">
        <v>659</v>
      </c>
      <c r="B92" s="14" t="s">
        <v>1672</v>
      </c>
      <c r="C92" s="15">
        <v>1748</v>
      </c>
      <c r="D92" s="15" t="s">
        <v>91</v>
      </c>
      <c r="E92" s="15" t="s">
        <v>1737</v>
      </c>
      <c r="F92" s="15">
        <v>570</v>
      </c>
      <c r="G92" s="17" t="s">
        <v>1627</v>
      </c>
      <c r="H92" s="13" t="s">
        <v>727</v>
      </c>
    </row>
    <row r="93" spans="1:8">
      <c r="A93" s="13" t="s">
        <v>660</v>
      </c>
      <c r="B93" s="14" t="s">
        <v>1740</v>
      </c>
      <c r="C93" s="15">
        <v>1749</v>
      </c>
      <c r="D93" s="15" t="s">
        <v>91</v>
      </c>
      <c r="E93" s="15" t="s">
        <v>1737</v>
      </c>
      <c r="F93" s="15">
        <v>520</v>
      </c>
      <c r="G93" s="17" t="s">
        <v>1628</v>
      </c>
      <c r="H93" s="13" t="s">
        <v>727</v>
      </c>
    </row>
    <row r="94" spans="1:8">
      <c r="A94" s="13" t="s">
        <v>661</v>
      </c>
      <c r="B94" s="14" t="s">
        <v>1687</v>
      </c>
      <c r="C94" s="15">
        <v>1750</v>
      </c>
      <c r="D94" s="15" t="s">
        <v>91</v>
      </c>
      <c r="E94" s="15" t="s">
        <v>1737</v>
      </c>
      <c r="F94" s="15">
        <v>490</v>
      </c>
      <c r="G94" s="17" t="s">
        <v>1629</v>
      </c>
      <c r="H94" s="13" t="s">
        <v>727</v>
      </c>
    </row>
    <row r="95" spans="1:8">
      <c r="A95" s="13" t="s">
        <v>662</v>
      </c>
      <c r="B95" s="14" t="s">
        <v>1741</v>
      </c>
      <c r="C95" s="15">
        <v>1751</v>
      </c>
      <c r="D95" s="15" t="s">
        <v>91</v>
      </c>
      <c r="E95" s="15" t="s">
        <v>1257</v>
      </c>
      <c r="F95" s="15">
        <v>590</v>
      </c>
      <c r="G95" s="17" t="s">
        <v>1732</v>
      </c>
      <c r="H95" s="13" t="s">
        <v>727</v>
      </c>
    </row>
    <row r="96" spans="1:8">
      <c r="A96" s="13" t="s">
        <v>663</v>
      </c>
      <c r="B96" s="14" t="s">
        <v>1742</v>
      </c>
      <c r="C96" s="15">
        <v>1752</v>
      </c>
      <c r="D96" s="15" t="s">
        <v>10</v>
      </c>
      <c r="E96" s="15" t="s">
        <v>55</v>
      </c>
      <c r="F96" s="15">
        <v>590</v>
      </c>
      <c r="G96" s="17" t="s">
        <v>1733</v>
      </c>
      <c r="H96" s="13" t="s">
        <v>727</v>
      </c>
    </row>
    <row r="97" spans="1:8">
      <c r="A97" s="13" t="s">
        <v>664</v>
      </c>
      <c r="B97" s="14" t="s">
        <v>1743</v>
      </c>
      <c r="C97" s="15">
        <v>1753</v>
      </c>
      <c r="D97" s="15" t="s">
        <v>10</v>
      </c>
      <c r="E97" s="15" t="s">
        <v>55</v>
      </c>
      <c r="F97" s="15">
        <v>399</v>
      </c>
      <c r="G97" s="17" t="s">
        <v>1735</v>
      </c>
      <c r="H97" s="13" t="s">
        <v>727</v>
      </c>
    </row>
    <row r="98" spans="1:8">
      <c r="A98" s="13" t="s">
        <v>665</v>
      </c>
      <c r="B98" s="14" t="s">
        <v>1744</v>
      </c>
      <c r="C98" s="15">
        <v>1754</v>
      </c>
      <c r="D98" s="15" t="s">
        <v>47</v>
      </c>
      <c r="E98" s="15" t="s">
        <v>55</v>
      </c>
      <c r="F98" s="15">
        <v>890</v>
      </c>
      <c r="G98" s="17" t="s">
        <v>1630</v>
      </c>
      <c r="H98" s="13" t="s">
        <v>727</v>
      </c>
    </row>
    <row r="99" spans="1:8">
      <c r="A99" s="13" t="s">
        <v>666</v>
      </c>
      <c r="B99" s="14" t="s">
        <v>1745</v>
      </c>
      <c r="C99" s="15">
        <v>1755</v>
      </c>
      <c r="D99" s="15" t="s">
        <v>15</v>
      </c>
      <c r="E99" s="15" t="s">
        <v>55</v>
      </c>
      <c r="F99" s="15">
        <v>320</v>
      </c>
      <c r="G99" s="17" t="s">
        <v>1631</v>
      </c>
      <c r="H99" s="13" t="s">
        <v>727</v>
      </c>
    </row>
    <row r="100" spans="1:8">
      <c r="A100" s="13" t="s">
        <v>667</v>
      </c>
      <c r="B100" s="14" t="s">
        <v>1841</v>
      </c>
      <c r="C100" s="15">
        <v>1756</v>
      </c>
      <c r="D100" s="15" t="s">
        <v>9</v>
      </c>
      <c r="E100" s="15" t="s">
        <v>53</v>
      </c>
      <c r="F100" s="15">
        <v>974</v>
      </c>
      <c r="G100" s="17" t="s">
        <v>1750</v>
      </c>
      <c r="H100" s="13" t="s">
        <v>727</v>
      </c>
    </row>
    <row r="101" spans="1:8">
      <c r="A101" s="13" t="s">
        <v>668</v>
      </c>
      <c r="B101" s="14" t="s">
        <v>1842</v>
      </c>
      <c r="C101" s="15">
        <v>1757</v>
      </c>
      <c r="D101" s="15" t="s">
        <v>10</v>
      </c>
      <c r="E101" s="15" t="s">
        <v>57</v>
      </c>
      <c r="F101" s="15">
        <v>352</v>
      </c>
      <c r="G101" s="17" t="s">
        <v>1751</v>
      </c>
      <c r="H101" s="13" t="s">
        <v>727</v>
      </c>
    </row>
    <row r="102" spans="1:8">
      <c r="A102" s="13" t="s">
        <v>669</v>
      </c>
      <c r="B102" s="14" t="s">
        <v>1843</v>
      </c>
      <c r="C102" s="15">
        <v>1758</v>
      </c>
      <c r="D102" s="15" t="s">
        <v>10</v>
      </c>
      <c r="E102" s="15" t="s">
        <v>58</v>
      </c>
      <c r="F102" s="15">
        <v>235</v>
      </c>
      <c r="G102" s="17" t="s">
        <v>1752</v>
      </c>
      <c r="H102" s="13" t="s">
        <v>727</v>
      </c>
    </row>
    <row r="103" spans="1:8">
      <c r="A103" s="13" t="s">
        <v>670</v>
      </c>
      <c r="B103" s="14" t="s">
        <v>1782</v>
      </c>
      <c r="C103" s="15">
        <v>1759</v>
      </c>
      <c r="D103" s="15" t="s">
        <v>22</v>
      </c>
      <c r="E103" s="15" t="s">
        <v>1851</v>
      </c>
      <c r="F103" s="15">
        <v>1040</v>
      </c>
      <c r="G103" s="17" t="s">
        <v>1753</v>
      </c>
      <c r="H103" s="13" t="s">
        <v>727</v>
      </c>
    </row>
    <row r="104" spans="1:8">
      <c r="A104" s="13" t="s">
        <v>671</v>
      </c>
      <c r="B104" s="14" t="s">
        <v>1844</v>
      </c>
      <c r="C104" s="15">
        <v>1760</v>
      </c>
      <c r="D104" s="15" t="s">
        <v>12</v>
      </c>
      <c r="E104" s="15" t="s">
        <v>60</v>
      </c>
      <c r="F104" s="15">
        <v>610</v>
      </c>
      <c r="G104" s="17" t="s">
        <v>1754</v>
      </c>
      <c r="H104" s="13" t="s">
        <v>727</v>
      </c>
    </row>
    <row r="105" spans="1:8">
      <c r="A105" s="13" t="s">
        <v>672</v>
      </c>
      <c r="B105" s="14" t="s">
        <v>1845</v>
      </c>
      <c r="C105" s="15">
        <v>1761</v>
      </c>
      <c r="D105" s="15" t="s">
        <v>10</v>
      </c>
      <c r="E105" s="15" t="s">
        <v>55</v>
      </c>
      <c r="F105" s="15">
        <v>409</v>
      </c>
      <c r="G105" s="17" t="s">
        <v>1755</v>
      </c>
      <c r="H105" s="13" t="s">
        <v>727</v>
      </c>
    </row>
    <row r="106" spans="1:8">
      <c r="A106" s="13" t="s">
        <v>673</v>
      </c>
      <c r="B106" s="14" t="s">
        <v>1846</v>
      </c>
      <c r="C106" s="15">
        <v>1762</v>
      </c>
      <c r="D106" s="15" t="s">
        <v>10</v>
      </c>
      <c r="E106" s="15" t="s">
        <v>55</v>
      </c>
      <c r="F106" s="15">
        <v>850</v>
      </c>
      <c r="G106" s="17" t="s">
        <v>1756</v>
      </c>
      <c r="H106" s="13" t="s">
        <v>727</v>
      </c>
    </row>
    <row r="107" spans="1:8">
      <c r="A107" s="13" t="s">
        <v>674</v>
      </c>
      <c r="B107" s="14" t="s">
        <v>1847</v>
      </c>
      <c r="C107" s="15">
        <v>1763</v>
      </c>
      <c r="D107" s="15" t="s">
        <v>10</v>
      </c>
      <c r="E107" s="15" t="s">
        <v>55</v>
      </c>
      <c r="F107" s="15">
        <v>750</v>
      </c>
      <c r="G107" s="17" t="s">
        <v>1757</v>
      </c>
      <c r="H107" s="13" t="s">
        <v>727</v>
      </c>
    </row>
    <row r="108" spans="1:8">
      <c r="A108" s="13" t="s">
        <v>675</v>
      </c>
      <c r="B108" s="14" t="s">
        <v>1848</v>
      </c>
      <c r="C108" s="15">
        <v>1764</v>
      </c>
      <c r="D108" s="15" t="s">
        <v>10</v>
      </c>
      <c r="E108" s="15" t="s">
        <v>55</v>
      </c>
      <c r="F108" s="15">
        <v>990</v>
      </c>
      <c r="G108" s="17" t="s">
        <v>1839</v>
      </c>
      <c r="H108" s="13" t="s">
        <v>727</v>
      </c>
    </row>
    <row r="109" spans="1:8">
      <c r="A109" s="13" t="s">
        <v>676</v>
      </c>
      <c r="B109" s="14" t="s">
        <v>1849</v>
      </c>
      <c r="C109" s="15">
        <v>1765</v>
      </c>
      <c r="D109" s="15" t="s">
        <v>37</v>
      </c>
      <c r="E109" s="15" t="s">
        <v>85</v>
      </c>
      <c r="F109" s="15">
        <v>1100</v>
      </c>
      <c r="G109" s="17" t="s">
        <v>1758</v>
      </c>
      <c r="H109" s="13" t="s">
        <v>727</v>
      </c>
    </row>
    <row r="110" spans="1:8">
      <c r="A110" s="13" t="s">
        <v>677</v>
      </c>
      <c r="B110" s="14" t="s">
        <v>1850</v>
      </c>
      <c r="C110" s="15">
        <v>1766</v>
      </c>
      <c r="D110" s="15" t="s">
        <v>37</v>
      </c>
      <c r="E110" s="15" t="s">
        <v>85</v>
      </c>
      <c r="F110" s="15">
        <v>1100</v>
      </c>
      <c r="G110" s="17" t="s">
        <v>1840</v>
      </c>
      <c r="H110" s="13" t="s">
        <v>727</v>
      </c>
    </row>
    <row r="111" spans="1:8">
      <c r="A111" s="13" t="s">
        <v>678</v>
      </c>
      <c r="B111" s="14" t="s">
        <v>1911</v>
      </c>
      <c r="C111" s="15">
        <v>1767</v>
      </c>
      <c r="D111" s="15" t="s">
        <v>19</v>
      </c>
      <c r="E111" s="15" t="s">
        <v>53</v>
      </c>
      <c r="F111" s="15">
        <v>740</v>
      </c>
      <c r="G111" s="17" t="s">
        <v>1854</v>
      </c>
      <c r="H111" s="13" t="s">
        <v>727</v>
      </c>
    </row>
    <row r="112" spans="1:8">
      <c r="A112" s="13" t="s">
        <v>679</v>
      </c>
      <c r="B112" s="14" t="s">
        <v>1912</v>
      </c>
      <c r="C112" s="15">
        <v>1768</v>
      </c>
      <c r="D112" s="15" t="s">
        <v>19</v>
      </c>
      <c r="E112" s="15" t="s">
        <v>53</v>
      </c>
      <c r="F112" s="15">
        <v>700</v>
      </c>
      <c r="G112" s="17" t="s">
        <v>1909</v>
      </c>
      <c r="H112" s="13" t="s">
        <v>727</v>
      </c>
    </row>
    <row r="113" spans="1:8">
      <c r="A113" s="13" t="s">
        <v>680</v>
      </c>
      <c r="B113" s="14" t="s">
        <v>1913</v>
      </c>
      <c r="C113" s="15">
        <v>1769</v>
      </c>
      <c r="D113" s="15" t="s">
        <v>10</v>
      </c>
      <c r="E113" s="15" t="s">
        <v>56</v>
      </c>
      <c r="F113" s="15">
        <v>1053</v>
      </c>
      <c r="G113" s="17" t="s">
        <v>1855</v>
      </c>
      <c r="H113" s="13" t="s">
        <v>727</v>
      </c>
    </row>
    <row r="114" spans="1:8">
      <c r="A114" s="13" t="s">
        <v>681</v>
      </c>
      <c r="B114" s="14" t="s">
        <v>1914</v>
      </c>
      <c r="C114" s="15">
        <v>1770</v>
      </c>
      <c r="D114" s="15" t="s">
        <v>10</v>
      </c>
      <c r="E114" s="15" t="s">
        <v>56</v>
      </c>
      <c r="F114" s="15">
        <v>1050</v>
      </c>
      <c r="G114" s="17" t="s">
        <v>1856</v>
      </c>
      <c r="H114" s="13" t="s">
        <v>727</v>
      </c>
    </row>
    <row r="115" spans="1:8">
      <c r="A115" s="13" t="s">
        <v>682</v>
      </c>
      <c r="B115" s="14" t="s">
        <v>1888</v>
      </c>
      <c r="C115" s="15">
        <v>1771</v>
      </c>
      <c r="D115" s="15" t="s">
        <v>10</v>
      </c>
      <c r="E115" s="15" t="s">
        <v>53</v>
      </c>
      <c r="F115" s="15">
        <v>490</v>
      </c>
      <c r="G115" s="17" t="s">
        <v>1857</v>
      </c>
      <c r="H115" s="13" t="s">
        <v>727</v>
      </c>
    </row>
    <row r="116" spans="1:8">
      <c r="A116" s="13" t="s">
        <v>683</v>
      </c>
      <c r="B116" s="14" t="s">
        <v>1915</v>
      </c>
      <c r="C116" s="15">
        <v>1772</v>
      </c>
      <c r="D116" s="15" t="s">
        <v>10</v>
      </c>
      <c r="E116" s="15" t="s">
        <v>57</v>
      </c>
      <c r="F116" s="15">
        <v>450</v>
      </c>
      <c r="G116" s="17" t="s">
        <v>1910</v>
      </c>
      <c r="H116" s="13" t="s">
        <v>727</v>
      </c>
    </row>
    <row r="117" spans="1:8">
      <c r="A117" s="13" t="s">
        <v>684</v>
      </c>
      <c r="B117" s="14" t="s">
        <v>1916</v>
      </c>
      <c r="C117" s="15">
        <v>1773</v>
      </c>
      <c r="D117" s="15" t="s">
        <v>9</v>
      </c>
      <c r="E117" s="15" t="s">
        <v>1257</v>
      </c>
      <c r="F117" s="15">
        <v>800</v>
      </c>
      <c r="G117" s="17" t="s">
        <v>1858</v>
      </c>
      <c r="H117" s="13" t="s">
        <v>727</v>
      </c>
    </row>
    <row r="118" spans="1:8">
      <c r="A118" s="13" t="s">
        <v>685</v>
      </c>
      <c r="B118" s="14" t="s">
        <v>1922</v>
      </c>
      <c r="C118" s="15">
        <v>1774</v>
      </c>
      <c r="D118" s="15" t="s">
        <v>11</v>
      </c>
      <c r="E118" s="15" t="s">
        <v>57</v>
      </c>
      <c r="F118" s="15">
        <v>315</v>
      </c>
      <c r="G118" s="17" t="s">
        <v>2012</v>
      </c>
      <c r="H118" s="13" t="s">
        <v>727</v>
      </c>
    </row>
    <row r="119" spans="1:8">
      <c r="A119" s="13" t="s">
        <v>686</v>
      </c>
      <c r="B119" s="14" t="s">
        <v>1931</v>
      </c>
      <c r="C119" s="15">
        <v>1775</v>
      </c>
      <c r="D119" s="15" t="s">
        <v>11</v>
      </c>
      <c r="E119" s="15" t="s">
        <v>53</v>
      </c>
      <c r="F119" s="15">
        <v>890</v>
      </c>
      <c r="G119" s="17" t="s">
        <v>1917</v>
      </c>
      <c r="H119" s="13" t="s">
        <v>727</v>
      </c>
    </row>
    <row r="120" spans="1:8">
      <c r="A120" s="13" t="s">
        <v>687</v>
      </c>
      <c r="B120" s="14" t="s">
        <v>1939</v>
      </c>
      <c r="C120" s="15">
        <v>1776</v>
      </c>
      <c r="D120" s="15" t="s">
        <v>11</v>
      </c>
      <c r="E120" s="15" t="s">
        <v>53</v>
      </c>
      <c r="F120" s="15">
        <v>510</v>
      </c>
      <c r="G120" s="17" t="s">
        <v>2013</v>
      </c>
      <c r="H120" s="13" t="s">
        <v>727</v>
      </c>
    </row>
    <row r="121" spans="1:8">
      <c r="A121" s="13" t="s">
        <v>688</v>
      </c>
      <c r="B121" s="14" t="s">
        <v>1948</v>
      </c>
      <c r="C121" s="15">
        <v>1777</v>
      </c>
      <c r="D121" s="15" t="s">
        <v>9</v>
      </c>
      <c r="E121" s="15" t="s">
        <v>53</v>
      </c>
      <c r="F121" s="15">
        <v>220</v>
      </c>
      <c r="G121" s="17" t="s">
        <v>2014</v>
      </c>
      <c r="H121" s="13" t="s">
        <v>727</v>
      </c>
    </row>
    <row r="122" spans="1:8">
      <c r="A122" s="13" t="s">
        <v>689</v>
      </c>
      <c r="B122" s="14" t="s">
        <v>1955</v>
      </c>
      <c r="C122" s="15">
        <v>1778</v>
      </c>
      <c r="D122" s="15" t="s">
        <v>13</v>
      </c>
      <c r="E122" s="15" t="s">
        <v>53</v>
      </c>
      <c r="F122" s="15">
        <v>269</v>
      </c>
      <c r="G122" s="17" t="s">
        <v>2016</v>
      </c>
      <c r="H122" s="13" t="s">
        <v>727</v>
      </c>
    </row>
    <row r="123" spans="1:8">
      <c r="A123" s="13" t="s">
        <v>690</v>
      </c>
      <c r="B123" s="14" t="s">
        <v>1963</v>
      </c>
      <c r="C123" s="15">
        <v>1779</v>
      </c>
      <c r="D123" s="15" t="s">
        <v>91</v>
      </c>
      <c r="E123" s="15" t="s">
        <v>725</v>
      </c>
      <c r="F123" s="15">
        <v>1090</v>
      </c>
      <c r="G123" s="17" t="s">
        <v>1918</v>
      </c>
      <c r="H123" s="13" t="s">
        <v>727</v>
      </c>
    </row>
    <row r="124" spans="1:8">
      <c r="A124" s="13" t="s">
        <v>691</v>
      </c>
      <c r="B124" s="14" t="s">
        <v>1971</v>
      </c>
      <c r="C124" s="15">
        <v>1780</v>
      </c>
      <c r="D124" s="15" t="s">
        <v>91</v>
      </c>
      <c r="E124" s="15" t="s">
        <v>725</v>
      </c>
      <c r="F124" s="15">
        <v>1090</v>
      </c>
      <c r="G124" s="17" t="s">
        <v>1919</v>
      </c>
      <c r="H124" s="13" t="s">
        <v>727</v>
      </c>
    </row>
    <row r="125" spans="1:8">
      <c r="A125" s="13" t="s">
        <v>692</v>
      </c>
      <c r="B125" s="14" t="s">
        <v>1979</v>
      </c>
      <c r="C125" s="15">
        <v>1781</v>
      </c>
      <c r="D125" s="15" t="s">
        <v>18</v>
      </c>
      <c r="E125" s="15" t="s">
        <v>59</v>
      </c>
      <c r="F125" s="15">
        <v>1150</v>
      </c>
      <c r="G125" s="17" t="s">
        <v>1920</v>
      </c>
      <c r="H125" s="13" t="s">
        <v>727</v>
      </c>
    </row>
    <row r="126" spans="1:8">
      <c r="A126" s="13" t="s">
        <v>693</v>
      </c>
      <c r="B126" s="14" t="s">
        <v>1992</v>
      </c>
      <c r="C126" s="15">
        <v>1782</v>
      </c>
      <c r="D126" s="15" t="s">
        <v>16</v>
      </c>
      <c r="E126" s="15" t="s">
        <v>2018</v>
      </c>
      <c r="F126" s="15">
        <v>450</v>
      </c>
      <c r="G126" s="17" t="s">
        <v>2017</v>
      </c>
      <c r="H126" s="13" t="s">
        <v>727</v>
      </c>
    </row>
    <row r="127" spans="1:8">
      <c r="A127" s="13" t="s">
        <v>694</v>
      </c>
      <c r="B127" s="14" t="s">
        <v>1995</v>
      </c>
      <c r="C127" s="15">
        <v>1783</v>
      </c>
      <c r="D127" s="15" t="s">
        <v>11</v>
      </c>
      <c r="E127" s="15" t="s">
        <v>53</v>
      </c>
      <c r="F127" s="15">
        <v>710</v>
      </c>
      <c r="G127" s="17" t="s">
        <v>1921</v>
      </c>
      <c r="H127" s="13" t="s">
        <v>727</v>
      </c>
    </row>
    <row r="128" spans="1:8">
      <c r="A128" s="13" t="s">
        <v>695</v>
      </c>
      <c r="B128" s="14" t="s">
        <v>2003</v>
      </c>
      <c r="C128" s="15">
        <v>1784</v>
      </c>
      <c r="D128" s="15" t="s">
        <v>9</v>
      </c>
      <c r="E128" s="15" t="s">
        <v>53</v>
      </c>
      <c r="F128" s="15">
        <v>300</v>
      </c>
      <c r="G128" s="17" t="s">
        <v>2020</v>
      </c>
      <c r="H128" s="13" t="s">
        <v>727</v>
      </c>
    </row>
    <row r="129" spans="1:8">
      <c r="A129" s="13" t="s">
        <v>696</v>
      </c>
      <c r="B129" s="14" t="s">
        <v>2205</v>
      </c>
      <c r="C129" s="15">
        <v>1785</v>
      </c>
      <c r="D129" s="15" t="s">
        <v>9</v>
      </c>
      <c r="E129" s="15" t="s">
        <v>53</v>
      </c>
      <c r="F129" s="15">
        <v>305</v>
      </c>
      <c r="G129" s="17" t="s">
        <v>2104</v>
      </c>
      <c r="H129" s="13" t="s">
        <v>727</v>
      </c>
    </row>
    <row r="130" spans="1:8">
      <c r="A130" s="13" t="s">
        <v>697</v>
      </c>
      <c r="B130" s="14" t="s">
        <v>2206</v>
      </c>
      <c r="C130" s="15">
        <v>1786</v>
      </c>
      <c r="D130" s="15" t="s">
        <v>9</v>
      </c>
      <c r="E130" s="15" t="s">
        <v>53</v>
      </c>
      <c r="F130" s="15">
        <v>259</v>
      </c>
      <c r="G130" s="17" t="s">
        <v>2105</v>
      </c>
      <c r="H130" s="13" t="s">
        <v>727</v>
      </c>
    </row>
    <row r="131" spans="1:8">
      <c r="A131" s="13" t="s">
        <v>698</v>
      </c>
      <c r="B131" s="14" t="s">
        <v>2207</v>
      </c>
      <c r="C131" s="15">
        <v>1787</v>
      </c>
      <c r="D131" s="15" t="s">
        <v>9</v>
      </c>
      <c r="E131" s="15" t="s">
        <v>53</v>
      </c>
      <c r="F131" s="15">
        <v>202</v>
      </c>
      <c r="G131" s="17" t="s">
        <v>2021</v>
      </c>
      <c r="H131" s="13" t="s">
        <v>727</v>
      </c>
    </row>
    <row r="132" spans="1:8">
      <c r="A132" s="13" t="s">
        <v>699</v>
      </c>
      <c r="B132" s="14" t="s">
        <v>2208</v>
      </c>
      <c r="C132" s="15">
        <v>1788</v>
      </c>
      <c r="D132" s="15" t="s">
        <v>10</v>
      </c>
      <c r="E132" s="15" t="s">
        <v>53</v>
      </c>
      <c r="F132" s="15">
        <v>509</v>
      </c>
      <c r="G132" s="17" t="s">
        <v>2022</v>
      </c>
      <c r="H132" s="13" t="s">
        <v>727</v>
      </c>
    </row>
    <row r="133" spans="1:8">
      <c r="A133" s="13" t="s">
        <v>700</v>
      </c>
      <c r="B133" s="14" t="s">
        <v>2209</v>
      </c>
      <c r="C133" s="15">
        <v>1789</v>
      </c>
      <c r="D133" s="15" t="s">
        <v>10</v>
      </c>
      <c r="E133" s="15" t="s">
        <v>53</v>
      </c>
      <c r="F133" s="15">
        <v>408</v>
      </c>
      <c r="G133" s="17" t="s">
        <v>2102</v>
      </c>
      <c r="H133" s="13" t="s">
        <v>727</v>
      </c>
    </row>
    <row r="134" spans="1:8">
      <c r="A134" s="13" t="s">
        <v>701</v>
      </c>
      <c r="B134" s="14" t="s">
        <v>2210</v>
      </c>
      <c r="C134" s="15">
        <v>1790</v>
      </c>
      <c r="D134" s="15" t="s">
        <v>10</v>
      </c>
      <c r="E134" s="15" t="s">
        <v>53</v>
      </c>
      <c r="F134" s="15">
        <v>279</v>
      </c>
      <c r="G134" s="17" t="s">
        <v>2106</v>
      </c>
      <c r="H134" s="13" t="s">
        <v>727</v>
      </c>
    </row>
    <row r="135" spans="1:8">
      <c r="A135" s="13" t="s">
        <v>702</v>
      </c>
      <c r="B135" s="14" t="s">
        <v>2211</v>
      </c>
      <c r="C135" s="15">
        <v>1791</v>
      </c>
      <c r="D135" s="15" t="s">
        <v>22</v>
      </c>
      <c r="E135" s="15" t="s">
        <v>53</v>
      </c>
      <c r="F135" s="15">
        <v>360</v>
      </c>
      <c r="G135" s="17" t="s">
        <v>2107</v>
      </c>
      <c r="H135" s="13" t="s">
        <v>727</v>
      </c>
    </row>
    <row r="136" spans="1:8">
      <c r="A136" s="13" t="s">
        <v>703</v>
      </c>
      <c r="B136" s="14" t="s">
        <v>2212</v>
      </c>
      <c r="C136" s="15">
        <v>1792</v>
      </c>
      <c r="D136" s="15" t="s">
        <v>14</v>
      </c>
      <c r="E136" s="15" t="s">
        <v>60</v>
      </c>
      <c r="F136" s="15">
        <v>500</v>
      </c>
      <c r="G136" s="17" t="s">
        <v>2023</v>
      </c>
      <c r="H136" s="13" t="s">
        <v>727</v>
      </c>
    </row>
    <row r="137" spans="1:8">
      <c r="A137" s="13" t="s">
        <v>704</v>
      </c>
      <c r="B137" s="14" t="s">
        <v>2213</v>
      </c>
      <c r="C137" s="15">
        <v>1793</v>
      </c>
      <c r="D137" s="15" t="s">
        <v>11</v>
      </c>
      <c r="E137" s="15" t="s">
        <v>59</v>
      </c>
      <c r="F137" s="15">
        <v>490</v>
      </c>
      <c r="G137" s="17" t="s">
        <v>2111</v>
      </c>
      <c r="H137" s="13" t="s">
        <v>727</v>
      </c>
    </row>
    <row r="138" spans="1:8">
      <c r="A138" s="13" t="s">
        <v>705</v>
      </c>
      <c r="B138" s="14" t="s">
        <v>2214</v>
      </c>
      <c r="C138" s="15">
        <v>1794</v>
      </c>
      <c r="D138" s="15" t="s">
        <v>11</v>
      </c>
      <c r="E138" s="15" t="s">
        <v>59</v>
      </c>
      <c r="F138" s="15">
        <v>505</v>
      </c>
      <c r="G138" s="17" t="s">
        <v>2113</v>
      </c>
      <c r="H138" s="13" t="s">
        <v>727</v>
      </c>
    </row>
    <row r="139" spans="1:8">
      <c r="A139" s="13" t="s">
        <v>706</v>
      </c>
      <c r="B139" s="14" t="s">
        <v>2215</v>
      </c>
      <c r="C139" s="15">
        <v>1795</v>
      </c>
      <c r="D139" s="15" t="s">
        <v>11</v>
      </c>
      <c r="E139" s="15" t="s">
        <v>59</v>
      </c>
      <c r="F139" s="15">
        <v>310</v>
      </c>
      <c r="G139" s="17" t="s">
        <v>2024</v>
      </c>
      <c r="H139" s="13" t="s">
        <v>727</v>
      </c>
    </row>
    <row r="140" spans="1:8">
      <c r="A140" s="13" t="s">
        <v>707</v>
      </c>
      <c r="B140" s="14" t="s">
        <v>2127</v>
      </c>
      <c r="C140" s="15">
        <v>1796</v>
      </c>
      <c r="D140" s="15" t="s">
        <v>9</v>
      </c>
      <c r="E140" s="15" t="s">
        <v>53</v>
      </c>
      <c r="F140" s="15">
        <v>169</v>
      </c>
      <c r="G140" s="17" t="s">
        <v>2216</v>
      </c>
      <c r="H140" s="13" t="s">
        <v>727</v>
      </c>
    </row>
    <row r="141" spans="1:8">
      <c r="A141" s="13" t="s">
        <v>708</v>
      </c>
      <c r="B141" s="14" t="s">
        <v>2135</v>
      </c>
      <c r="C141" s="15">
        <v>1797</v>
      </c>
      <c r="D141" s="15" t="s">
        <v>9</v>
      </c>
      <c r="E141" s="15" t="s">
        <v>53</v>
      </c>
      <c r="F141" s="15">
        <v>178</v>
      </c>
      <c r="G141" s="17" t="s">
        <v>2116</v>
      </c>
      <c r="H141" s="13" t="s">
        <v>727</v>
      </c>
    </row>
    <row r="142" spans="1:8">
      <c r="A142" s="13" t="s">
        <v>709</v>
      </c>
      <c r="B142" s="14" t="s">
        <v>2143</v>
      </c>
      <c r="C142" s="15">
        <v>1798</v>
      </c>
      <c r="D142" s="15" t="s">
        <v>91</v>
      </c>
      <c r="E142" s="15" t="s">
        <v>2218</v>
      </c>
      <c r="F142" s="15">
        <v>170</v>
      </c>
      <c r="G142" s="17" t="s">
        <v>2118</v>
      </c>
      <c r="H142" s="13" t="s">
        <v>727</v>
      </c>
    </row>
    <row r="143" spans="1:8">
      <c r="A143" s="13" t="s">
        <v>710</v>
      </c>
      <c r="B143" s="14" t="s">
        <v>2150</v>
      </c>
      <c r="C143" s="15">
        <v>1799</v>
      </c>
      <c r="D143" s="15" t="s">
        <v>15</v>
      </c>
      <c r="E143" s="15" t="s">
        <v>53</v>
      </c>
      <c r="F143" s="15">
        <v>890</v>
      </c>
      <c r="G143" s="17" t="s">
        <v>2119</v>
      </c>
      <c r="H143" s="13" t="s">
        <v>727</v>
      </c>
    </row>
    <row r="144" spans="1:8">
      <c r="A144" s="13" t="s">
        <v>711</v>
      </c>
      <c r="B144" s="14" t="s">
        <v>2158</v>
      </c>
      <c r="C144" s="15">
        <v>1800</v>
      </c>
      <c r="D144" s="15" t="s">
        <v>9</v>
      </c>
      <c r="E144" s="15" t="s">
        <v>53</v>
      </c>
      <c r="F144" s="15">
        <v>820</v>
      </c>
      <c r="G144" s="17" t="s">
        <v>2120</v>
      </c>
      <c r="H144" s="13" t="s">
        <v>727</v>
      </c>
    </row>
    <row r="145" spans="1:8">
      <c r="A145" s="13" t="s">
        <v>712</v>
      </c>
      <c r="B145" s="14" t="s">
        <v>2166</v>
      </c>
      <c r="C145" s="15">
        <v>1801</v>
      </c>
      <c r="D145" s="15" t="s">
        <v>12</v>
      </c>
      <c r="E145" s="15" t="s">
        <v>53</v>
      </c>
      <c r="F145" s="15">
        <v>899</v>
      </c>
      <c r="G145" s="17" t="s">
        <v>2121</v>
      </c>
      <c r="H145" s="13" t="s">
        <v>727</v>
      </c>
    </row>
    <row r="146" spans="1:8">
      <c r="A146" s="13" t="s">
        <v>713</v>
      </c>
      <c r="B146" s="14" t="s">
        <v>2174</v>
      </c>
      <c r="C146" s="15">
        <v>1802</v>
      </c>
      <c r="D146" s="15" t="s">
        <v>91</v>
      </c>
      <c r="E146" s="15" t="s">
        <v>53</v>
      </c>
      <c r="F146" s="15">
        <v>499</v>
      </c>
      <c r="G146" s="17" t="s">
        <v>2122</v>
      </c>
      <c r="H146" s="13" t="s">
        <v>727</v>
      </c>
    </row>
    <row r="147" spans="1:8">
      <c r="A147" s="13" t="s">
        <v>714</v>
      </c>
      <c r="B147" s="14" t="s">
        <v>2182</v>
      </c>
      <c r="C147" s="15">
        <v>1803</v>
      </c>
      <c r="D147" s="15" t="s">
        <v>13</v>
      </c>
      <c r="E147" s="15" t="s">
        <v>53</v>
      </c>
      <c r="F147" s="15">
        <v>480</v>
      </c>
      <c r="G147" s="17" t="s">
        <v>2123</v>
      </c>
      <c r="H147" s="13" t="s">
        <v>727</v>
      </c>
    </row>
    <row r="148" spans="1:8">
      <c r="A148" s="13" t="s">
        <v>715</v>
      </c>
      <c r="B148" s="14" t="s">
        <v>2190</v>
      </c>
      <c r="C148" s="15">
        <v>1804</v>
      </c>
      <c r="D148" s="15" t="s">
        <v>17</v>
      </c>
      <c r="E148" s="15" t="s">
        <v>53</v>
      </c>
      <c r="F148" s="15">
        <v>620</v>
      </c>
      <c r="G148" s="17" t="s">
        <v>2125</v>
      </c>
      <c r="H148" s="13" t="s">
        <v>727</v>
      </c>
    </row>
    <row r="149" spans="1:8">
      <c r="A149" s="13" t="s">
        <v>716</v>
      </c>
      <c r="B149" s="14" t="s">
        <v>2197</v>
      </c>
      <c r="C149" s="15">
        <v>1805</v>
      </c>
      <c r="D149" s="15" t="s">
        <v>91</v>
      </c>
      <c r="E149" s="15" t="s">
        <v>53</v>
      </c>
      <c r="F149" s="15">
        <v>195</v>
      </c>
      <c r="G149" s="17" t="s">
        <v>2220</v>
      </c>
      <c r="H149" s="13" t="s">
        <v>727</v>
      </c>
    </row>
    <row r="150" spans="1:8">
      <c r="A150" s="13" t="s">
        <v>2275</v>
      </c>
      <c r="B150" s="14" t="s">
        <v>2227</v>
      </c>
      <c r="C150" s="15">
        <v>1806</v>
      </c>
      <c r="D150" s="15" t="s">
        <v>9</v>
      </c>
      <c r="E150" s="15" t="s">
        <v>53</v>
      </c>
      <c r="F150" s="15">
        <v>365</v>
      </c>
      <c r="G150" s="17" t="s">
        <v>2273</v>
      </c>
      <c r="H150" s="13" t="s">
        <v>727</v>
      </c>
    </row>
    <row r="151" spans="1:8">
      <c r="A151" s="13" t="s">
        <v>2276</v>
      </c>
      <c r="B151" s="14" t="s">
        <v>2235</v>
      </c>
      <c r="C151" s="15">
        <v>1807</v>
      </c>
      <c r="D151" s="15" t="s">
        <v>9</v>
      </c>
      <c r="E151" s="15" t="s">
        <v>53</v>
      </c>
      <c r="F151" s="15">
        <v>405</v>
      </c>
      <c r="G151" s="17" t="s">
        <v>2221</v>
      </c>
      <c r="H151" s="13" t="s">
        <v>727</v>
      </c>
    </row>
    <row r="152" spans="1:8">
      <c r="A152" s="13" t="s">
        <v>2277</v>
      </c>
      <c r="B152" s="14" t="s">
        <v>2243</v>
      </c>
      <c r="C152" s="15">
        <v>1808</v>
      </c>
      <c r="D152" s="15" t="s">
        <v>91</v>
      </c>
      <c r="E152" s="15" t="s">
        <v>60</v>
      </c>
      <c r="F152" s="15">
        <v>394</v>
      </c>
      <c r="G152" s="17" t="s">
        <v>2222</v>
      </c>
      <c r="H152" s="13" t="s">
        <v>727</v>
      </c>
    </row>
    <row r="153" spans="1:8">
      <c r="A153" s="13" t="s">
        <v>2278</v>
      </c>
      <c r="B153" s="14" t="s">
        <v>2251</v>
      </c>
      <c r="C153" s="15">
        <v>1809</v>
      </c>
      <c r="D153" s="15" t="s">
        <v>10</v>
      </c>
      <c r="E153" s="15" t="s">
        <v>894</v>
      </c>
      <c r="F153" s="15">
        <v>1050</v>
      </c>
      <c r="G153" s="17" t="s">
        <v>2223</v>
      </c>
      <c r="H153" s="13" t="s">
        <v>727</v>
      </c>
    </row>
    <row r="154" spans="1:8">
      <c r="A154" s="13" t="s">
        <v>2279</v>
      </c>
      <c r="B154" s="14" t="s">
        <v>2258</v>
      </c>
      <c r="C154" s="15">
        <v>1810</v>
      </c>
      <c r="D154" s="15" t="s">
        <v>91</v>
      </c>
      <c r="E154" s="15" t="s">
        <v>53</v>
      </c>
      <c r="F154" s="15">
        <v>1050</v>
      </c>
      <c r="G154" s="17" t="s">
        <v>2224</v>
      </c>
      <c r="H154" s="13" t="s">
        <v>727</v>
      </c>
    </row>
    <row r="155" spans="1:8">
      <c r="A155" s="13" t="s">
        <v>2280</v>
      </c>
      <c r="B155" s="14" t="s">
        <v>2266</v>
      </c>
      <c r="C155" s="15">
        <v>1811</v>
      </c>
      <c r="D155" s="15" t="s">
        <v>91</v>
      </c>
      <c r="E155" s="15" t="s">
        <v>53</v>
      </c>
      <c r="F155" s="15">
        <v>640</v>
      </c>
      <c r="G155" s="17" t="s">
        <v>2225</v>
      </c>
      <c r="H155" s="13" t="s">
        <v>727</v>
      </c>
    </row>
    <row r="156" spans="1:8">
      <c r="A156" s="13" t="s">
        <v>2371</v>
      </c>
      <c r="B156" s="14" t="s">
        <v>2372</v>
      </c>
      <c r="C156" s="15">
        <v>1812</v>
      </c>
      <c r="D156" s="15" t="s">
        <v>14</v>
      </c>
      <c r="E156" s="15" t="s">
        <v>53</v>
      </c>
      <c r="F156" s="15">
        <v>335</v>
      </c>
      <c r="G156" s="17" t="s">
        <v>2365</v>
      </c>
      <c r="H156" s="13" t="s">
        <v>727</v>
      </c>
    </row>
    <row r="157" spans="1:8">
      <c r="A157" s="13" t="s">
        <v>2373</v>
      </c>
      <c r="B157" s="14" t="s">
        <v>2295</v>
      </c>
      <c r="C157" s="15">
        <v>1813</v>
      </c>
      <c r="D157" s="15" t="s">
        <v>15</v>
      </c>
      <c r="E157" s="15" t="s">
        <v>53</v>
      </c>
      <c r="F157" s="15">
        <v>580</v>
      </c>
      <c r="G157" s="17" t="s">
        <v>2281</v>
      </c>
      <c r="H157" s="13" t="s">
        <v>727</v>
      </c>
    </row>
    <row r="158" spans="1:8">
      <c r="A158" s="13" t="s">
        <v>2374</v>
      </c>
      <c r="B158" s="14" t="s">
        <v>2302</v>
      </c>
      <c r="C158" s="15">
        <v>1814</v>
      </c>
      <c r="D158" s="15" t="s">
        <v>11</v>
      </c>
      <c r="E158" s="15" t="s">
        <v>53</v>
      </c>
      <c r="F158" s="15">
        <v>499</v>
      </c>
      <c r="G158" s="17" t="s">
        <v>2368</v>
      </c>
      <c r="H158" s="13" t="s">
        <v>727</v>
      </c>
    </row>
    <row r="159" spans="1:8">
      <c r="A159" s="13" t="s">
        <v>2375</v>
      </c>
      <c r="B159" s="14" t="s">
        <v>2310</v>
      </c>
      <c r="C159" s="15">
        <v>1815</v>
      </c>
      <c r="D159" s="15" t="s">
        <v>17</v>
      </c>
      <c r="E159" s="15" t="s">
        <v>53</v>
      </c>
      <c r="F159" s="15">
        <v>509</v>
      </c>
      <c r="G159" s="17" t="s">
        <v>2369</v>
      </c>
      <c r="H159" s="13" t="s">
        <v>727</v>
      </c>
    </row>
    <row r="160" spans="1:8">
      <c r="A160" s="13" t="s">
        <v>2376</v>
      </c>
      <c r="B160" s="14" t="s">
        <v>2318</v>
      </c>
      <c r="C160" s="15">
        <v>1816</v>
      </c>
      <c r="D160" s="15" t="s">
        <v>10</v>
      </c>
      <c r="E160" s="15" t="s">
        <v>53</v>
      </c>
      <c r="F160" s="15">
        <v>690</v>
      </c>
      <c r="G160" s="17" t="s">
        <v>2282</v>
      </c>
      <c r="H160" s="13" t="s">
        <v>727</v>
      </c>
    </row>
    <row r="161" spans="1:8">
      <c r="A161" s="13" t="s">
        <v>2377</v>
      </c>
      <c r="B161" s="14" t="s">
        <v>2326</v>
      </c>
      <c r="C161" s="15">
        <v>1817</v>
      </c>
      <c r="D161" s="15" t="s">
        <v>13</v>
      </c>
      <c r="E161" s="15" t="s">
        <v>53</v>
      </c>
      <c r="F161" s="15">
        <v>380</v>
      </c>
      <c r="G161" s="17" t="s">
        <v>2370</v>
      </c>
      <c r="H161" s="13" t="s">
        <v>727</v>
      </c>
    </row>
    <row r="162" spans="1:8">
      <c r="A162" s="13" t="s">
        <v>2378</v>
      </c>
      <c r="B162" s="14" t="s">
        <v>2335</v>
      </c>
      <c r="C162" s="15">
        <v>1818</v>
      </c>
      <c r="D162" s="15" t="s">
        <v>91</v>
      </c>
      <c r="E162" s="15" t="s">
        <v>60</v>
      </c>
      <c r="F162" s="15">
        <v>600</v>
      </c>
      <c r="G162" s="17" t="s">
        <v>2283</v>
      </c>
      <c r="H162" s="13" t="s">
        <v>727</v>
      </c>
    </row>
    <row r="163" spans="1:8">
      <c r="A163" s="13" t="s">
        <v>2379</v>
      </c>
      <c r="B163" s="14" t="s">
        <v>2342</v>
      </c>
      <c r="C163" s="15">
        <v>1819</v>
      </c>
      <c r="D163" s="15" t="s">
        <v>91</v>
      </c>
      <c r="E163" s="15" t="s">
        <v>60</v>
      </c>
      <c r="F163" s="15">
        <v>499</v>
      </c>
      <c r="G163" s="17" t="s">
        <v>2284</v>
      </c>
      <c r="H163" s="13" t="s">
        <v>727</v>
      </c>
    </row>
    <row r="164" spans="1:8">
      <c r="A164" s="13" t="s">
        <v>2380</v>
      </c>
      <c r="B164" s="14" t="s">
        <v>2350</v>
      </c>
      <c r="C164" s="15">
        <v>1820</v>
      </c>
      <c r="D164" s="15" t="s">
        <v>11</v>
      </c>
      <c r="E164" s="15" t="s">
        <v>53</v>
      </c>
      <c r="F164" s="15">
        <v>229</v>
      </c>
      <c r="G164" s="17" t="s">
        <v>2285</v>
      </c>
      <c r="H164" s="13" t="s">
        <v>727</v>
      </c>
    </row>
    <row r="165" spans="1:8">
      <c r="A165" s="13" t="s">
        <v>2381</v>
      </c>
      <c r="B165" s="14" t="s">
        <v>2358</v>
      </c>
      <c r="C165" s="15">
        <v>1821</v>
      </c>
      <c r="D165" s="15" t="s">
        <v>10</v>
      </c>
      <c r="E165" s="15" t="s">
        <v>53</v>
      </c>
      <c r="F165" s="15">
        <v>1090</v>
      </c>
      <c r="G165" s="17" t="s">
        <v>2286</v>
      </c>
      <c r="H165" s="13" t="s">
        <v>727</v>
      </c>
    </row>
    <row r="166" spans="1:8">
      <c r="A166" s="13" t="s">
        <v>2490</v>
      </c>
      <c r="B166" s="14" t="s">
        <v>2491</v>
      </c>
      <c r="C166" s="15">
        <v>1822</v>
      </c>
      <c r="D166" s="15" t="s">
        <v>91</v>
      </c>
      <c r="E166" s="15" t="s">
        <v>54</v>
      </c>
      <c r="F166" s="15">
        <v>840</v>
      </c>
      <c r="G166" s="17" t="s">
        <v>2382</v>
      </c>
      <c r="H166" s="13" t="s">
        <v>727</v>
      </c>
    </row>
    <row r="167" spans="1:8">
      <c r="A167" s="13" t="s">
        <v>2492</v>
      </c>
      <c r="B167" s="14" t="s">
        <v>2493</v>
      </c>
      <c r="C167" s="15">
        <v>1823</v>
      </c>
      <c r="D167" s="15" t="s">
        <v>91</v>
      </c>
      <c r="E167" s="15" t="s">
        <v>53</v>
      </c>
      <c r="F167" s="15">
        <v>619</v>
      </c>
      <c r="G167" s="17" t="s">
        <v>2383</v>
      </c>
      <c r="H167" s="13" t="s">
        <v>727</v>
      </c>
    </row>
    <row r="168" spans="1:8">
      <c r="A168" s="13" t="s">
        <v>2494</v>
      </c>
      <c r="B168" s="14" t="s">
        <v>2495</v>
      </c>
      <c r="C168" s="15">
        <v>1824</v>
      </c>
      <c r="D168" s="15" t="s">
        <v>91</v>
      </c>
      <c r="E168" s="15" t="s">
        <v>53</v>
      </c>
      <c r="F168" s="15">
        <v>229</v>
      </c>
      <c r="G168" s="17" t="s">
        <v>2384</v>
      </c>
      <c r="H168" s="13" t="s">
        <v>727</v>
      </c>
    </row>
    <row r="169" spans="1:8">
      <c r="A169" s="13" t="s">
        <v>2496</v>
      </c>
      <c r="B169" s="14" t="s">
        <v>2497</v>
      </c>
      <c r="C169" s="15">
        <v>1825</v>
      </c>
      <c r="D169" s="15" t="s">
        <v>91</v>
      </c>
      <c r="E169" s="15" t="s">
        <v>53</v>
      </c>
      <c r="F169" s="15">
        <v>156</v>
      </c>
      <c r="G169" s="17" t="s">
        <v>2483</v>
      </c>
      <c r="H169" s="13" t="s">
        <v>727</v>
      </c>
    </row>
    <row r="170" spans="1:8">
      <c r="A170" s="13" t="s">
        <v>2498</v>
      </c>
      <c r="B170" s="14" t="s">
        <v>2499</v>
      </c>
      <c r="C170" s="15">
        <v>1826</v>
      </c>
      <c r="D170" s="15" t="s">
        <v>10</v>
      </c>
      <c r="E170" s="15" t="s">
        <v>53</v>
      </c>
      <c r="F170" s="15">
        <v>1020</v>
      </c>
      <c r="G170" s="17" t="s">
        <v>2385</v>
      </c>
      <c r="H170" s="13" t="s">
        <v>727</v>
      </c>
    </row>
    <row r="171" spans="1:8">
      <c r="A171" s="13" t="s">
        <v>2500</v>
      </c>
      <c r="B171" s="14" t="s">
        <v>2501</v>
      </c>
      <c r="C171" s="15">
        <v>1827</v>
      </c>
      <c r="D171" s="15" t="s">
        <v>15</v>
      </c>
      <c r="E171" s="15" t="s">
        <v>894</v>
      </c>
      <c r="F171" s="15">
        <v>590</v>
      </c>
      <c r="G171" s="17" t="s">
        <v>2487</v>
      </c>
      <c r="H171" s="13" t="s">
        <v>727</v>
      </c>
    </row>
    <row r="172" spans="1:8">
      <c r="A172" s="13" t="s">
        <v>2502</v>
      </c>
      <c r="B172" s="14" t="s">
        <v>2503</v>
      </c>
      <c r="C172" s="15">
        <v>1828</v>
      </c>
      <c r="D172" s="15" t="s">
        <v>9</v>
      </c>
      <c r="E172" s="15" t="s">
        <v>59</v>
      </c>
      <c r="F172" s="15">
        <v>590</v>
      </c>
      <c r="G172" s="17" t="s">
        <v>2386</v>
      </c>
      <c r="H172" s="13" t="s">
        <v>727</v>
      </c>
    </row>
    <row r="173" spans="1:8">
      <c r="A173" s="13" t="s">
        <v>2504</v>
      </c>
      <c r="B173" s="14" t="s">
        <v>2505</v>
      </c>
      <c r="C173" s="15">
        <v>1829</v>
      </c>
      <c r="D173" s="15" t="s">
        <v>91</v>
      </c>
      <c r="E173" s="15" t="s">
        <v>53</v>
      </c>
      <c r="F173" s="15">
        <v>590</v>
      </c>
      <c r="G173" s="17" t="s">
        <v>2387</v>
      </c>
      <c r="H173" s="13" t="s">
        <v>727</v>
      </c>
    </row>
    <row r="174" spans="1:8">
      <c r="A174" s="13" t="s">
        <v>2506</v>
      </c>
      <c r="B174" s="14" t="s">
        <v>2507</v>
      </c>
      <c r="C174" s="15">
        <v>1830</v>
      </c>
      <c r="D174" s="15" t="s">
        <v>10</v>
      </c>
      <c r="E174" s="15" t="s">
        <v>53</v>
      </c>
      <c r="F174" s="15">
        <v>550</v>
      </c>
      <c r="G174" s="17" t="s">
        <v>2388</v>
      </c>
      <c r="H174" s="13" t="s">
        <v>727</v>
      </c>
    </row>
    <row r="175" spans="1:8">
      <c r="A175" s="13" t="s">
        <v>2508</v>
      </c>
      <c r="B175" s="14" t="s">
        <v>2509</v>
      </c>
      <c r="C175" s="15">
        <v>1831</v>
      </c>
      <c r="D175" s="15" t="s">
        <v>9</v>
      </c>
      <c r="E175" s="15" t="s">
        <v>53</v>
      </c>
      <c r="F175" s="15">
        <v>230</v>
      </c>
      <c r="G175" s="17" t="s">
        <v>2488</v>
      </c>
      <c r="H175" s="13" t="s">
        <v>727</v>
      </c>
    </row>
    <row r="176" spans="1:8">
      <c r="A176" s="13" t="s">
        <v>2510</v>
      </c>
      <c r="B176" s="14" t="s">
        <v>2511</v>
      </c>
      <c r="C176" s="15">
        <v>1832</v>
      </c>
      <c r="D176" s="15" t="s">
        <v>9</v>
      </c>
      <c r="E176" s="15" t="s">
        <v>53</v>
      </c>
      <c r="F176" s="15">
        <v>470</v>
      </c>
      <c r="G176" s="17" t="s">
        <v>2389</v>
      </c>
      <c r="H176" s="13" t="s">
        <v>727</v>
      </c>
    </row>
    <row r="177" spans="1:8">
      <c r="A177" s="13" t="s">
        <v>2512</v>
      </c>
      <c r="B177" s="14" t="s">
        <v>2513</v>
      </c>
      <c r="C177" s="15">
        <v>1833</v>
      </c>
      <c r="D177" s="15" t="s">
        <v>91</v>
      </c>
      <c r="E177" s="15" t="s">
        <v>53</v>
      </c>
      <c r="F177" s="15">
        <v>700</v>
      </c>
      <c r="G177" s="17" t="s">
        <v>2391</v>
      </c>
      <c r="H177" s="13" t="s">
        <v>727</v>
      </c>
    </row>
    <row r="178" spans="1:8">
      <c r="A178" s="13" t="s">
        <v>2514</v>
      </c>
      <c r="B178" s="14" t="s">
        <v>2515</v>
      </c>
      <c r="C178" s="15">
        <v>1834</v>
      </c>
      <c r="D178" s="15" t="s">
        <v>17</v>
      </c>
      <c r="E178" s="15" t="s">
        <v>53</v>
      </c>
      <c r="F178" s="15">
        <v>409</v>
      </c>
      <c r="G178" s="17" t="s">
        <v>2489</v>
      </c>
      <c r="H178" s="13" t="s">
        <v>727</v>
      </c>
    </row>
    <row r="179" spans="1:8">
      <c r="A179" s="13" t="s">
        <v>2745</v>
      </c>
      <c r="B179" s="14" t="s">
        <v>2632</v>
      </c>
      <c r="C179" s="15">
        <v>1835</v>
      </c>
      <c r="D179" s="15" t="s">
        <v>16</v>
      </c>
      <c r="E179" s="15" t="s">
        <v>2743</v>
      </c>
      <c r="F179" s="15">
        <v>580</v>
      </c>
      <c r="G179" s="17" t="s">
        <v>2621</v>
      </c>
      <c r="H179" s="13" t="s">
        <v>2746</v>
      </c>
    </row>
    <row r="180" spans="1:8">
      <c r="A180" s="13" t="s">
        <v>2747</v>
      </c>
      <c r="B180" s="14" t="s">
        <v>2670</v>
      </c>
      <c r="C180" s="15">
        <v>1836</v>
      </c>
      <c r="D180" s="15" t="s">
        <v>13</v>
      </c>
      <c r="E180" s="15" t="s">
        <v>53</v>
      </c>
      <c r="F180" s="15">
        <v>859</v>
      </c>
      <c r="G180" s="17" t="s">
        <v>2622</v>
      </c>
      <c r="H180" s="13" t="s">
        <v>2746</v>
      </c>
    </row>
    <row r="181" spans="1:8">
      <c r="A181" s="13" t="s">
        <v>2748</v>
      </c>
      <c r="B181" s="14" t="s">
        <v>2678</v>
      </c>
      <c r="C181" s="15">
        <v>1837</v>
      </c>
      <c r="D181" s="15" t="s">
        <v>13</v>
      </c>
      <c r="E181" s="15" t="s">
        <v>53</v>
      </c>
      <c r="F181" s="15">
        <v>480</v>
      </c>
      <c r="G181" s="17" t="s">
        <v>2623</v>
      </c>
      <c r="H181" s="13" t="s">
        <v>2746</v>
      </c>
    </row>
    <row r="182" spans="1:8">
      <c r="A182" s="13" t="s">
        <v>2749</v>
      </c>
      <c r="B182" s="14" t="s">
        <v>2686</v>
      </c>
      <c r="C182" s="15">
        <v>1838</v>
      </c>
      <c r="D182" s="15" t="s">
        <v>13</v>
      </c>
      <c r="E182" s="15" t="s">
        <v>53</v>
      </c>
      <c r="F182" s="15">
        <v>980</v>
      </c>
      <c r="G182" s="17" t="s">
        <v>2624</v>
      </c>
      <c r="H182" s="13" t="s">
        <v>2746</v>
      </c>
    </row>
    <row r="183" spans="1:8">
      <c r="A183" s="13" t="s">
        <v>2750</v>
      </c>
      <c r="B183" s="14" t="s">
        <v>2694</v>
      </c>
      <c r="C183" s="15">
        <v>1839</v>
      </c>
      <c r="D183" s="15" t="s">
        <v>15</v>
      </c>
      <c r="E183" s="15" t="s">
        <v>2742</v>
      </c>
      <c r="F183" s="15">
        <v>620</v>
      </c>
      <c r="G183" s="17" t="s">
        <v>2625</v>
      </c>
      <c r="H183" s="13" t="s">
        <v>2746</v>
      </c>
    </row>
    <row r="184" spans="1:8">
      <c r="A184" s="13" t="s">
        <v>2751</v>
      </c>
      <c r="B184" s="14" t="s">
        <v>2702</v>
      </c>
      <c r="C184" s="15">
        <v>1840</v>
      </c>
      <c r="D184" s="15" t="s">
        <v>15</v>
      </c>
      <c r="E184" s="15" t="s">
        <v>2742</v>
      </c>
      <c r="F184" s="15">
        <v>520</v>
      </c>
      <c r="G184" s="17" t="s">
        <v>2626</v>
      </c>
      <c r="H184" s="13" t="s">
        <v>2746</v>
      </c>
    </row>
    <row r="185" spans="1:8">
      <c r="A185" s="13" t="s">
        <v>2752</v>
      </c>
      <c r="B185" s="14" t="s">
        <v>2710</v>
      </c>
      <c r="C185" s="15">
        <v>1841</v>
      </c>
      <c r="D185" s="15" t="s">
        <v>11</v>
      </c>
      <c r="E185" s="15" t="s">
        <v>2742</v>
      </c>
      <c r="F185" s="15">
        <v>305</v>
      </c>
      <c r="G185" s="17" t="s">
        <v>2627</v>
      </c>
      <c r="H185" s="13" t="s">
        <v>2746</v>
      </c>
    </row>
    <row r="186" spans="1:8">
      <c r="A186" s="13" t="s">
        <v>2753</v>
      </c>
      <c r="B186" s="14" t="s">
        <v>2718</v>
      </c>
      <c r="C186" s="15">
        <v>1842</v>
      </c>
      <c r="D186" s="15" t="s">
        <v>11</v>
      </c>
      <c r="E186" s="15" t="s">
        <v>2742</v>
      </c>
      <c r="F186" s="15">
        <v>291</v>
      </c>
      <c r="G186" s="17" t="s">
        <v>2628</v>
      </c>
      <c r="H186" s="13" t="s">
        <v>2746</v>
      </c>
    </row>
    <row r="187" spans="1:8">
      <c r="A187" s="13" t="s">
        <v>2754</v>
      </c>
      <c r="B187" s="14" t="s">
        <v>2726</v>
      </c>
      <c r="C187" s="15">
        <v>1843</v>
      </c>
      <c r="D187" s="15" t="s">
        <v>11</v>
      </c>
      <c r="E187" s="15" t="s">
        <v>2743</v>
      </c>
      <c r="F187" s="15">
        <v>690</v>
      </c>
      <c r="G187" s="17" t="s">
        <v>2629</v>
      </c>
      <c r="H187" s="13" t="s">
        <v>2746</v>
      </c>
    </row>
    <row r="188" spans="1:8">
      <c r="A188" s="13" t="s">
        <v>2755</v>
      </c>
      <c r="B188" s="14" t="s">
        <v>2734</v>
      </c>
      <c r="C188" s="15">
        <v>1844</v>
      </c>
      <c r="D188" s="15" t="s">
        <v>11</v>
      </c>
      <c r="E188" s="15" t="s">
        <v>2743</v>
      </c>
      <c r="F188" s="15">
        <v>490</v>
      </c>
      <c r="G188" s="17" t="s">
        <v>2630</v>
      </c>
      <c r="H188" s="13" t="s">
        <v>2746</v>
      </c>
    </row>
    <row r="189" spans="1:8">
      <c r="A189" s="13" t="s">
        <v>2877</v>
      </c>
      <c r="B189" s="14" t="s">
        <v>2878</v>
      </c>
      <c r="C189" s="15">
        <v>1845</v>
      </c>
      <c r="D189" s="15" t="s">
        <v>11</v>
      </c>
      <c r="E189" s="15" t="s">
        <v>2868</v>
      </c>
      <c r="F189" s="15">
        <v>1008</v>
      </c>
      <c r="G189" s="17" t="s">
        <v>2775</v>
      </c>
      <c r="H189" s="13" t="s">
        <v>2746</v>
      </c>
    </row>
    <row r="190" spans="1:8">
      <c r="A190" s="13" t="s">
        <v>2879</v>
      </c>
      <c r="B190" s="14" t="s">
        <v>2880</v>
      </c>
      <c r="C190" s="15">
        <v>1846</v>
      </c>
      <c r="D190" s="15" t="s">
        <v>11</v>
      </c>
      <c r="E190" s="15" t="s">
        <v>2868</v>
      </c>
      <c r="F190" s="15">
        <v>590</v>
      </c>
      <c r="G190" s="17" t="s">
        <v>2865</v>
      </c>
      <c r="H190" s="13" t="s">
        <v>2746</v>
      </c>
    </row>
    <row r="191" spans="1:8">
      <c r="A191" s="13" t="s">
        <v>2881</v>
      </c>
      <c r="B191" s="14" t="s">
        <v>2882</v>
      </c>
      <c r="C191" s="15">
        <v>1847</v>
      </c>
      <c r="D191" s="15" t="s">
        <v>11</v>
      </c>
      <c r="E191" s="15" t="s">
        <v>2868</v>
      </c>
      <c r="F191" s="15">
        <v>1000</v>
      </c>
      <c r="G191" s="17" t="s">
        <v>2776</v>
      </c>
      <c r="H191" s="13" t="s">
        <v>2746</v>
      </c>
    </row>
    <row r="192" spans="1:8">
      <c r="A192" s="13" t="s">
        <v>2883</v>
      </c>
      <c r="B192" s="14" t="s">
        <v>2884</v>
      </c>
      <c r="C192" s="15">
        <v>1848</v>
      </c>
      <c r="D192" s="15" t="s">
        <v>11</v>
      </c>
      <c r="E192" s="15" t="s">
        <v>2868</v>
      </c>
      <c r="F192" s="15">
        <v>479</v>
      </c>
      <c r="G192" s="17" t="s">
        <v>2777</v>
      </c>
      <c r="H192" s="13" t="s">
        <v>2746</v>
      </c>
    </row>
    <row r="193" spans="1:8">
      <c r="A193" s="13" t="s">
        <v>2885</v>
      </c>
      <c r="B193" s="14" t="s">
        <v>2886</v>
      </c>
      <c r="C193" s="15">
        <v>1849</v>
      </c>
      <c r="D193" s="15" t="s">
        <v>12</v>
      </c>
      <c r="E193" s="15" t="s">
        <v>58</v>
      </c>
      <c r="F193" s="15">
        <v>200</v>
      </c>
      <c r="G193" s="17" t="s">
        <v>2869</v>
      </c>
      <c r="H193" s="13" t="s">
        <v>2746</v>
      </c>
    </row>
    <row r="194" spans="1:8">
      <c r="A194" s="13" t="s">
        <v>2887</v>
      </c>
      <c r="B194" s="14" t="s">
        <v>2888</v>
      </c>
      <c r="C194" s="15">
        <v>1850</v>
      </c>
      <c r="D194" s="15" t="s">
        <v>16</v>
      </c>
      <c r="E194" s="15" t="s">
        <v>58</v>
      </c>
      <c r="F194" s="15">
        <v>380</v>
      </c>
      <c r="G194" s="17" t="s">
        <v>2870</v>
      </c>
      <c r="H194" s="13" t="s">
        <v>2746</v>
      </c>
    </row>
    <row r="195" spans="1:8">
      <c r="A195" s="13" t="s">
        <v>2889</v>
      </c>
      <c r="B195" s="14" t="s">
        <v>2890</v>
      </c>
      <c r="C195" s="15">
        <v>1851</v>
      </c>
      <c r="D195" s="15" t="s">
        <v>12</v>
      </c>
      <c r="E195" s="15" t="s">
        <v>58</v>
      </c>
      <c r="F195" s="15">
        <v>380</v>
      </c>
      <c r="G195" s="17" t="s">
        <v>2871</v>
      </c>
      <c r="H195" s="13" t="s">
        <v>2746</v>
      </c>
    </row>
    <row r="196" spans="1:8">
      <c r="A196" s="13" t="s">
        <v>2891</v>
      </c>
      <c r="B196" s="14" t="s">
        <v>2892</v>
      </c>
      <c r="C196" s="15">
        <v>1852</v>
      </c>
      <c r="D196" s="15" t="s">
        <v>16</v>
      </c>
      <c r="E196" s="15" t="s">
        <v>53</v>
      </c>
      <c r="F196" s="15">
        <v>419</v>
      </c>
      <c r="G196" s="17" t="s">
        <v>2872</v>
      </c>
      <c r="H196" s="13" t="s">
        <v>2746</v>
      </c>
    </row>
    <row r="197" spans="1:8">
      <c r="A197" s="13" t="s">
        <v>2893</v>
      </c>
      <c r="B197" s="14" t="s">
        <v>2894</v>
      </c>
      <c r="C197" s="15">
        <v>1853</v>
      </c>
      <c r="D197" s="15" t="s">
        <v>17</v>
      </c>
      <c r="E197" s="15" t="s">
        <v>2875</v>
      </c>
      <c r="F197" s="15">
        <v>399</v>
      </c>
      <c r="G197" s="17" t="s">
        <v>2779</v>
      </c>
      <c r="H197" s="13" t="s">
        <v>2746</v>
      </c>
    </row>
    <row r="198" spans="1:8">
      <c r="A198" s="13" t="s">
        <v>2895</v>
      </c>
      <c r="B198" s="14" t="s">
        <v>2896</v>
      </c>
      <c r="C198" s="15">
        <v>1854</v>
      </c>
      <c r="D198" s="15" t="s">
        <v>10</v>
      </c>
      <c r="E198" s="15" t="s">
        <v>2742</v>
      </c>
      <c r="F198" s="15">
        <v>380</v>
      </c>
      <c r="G198" s="17" t="s">
        <v>2876</v>
      </c>
      <c r="H198" s="13" t="s">
        <v>2746</v>
      </c>
    </row>
    <row r="199" spans="1:8">
      <c r="A199" s="13" t="s">
        <v>2897</v>
      </c>
      <c r="B199" s="14" t="s">
        <v>2898</v>
      </c>
      <c r="C199" s="15">
        <v>1855</v>
      </c>
      <c r="D199" s="15" t="s">
        <v>10</v>
      </c>
      <c r="E199" s="15" t="s">
        <v>2742</v>
      </c>
      <c r="F199" s="15">
        <v>409</v>
      </c>
      <c r="G199" s="17" t="s">
        <v>2780</v>
      </c>
      <c r="H199" s="13" t="s">
        <v>2746</v>
      </c>
    </row>
    <row r="200" spans="1:8">
      <c r="A200" s="13" t="s">
        <v>2899</v>
      </c>
      <c r="B200" s="14" t="s">
        <v>2900</v>
      </c>
      <c r="C200" s="15">
        <v>1856</v>
      </c>
      <c r="D200" s="15" t="s">
        <v>16</v>
      </c>
      <c r="E200" s="15" t="s">
        <v>60</v>
      </c>
      <c r="F200" s="15">
        <v>690</v>
      </c>
      <c r="G200" s="17" t="s">
        <v>2781</v>
      </c>
      <c r="H200" s="13" t="s">
        <v>2746</v>
      </c>
    </row>
    <row r="201" spans="1:8">
      <c r="A201" s="13" t="s">
        <v>2964</v>
      </c>
      <c r="B201" s="14" t="s">
        <v>2965</v>
      </c>
      <c r="C201" s="15">
        <v>1857</v>
      </c>
      <c r="D201" s="15" t="s">
        <v>91</v>
      </c>
      <c r="E201" s="15" t="s">
        <v>1737</v>
      </c>
      <c r="F201" s="15">
        <v>899</v>
      </c>
      <c r="G201" s="17" t="s">
        <v>2948</v>
      </c>
      <c r="H201" s="13" t="s">
        <v>2746</v>
      </c>
    </row>
    <row r="202" spans="1:8">
      <c r="A202" s="13" t="s">
        <v>2966</v>
      </c>
      <c r="B202" s="14" t="s">
        <v>2967</v>
      </c>
      <c r="C202" s="15">
        <v>1858</v>
      </c>
      <c r="D202" s="15" t="s">
        <v>91</v>
      </c>
      <c r="E202" s="15" t="s">
        <v>54</v>
      </c>
      <c r="F202" s="15">
        <v>298</v>
      </c>
      <c r="G202" s="17" t="s">
        <v>2960</v>
      </c>
      <c r="H202" s="13" t="s">
        <v>2746</v>
      </c>
    </row>
    <row r="203" spans="1:8">
      <c r="A203" s="13" t="s">
        <v>2968</v>
      </c>
      <c r="B203" s="14" t="s">
        <v>2969</v>
      </c>
      <c r="C203" s="15">
        <v>1859</v>
      </c>
      <c r="D203" s="15" t="s">
        <v>91</v>
      </c>
      <c r="E203" s="15" t="s">
        <v>54</v>
      </c>
      <c r="F203" s="15">
        <v>790</v>
      </c>
      <c r="G203" s="17" t="s">
        <v>2962</v>
      </c>
      <c r="H203" s="13" t="s">
        <v>2746</v>
      </c>
    </row>
    <row r="204" spans="1:8">
      <c r="A204" s="13" t="s">
        <v>2970</v>
      </c>
      <c r="B204" s="14" t="s">
        <v>2971</v>
      </c>
      <c r="C204" s="15">
        <v>1860</v>
      </c>
      <c r="D204" s="15" t="s">
        <v>11</v>
      </c>
      <c r="E204" s="15" t="s">
        <v>53</v>
      </c>
      <c r="F204" s="15">
        <v>305</v>
      </c>
      <c r="G204" s="17" t="s">
        <v>2949</v>
      </c>
      <c r="H204" s="13" t="s">
        <v>2746</v>
      </c>
    </row>
    <row r="205" spans="1:8">
      <c r="A205" s="13" t="s">
        <v>2972</v>
      </c>
      <c r="B205" s="14" t="s">
        <v>2929</v>
      </c>
      <c r="C205" s="15">
        <v>1861</v>
      </c>
      <c r="D205" s="15" t="s">
        <v>91</v>
      </c>
      <c r="E205" s="15" t="s">
        <v>53</v>
      </c>
      <c r="F205" s="15">
        <v>399</v>
      </c>
      <c r="G205" s="17" t="s">
        <v>2901</v>
      </c>
      <c r="H205" s="13" t="s">
        <v>2746</v>
      </c>
    </row>
    <row r="206" spans="1:8">
      <c r="A206" s="13" t="s">
        <v>2973</v>
      </c>
      <c r="B206" s="14" t="s">
        <v>2936</v>
      </c>
      <c r="C206" s="15">
        <v>1862</v>
      </c>
      <c r="D206" s="15" t="s">
        <v>9</v>
      </c>
      <c r="E206" s="15" t="s">
        <v>2742</v>
      </c>
      <c r="F206" s="15">
        <v>850</v>
      </c>
      <c r="G206" s="17" t="s">
        <v>2902</v>
      </c>
      <c r="H206" s="13" t="s">
        <v>2746</v>
      </c>
    </row>
    <row r="207" spans="1:8">
      <c r="A207" s="13" t="s">
        <v>2974</v>
      </c>
      <c r="B207" s="14" t="s">
        <v>2975</v>
      </c>
      <c r="C207" s="15">
        <v>1863</v>
      </c>
      <c r="D207" s="15" t="s">
        <v>9</v>
      </c>
      <c r="E207" s="15" t="s">
        <v>2742</v>
      </c>
      <c r="F207" s="15">
        <v>342</v>
      </c>
      <c r="G207" s="17" t="s">
        <v>2903</v>
      </c>
      <c r="H207" s="13" t="s">
        <v>2746</v>
      </c>
    </row>
    <row r="208" spans="1:8">
      <c r="A208" s="13" t="s">
        <v>3116</v>
      </c>
      <c r="B208" s="14" t="s">
        <v>3117</v>
      </c>
      <c r="C208" s="15">
        <v>1864</v>
      </c>
      <c r="D208" s="15" t="s">
        <v>16</v>
      </c>
      <c r="E208" s="15" t="s">
        <v>2743</v>
      </c>
      <c r="F208" s="15">
        <v>920</v>
      </c>
      <c r="G208" s="17" t="s">
        <v>3111</v>
      </c>
      <c r="H208" s="13" t="s">
        <v>2746</v>
      </c>
    </row>
    <row r="209" spans="1:8">
      <c r="A209" s="13" t="s">
        <v>3118</v>
      </c>
      <c r="B209" s="14" t="s">
        <v>3119</v>
      </c>
      <c r="C209" s="15">
        <v>1865</v>
      </c>
      <c r="D209" s="15" t="s">
        <v>15</v>
      </c>
      <c r="E209" s="15" t="s">
        <v>2743</v>
      </c>
      <c r="F209" s="15">
        <v>1090</v>
      </c>
      <c r="G209" s="17" t="s">
        <v>2976</v>
      </c>
      <c r="H209" s="13" t="s">
        <v>2746</v>
      </c>
    </row>
    <row r="210" spans="1:8">
      <c r="A210" s="13" t="s">
        <v>3120</v>
      </c>
      <c r="B210" s="14" t="s">
        <v>3121</v>
      </c>
      <c r="C210" s="15">
        <v>1866</v>
      </c>
      <c r="D210" s="15" t="s">
        <v>15</v>
      </c>
      <c r="E210" s="15" t="s">
        <v>2743</v>
      </c>
      <c r="F210" s="15">
        <v>690</v>
      </c>
      <c r="G210" s="17" t="s">
        <v>3112</v>
      </c>
      <c r="H210" s="13" t="s">
        <v>2746</v>
      </c>
    </row>
    <row r="211" spans="1:8">
      <c r="A211" s="13" t="s">
        <v>3122</v>
      </c>
      <c r="B211" s="14" t="s">
        <v>3123</v>
      </c>
      <c r="C211" s="15">
        <v>1867</v>
      </c>
      <c r="D211" s="15" t="s">
        <v>19</v>
      </c>
      <c r="E211" s="15" t="s">
        <v>2743</v>
      </c>
      <c r="F211" s="15">
        <v>792</v>
      </c>
      <c r="G211" s="17" t="s">
        <v>2977</v>
      </c>
      <c r="H211" s="13" t="s">
        <v>2746</v>
      </c>
    </row>
    <row r="212" spans="1:8">
      <c r="A212" s="13" t="s">
        <v>3124</v>
      </c>
      <c r="B212" s="14" t="s">
        <v>3125</v>
      </c>
      <c r="C212" s="15">
        <v>1868</v>
      </c>
      <c r="D212" s="15" t="s">
        <v>19</v>
      </c>
      <c r="E212" s="15" t="s">
        <v>2743</v>
      </c>
      <c r="F212" s="15">
        <v>610</v>
      </c>
      <c r="G212" s="17" t="s">
        <v>3113</v>
      </c>
      <c r="H212" s="13" t="s">
        <v>2746</v>
      </c>
    </row>
    <row r="213" spans="1:8">
      <c r="A213" s="13" t="s">
        <v>3126</v>
      </c>
      <c r="B213" s="14" t="s">
        <v>3127</v>
      </c>
      <c r="C213" s="15">
        <v>1869</v>
      </c>
      <c r="D213" s="15" t="s">
        <v>15</v>
      </c>
      <c r="E213" s="15" t="s">
        <v>2743</v>
      </c>
      <c r="F213" s="15">
        <v>540</v>
      </c>
      <c r="G213" s="17" t="s">
        <v>3068</v>
      </c>
      <c r="H213" s="13" t="s">
        <v>2746</v>
      </c>
    </row>
    <row r="214" spans="1:8">
      <c r="A214" s="13" t="s">
        <v>3128</v>
      </c>
      <c r="B214" s="14" t="s">
        <v>3129</v>
      </c>
      <c r="C214" s="15">
        <v>1870</v>
      </c>
      <c r="D214" s="15" t="s">
        <v>11</v>
      </c>
      <c r="E214" s="15" t="s">
        <v>53</v>
      </c>
      <c r="F214" s="15">
        <v>890</v>
      </c>
      <c r="G214" s="17" t="s">
        <v>3114</v>
      </c>
      <c r="H214" s="13" t="s">
        <v>2746</v>
      </c>
    </row>
    <row r="215" spans="1:8">
      <c r="A215" s="13" t="s">
        <v>3130</v>
      </c>
      <c r="B215" s="14" t="s">
        <v>3131</v>
      </c>
      <c r="C215" s="15">
        <v>1871</v>
      </c>
      <c r="D215" s="15" t="s">
        <v>91</v>
      </c>
      <c r="E215" s="15" t="s">
        <v>54</v>
      </c>
      <c r="F215" s="15">
        <v>1090</v>
      </c>
      <c r="G215" s="17" t="s">
        <v>2978</v>
      </c>
      <c r="H215" s="13" t="s">
        <v>2746</v>
      </c>
    </row>
    <row r="216" spans="1:8">
      <c r="A216" s="13" t="s">
        <v>3132</v>
      </c>
      <c r="B216" s="14" t="s">
        <v>3133</v>
      </c>
      <c r="C216" s="15">
        <v>1872</v>
      </c>
      <c r="D216" s="15" t="s">
        <v>11</v>
      </c>
      <c r="E216" s="15" t="s">
        <v>53</v>
      </c>
      <c r="F216" s="15">
        <v>890</v>
      </c>
      <c r="G216" s="17" t="s">
        <v>2979</v>
      </c>
      <c r="H216" s="13" t="s">
        <v>2746</v>
      </c>
    </row>
    <row r="217" spans="1:8">
      <c r="A217" s="13" t="s">
        <v>3134</v>
      </c>
      <c r="B217" s="14" t="s">
        <v>3135</v>
      </c>
      <c r="C217" s="15">
        <v>1873</v>
      </c>
      <c r="D217" s="15" t="s">
        <v>9</v>
      </c>
      <c r="E217" s="15" t="s">
        <v>56</v>
      </c>
      <c r="F217" s="15">
        <v>720</v>
      </c>
      <c r="G217" s="17" t="s">
        <v>2980</v>
      </c>
      <c r="H217" s="13" t="s">
        <v>2746</v>
      </c>
    </row>
    <row r="218" spans="1:8">
      <c r="A218" s="13" t="s">
        <v>3136</v>
      </c>
      <c r="B218" s="14" t="s">
        <v>3137</v>
      </c>
      <c r="C218" s="15">
        <v>1874</v>
      </c>
      <c r="D218" s="15" t="s">
        <v>10</v>
      </c>
      <c r="E218" s="15" t="s">
        <v>57</v>
      </c>
      <c r="F218" s="15">
        <v>800</v>
      </c>
      <c r="G218" s="17" t="s">
        <v>3115</v>
      </c>
      <c r="H218" s="13" t="s">
        <v>2746</v>
      </c>
    </row>
    <row r="219" spans="1:8">
      <c r="A219" s="13" t="s">
        <v>3138</v>
      </c>
      <c r="B219" s="14" t="s">
        <v>3061</v>
      </c>
      <c r="C219" s="15">
        <v>1875</v>
      </c>
      <c r="D219" s="15" t="s">
        <v>23</v>
      </c>
      <c r="E219" s="15" t="s">
        <v>2743</v>
      </c>
      <c r="F219" s="15">
        <v>720</v>
      </c>
      <c r="G219" s="17" t="s">
        <v>2982</v>
      </c>
      <c r="H219" s="13" t="s">
        <v>2746</v>
      </c>
    </row>
    <row r="220" spans="1:8">
      <c r="A220" s="13" t="s">
        <v>3286</v>
      </c>
      <c r="B220" s="14" t="s">
        <v>3287</v>
      </c>
      <c r="C220" s="15">
        <v>1876</v>
      </c>
      <c r="D220" s="15" t="s">
        <v>91</v>
      </c>
      <c r="E220" s="15" t="s">
        <v>53</v>
      </c>
      <c r="F220" s="15">
        <v>189</v>
      </c>
      <c r="G220" s="17" t="s">
        <v>3250</v>
      </c>
      <c r="H220" s="13" t="s">
        <v>2746</v>
      </c>
    </row>
    <row r="221" spans="1:8">
      <c r="A221" s="13" t="s">
        <v>3288</v>
      </c>
      <c r="B221" s="14" t="s">
        <v>3289</v>
      </c>
      <c r="C221" s="15">
        <v>1877</v>
      </c>
      <c r="D221" s="15" t="s">
        <v>91</v>
      </c>
      <c r="E221" s="15" t="s">
        <v>726</v>
      </c>
      <c r="F221" s="15">
        <v>350</v>
      </c>
      <c r="G221" s="17" t="s">
        <v>3283</v>
      </c>
      <c r="H221" s="13" t="s">
        <v>2746</v>
      </c>
    </row>
    <row r="222" spans="1:8">
      <c r="A222" s="13" t="s">
        <v>3290</v>
      </c>
      <c r="B222" s="14" t="s">
        <v>3291</v>
      </c>
      <c r="C222" s="15">
        <v>1878</v>
      </c>
      <c r="D222" s="15" t="s">
        <v>16</v>
      </c>
      <c r="E222" s="15" t="s">
        <v>2743</v>
      </c>
      <c r="F222" s="15">
        <v>970</v>
      </c>
      <c r="G222" s="17" t="s">
        <v>3181</v>
      </c>
      <c r="H222" s="13" t="s">
        <v>2746</v>
      </c>
    </row>
    <row r="223" spans="1:8">
      <c r="A223" s="13" t="s">
        <v>3292</v>
      </c>
      <c r="B223" s="14" t="s">
        <v>3293</v>
      </c>
      <c r="C223" s="15">
        <v>1879</v>
      </c>
      <c r="D223" s="15" t="s">
        <v>91</v>
      </c>
      <c r="E223" s="15" t="s">
        <v>2743</v>
      </c>
      <c r="F223" s="15">
        <v>1040</v>
      </c>
      <c r="G223" s="17" t="s">
        <v>3182</v>
      </c>
      <c r="H223" s="13" t="s">
        <v>2746</v>
      </c>
    </row>
    <row r="224" spans="1:8">
      <c r="A224" s="13" t="s">
        <v>3294</v>
      </c>
      <c r="B224" s="14" t="s">
        <v>3295</v>
      </c>
      <c r="C224" s="15">
        <v>1880</v>
      </c>
      <c r="D224" s="15" t="s">
        <v>91</v>
      </c>
      <c r="E224" s="15" t="s">
        <v>2743</v>
      </c>
      <c r="F224" s="15">
        <v>990</v>
      </c>
      <c r="G224" s="17" t="s">
        <v>3284</v>
      </c>
      <c r="H224" s="13" t="s">
        <v>2746</v>
      </c>
    </row>
    <row r="225" spans="1:8">
      <c r="A225" s="13" t="s">
        <v>3296</v>
      </c>
      <c r="B225" s="14" t="s">
        <v>3297</v>
      </c>
      <c r="C225" s="15">
        <v>1881</v>
      </c>
      <c r="D225" s="15" t="s">
        <v>9</v>
      </c>
      <c r="E225" s="15" t="s">
        <v>53</v>
      </c>
      <c r="F225" s="15">
        <v>520</v>
      </c>
      <c r="G225" s="17" t="s">
        <v>3183</v>
      </c>
      <c r="H225" s="13" t="s">
        <v>2746</v>
      </c>
    </row>
    <row r="226" spans="1:8">
      <c r="A226" s="13" t="s">
        <v>3298</v>
      </c>
      <c r="B226" s="14" t="s">
        <v>3299</v>
      </c>
      <c r="C226" s="15">
        <v>1882</v>
      </c>
      <c r="D226" s="15" t="s">
        <v>15</v>
      </c>
      <c r="E226" s="15" t="s">
        <v>53</v>
      </c>
      <c r="F226" s="15">
        <v>340</v>
      </c>
      <c r="G226" s="17" t="s">
        <v>3285</v>
      </c>
      <c r="H226" s="13" t="s">
        <v>2746</v>
      </c>
    </row>
    <row r="227" spans="1:8">
      <c r="A227" s="13" t="s">
        <v>3300</v>
      </c>
      <c r="B227" s="14" t="s">
        <v>3301</v>
      </c>
      <c r="C227" s="15">
        <v>1883</v>
      </c>
      <c r="D227" s="15" t="s">
        <v>9</v>
      </c>
      <c r="E227" s="15" t="s">
        <v>53</v>
      </c>
      <c r="F227" s="15">
        <v>550</v>
      </c>
      <c r="G227" s="17" t="s">
        <v>3184</v>
      </c>
      <c r="H227" s="13" t="s">
        <v>2746</v>
      </c>
    </row>
    <row r="228" spans="1:8">
      <c r="A228" s="13" t="s">
        <v>3302</v>
      </c>
      <c r="B228" s="14" t="s">
        <v>3243</v>
      </c>
      <c r="C228" s="15">
        <v>1884</v>
      </c>
      <c r="D228" s="15" t="s">
        <v>13</v>
      </c>
      <c r="E228" s="15" t="s">
        <v>53</v>
      </c>
      <c r="F228" s="15">
        <v>459</v>
      </c>
      <c r="G228" s="17" t="s">
        <v>3185</v>
      </c>
      <c r="H228" s="13" t="s">
        <v>2746</v>
      </c>
    </row>
    <row r="229" spans="1:8">
      <c r="A229" s="13" t="s">
        <v>3366</v>
      </c>
      <c r="B229" s="14" t="s">
        <v>3308</v>
      </c>
      <c r="C229" s="15">
        <v>1885</v>
      </c>
      <c r="D229" s="15" t="s">
        <v>16</v>
      </c>
      <c r="E229" s="15" t="s">
        <v>53</v>
      </c>
      <c r="F229" s="15">
        <v>1100</v>
      </c>
      <c r="G229" s="17" t="s">
        <v>3362</v>
      </c>
      <c r="H229" s="13" t="s">
        <v>2746</v>
      </c>
    </row>
    <row r="230" spans="1:8">
      <c r="A230" s="13" t="s">
        <v>3367</v>
      </c>
      <c r="B230" s="14" t="s">
        <v>3316</v>
      </c>
      <c r="C230" s="15">
        <v>1886</v>
      </c>
      <c r="D230" s="15" t="s">
        <v>9</v>
      </c>
      <c r="E230" s="15" t="s">
        <v>53</v>
      </c>
      <c r="F230" s="15">
        <v>499</v>
      </c>
      <c r="G230" s="17" t="s">
        <v>3303</v>
      </c>
      <c r="H230" s="13" t="s">
        <v>2746</v>
      </c>
    </row>
    <row r="231" spans="1:8">
      <c r="A231" s="13" t="s">
        <v>3368</v>
      </c>
      <c r="B231" s="14" t="s">
        <v>3324</v>
      </c>
      <c r="C231" s="15">
        <v>1887</v>
      </c>
      <c r="D231" s="15" t="s">
        <v>11</v>
      </c>
      <c r="E231" s="15" t="s">
        <v>53</v>
      </c>
      <c r="F231" s="15">
        <v>480</v>
      </c>
      <c r="G231" s="17" t="s">
        <v>3304</v>
      </c>
      <c r="H231" s="13" t="s">
        <v>2746</v>
      </c>
    </row>
    <row r="232" spans="1:8">
      <c r="A232" s="13" t="s">
        <v>3369</v>
      </c>
      <c r="B232" s="14" t="s">
        <v>3332</v>
      </c>
      <c r="C232" s="15">
        <v>1888</v>
      </c>
      <c r="D232" s="15" t="s">
        <v>15</v>
      </c>
      <c r="E232" s="15" t="s">
        <v>53</v>
      </c>
      <c r="F232" s="15">
        <v>490</v>
      </c>
      <c r="G232" s="17" t="s">
        <v>3305</v>
      </c>
      <c r="H232" s="13" t="s">
        <v>2746</v>
      </c>
    </row>
    <row r="233" spans="1:8">
      <c r="A233" s="13" t="s">
        <v>3370</v>
      </c>
      <c r="B233" s="14" t="s">
        <v>3340</v>
      </c>
      <c r="C233" s="15">
        <v>1889</v>
      </c>
      <c r="D233" s="15" t="s">
        <v>9</v>
      </c>
      <c r="E233" s="15" t="s">
        <v>2868</v>
      </c>
      <c r="F233" s="15">
        <v>369</v>
      </c>
      <c r="G233" s="17" t="s">
        <v>3363</v>
      </c>
      <c r="H233" s="13" t="s">
        <v>2746</v>
      </c>
    </row>
    <row r="234" spans="1:8">
      <c r="A234" s="13" t="s">
        <v>3371</v>
      </c>
      <c r="B234" s="14" t="s">
        <v>3348</v>
      </c>
      <c r="C234" s="15">
        <v>1890</v>
      </c>
      <c r="D234" s="15" t="s">
        <v>91</v>
      </c>
      <c r="E234" s="15" t="s">
        <v>53</v>
      </c>
      <c r="F234" s="15">
        <v>177</v>
      </c>
      <c r="G234" s="17" t="s">
        <v>3365</v>
      </c>
      <c r="H234" s="13" t="s">
        <v>2746</v>
      </c>
    </row>
    <row r="235" spans="1:8">
      <c r="A235" s="13" t="s">
        <v>3372</v>
      </c>
      <c r="B235" s="14" t="s">
        <v>3355</v>
      </c>
      <c r="C235" s="15">
        <v>1891</v>
      </c>
      <c r="D235" s="15" t="s">
        <v>9</v>
      </c>
      <c r="E235" s="15" t="s">
        <v>58</v>
      </c>
      <c r="F235" s="15">
        <v>430</v>
      </c>
      <c r="G235" s="17" t="s">
        <v>3306</v>
      </c>
      <c r="H235" s="13" t="s">
        <v>2746</v>
      </c>
    </row>
  </sheetData>
  <phoneticPr fontId="1"/>
  <pageMargins left="0.7" right="0.7" top="0.75" bottom="0.75"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AB97138-292F-4636-9A1A-9DF83330D0B7}">
          <x14:formula1>
            <xm:f>送料!$E$3:$E$30</xm:f>
          </x14:formula1>
          <xm:sqref>E2:E149</xm:sqref>
        </x14:dataValidation>
        <x14:dataValidation type="list" allowBlank="1" showInputMessage="1" showErrorMessage="1" xr:uid="{E031F305-8335-4698-8AE6-AB21F03DB0C9}">
          <x14:formula1>
            <xm:f>送料!$A$2:$A$40</xm:f>
          </x14:formula1>
          <xm:sqref>D2:D149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756C-9B45-43B1-893D-EFE4B3657A65}">
  <dimension ref="A1:R500"/>
  <sheetViews>
    <sheetView topLeftCell="A223" workbookViewId="0">
      <selection activeCell="G229" sqref="G229:R236"/>
    </sheetView>
  </sheetViews>
  <sheetFormatPr defaultRowHeight="18.75"/>
  <cols>
    <col min="1" max="1" width="19.375" bestFit="1" customWidth="1"/>
    <col min="2" max="2" width="9" style="133"/>
    <col min="3" max="5" width="9" style="130"/>
    <col min="6" max="6" width="9" style="134"/>
    <col min="7" max="7" width="9" style="204"/>
    <col min="8" max="17" width="9" style="205"/>
    <col min="18" max="18" width="9" style="206"/>
  </cols>
  <sheetData>
    <row r="1" spans="1:18" ht="19.5" thickBot="1">
      <c r="A1" s="135" t="s">
        <v>8</v>
      </c>
      <c r="B1" s="136" t="s">
        <v>735</v>
      </c>
      <c r="C1" s="137" t="s">
        <v>736</v>
      </c>
      <c r="D1" s="137" t="s">
        <v>737</v>
      </c>
      <c r="E1" s="137" t="s">
        <v>738</v>
      </c>
      <c r="F1" s="138" t="s">
        <v>739</v>
      </c>
      <c r="G1" s="139" t="s">
        <v>740</v>
      </c>
      <c r="H1" s="135" t="s">
        <v>741</v>
      </c>
      <c r="I1" s="135" t="s">
        <v>742</v>
      </c>
      <c r="J1" s="135" t="s">
        <v>743</v>
      </c>
      <c r="K1" s="135" t="s">
        <v>744</v>
      </c>
      <c r="L1" s="135" t="s">
        <v>745</v>
      </c>
      <c r="M1" s="135"/>
      <c r="N1" s="135" t="s">
        <v>100</v>
      </c>
      <c r="O1" s="135" t="s">
        <v>101</v>
      </c>
      <c r="P1" s="135" t="s">
        <v>89</v>
      </c>
      <c r="Q1" s="135" t="s">
        <v>102</v>
      </c>
      <c r="R1" s="140" t="s">
        <v>93</v>
      </c>
    </row>
    <row r="2" spans="1:18" ht="19.5" thickTop="1">
      <c r="A2" s="128">
        <v>1658</v>
      </c>
      <c r="B2" s="131" t="s">
        <v>748</v>
      </c>
      <c r="C2" s="129">
        <v>1</v>
      </c>
      <c r="D2" s="129">
        <v>41200</v>
      </c>
      <c r="E2" s="129">
        <v>620</v>
      </c>
      <c r="F2" s="132" t="s">
        <v>12</v>
      </c>
      <c r="G2" s="198" t="s">
        <v>719</v>
      </c>
      <c r="H2" s="199" t="s">
        <v>731</v>
      </c>
      <c r="I2" s="199" t="s">
        <v>732</v>
      </c>
      <c r="J2" s="199"/>
      <c r="K2" s="199"/>
      <c r="L2" s="199"/>
      <c r="M2" s="199"/>
      <c r="N2" s="199" t="s">
        <v>720</v>
      </c>
      <c r="O2" s="199" t="s">
        <v>721</v>
      </c>
      <c r="P2" s="199" t="s">
        <v>722</v>
      </c>
      <c r="Q2" s="199" t="s">
        <v>723</v>
      </c>
      <c r="R2" s="200" t="s">
        <v>724</v>
      </c>
    </row>
    <row r="3" spans="1:18">
      <c r="A3" s="128">
        <v>1659</v>
      </c>
      <c r="B3" s="131" t="s">
        <v>758</v>
      </c>
      <c r="C3" s="129">
        <v>1</v>
      </c>
      <c r="D3" s="129">
        <v>13800</v>
      </c>
      <c r="E3" s="129">
        <v>274</v>
      </c>
      <c r="F3" s="132" t="s">
        <v>12</v>
      </c>
      <c r="G3" s="198" t="s">
        <v>759</v>
      </c>
      <c r="H3" s="199" t="s">
        <v>754</v>
      </c>
      <c r="I3" s="199" t="s">
        <v>760</v>
      </c>
      <c r="J3" s="199" t="s">
        <v>760</v>
      </c>
      <c r="K3" s="199" t="s">
        <v>760</v>
      </c>
      <c r="L3" s="199" t="s">
        <v>760</v>
      </c>
      <c r="M3" s="199"/>
      <c r="N3" s="199" t="s">
        <v>760</v>
      </c>
      <c r="O3" s="199" t="s">
        <v>761</v>
      </c>
      <c r="P3" s="199" t="s">
        <v>762</v>
      </c>
      <c r="Q3" s="199" t="s">
        <v>763</v>
      </c>
      <c r="R3" s="200" t="s">
        <v>764</v>
      </c>
    </row>
    <row r="4" spans="1:18">
      <c r="A4" s="128">
        <v>1660</v>
      </c>
      <c r="B4" s="131" t="s">
        <v>765</v>
      </c>
      <c r="C4" s="129">
        <v>1</v>
      </c>
      <c r="D4" s="129">
        <v>59999</v>
      </c>
      <c r="E4" s="129">
        <v>755</v>
      </c>
      <c r="F4" s="132" t="s">
        <v>9</v>
      </c>
      <c r="G4" s="198" t="s">
        <v>766</v>
      </c>
      <c r="H4" s="199" t="s">
        <v>793</v>
      </c>
      <c r="I4" s="199" t="s">
        <v>767</v>
      </c>
      <c r="J4" s="199" t="s">
        <v>767</v>
      </c>
      <c r="K4" s="199" t="s">
        <v>767</v>
      </c>
      <c r="L4" s="199" t="s">
        <v>767</v>
      </c>
      <c r="M4" s="199"/>
      <c r="N4" s="199" t="s">
        <v>767</v>
      </c>
      <c r="O4" s="199" t="s">
        <v>768</v>
      </c>
      <c r="P4" s="199" t="s">
        <v>769</v>
      </c>
      <c r="Q4" s="199" t="s">
        <v>770</v>
      </c>
      <c r="R4" s="200" t="s">
        <v>771</v>
      </c>
    </row>
    <row r="5" spans="1:18">
      <c r="A5" s="128">
        <v>1661</v>
      </c>
      <c r="B5" s="131" t="s">
        <v>772</v>
      </c>
      <c r="C5" s="129">
        <v>1</v>
      </c>
      <c r="D5" s="129">
        <v>92000</v>
      </c>
      <c r="E5" s="129">
        <v>1039</v>
      </c>
      <c r="F5" s="132" t="s">
        <v>18</v>
      </c>
      <c r="G5" s="198" t="s">
        <v>773</v>
      </c>
      <c r="H5" s="199" t="s">
        <v>755</v>
      </c>
      <c r="I5" s="199" t="s">
        <v>774</v>
      </c>
      <c r="J5" s="199" t="s">
        <v>774</v>
      </c>
      <c r="K5" s="199" t="s">
        <v>774</v>
      </c>
      <c r="L5" s="199" t="s">
        <v>774</v>
      </c>
      <c r="M5" s="199"/>
      <c r="N5" s="199" t="s">
        <v>774</v>
      </c>
      <c r="O5" s="199" t="s">
        <v>775</v>
      </c>
      <c r="P5" s="199" t="s">
        <v>776</v>
      </c>
      <c r="Q5" s="199" t="s">
        <v>777</v>
      </c>
      <c r="R5" s="200" t="s">
        <v>778</v>
      </c>
    </row>
    <row r="6" spans="1:18">
      <c r="A6" s="128">
        <v>1662</v>
      </c>
      <c r="B6" s="131" t="s">
        <v>779</v>
      </c>
      <c r="C6" s="129">
        <v>1</v>
      </c>
      <c r="D6" s="129">
        <v>88000</v>
      </c>
      <c r="E6" s="129">
        <v>1000</v>
      </c>
      <c r="F6" s="132" t="s">
        <v>18</v>
      </c>
      <c r="G6" s="198" t="s">
        <v>780</v>
      </c>
      <c r="H6" s="199" t="s">
        <v>756</v>
      </c>
      <c r="I6" s="199" t="s">
        <v>794</v>
      </c>
      <c r="J6" s="199" t="s">
        <v>781</v>
      </c>
      <c r="K6" s="199" t="s">
        <v>781</v>
      </c>
      <c r="L6" s="199" t="s">
        <v>781</v>
      </c>
      <c r="M6" s="199"/>
      <c r="N6" s="199" t="s">
        <v>781</v>
      </c>
      <c r="O6" s="199" t="s">
        <v>782</v>
      </c>
      <c r="P6" s="199" t="s">
        <v>783</v>
      </c>
      <c r="Q6" s="199" t="s">
        <v>784</v>
      </c>
      <c r="R6" s="200" t="s">
        <v>785</v>
      </c>
    </row>
    <row r="7" spans="1:18">
      <c r="A7" s="128">
        <v>1663</v>
      </c>
      <c r="B7" s="131" t="s">
        <v>786</v>
      </c>
      <c r="C7" s="129">
        <v>1</v>
      </c>
      <c r="D7" s="129">
        <v>91500</v>
      </c>
      <c r="E7" s="129">
        <v>1250</v>
      </c>
      <c r="F7" s="132" t="s">
        <v>12</v>
      </c>
      <c r="G7" s="198" t="s">
        <v>787</v>
      </c>
      <c r="H7" s="199" t="s">
        <v>757</v>
      </c>
      <c r="I7" s="199" t="s">
        <v>788</v>
      </c>
      <c r="J7" s="199" t="s">
        <v>788</v>
      </c>
      <c r="K7" s="199" t="s">
        <v>788</v>
      </c>
      <c r="L7" s="199" t="s">
        <v>788</v>
      </c>
      <c r="M7" s="199"/>
      <c r="N7" s="199" t="s">
        <v>788</v>
      </c>
      <c r="O7" s="199" t="s">
        <v>789</v>
      </c>
      <c r="P7" s="199" t="s">
        <v>790</v>
      </c>
      <c r="Q7" s="199" t="s">
        <v>791</v>
      </c>
      <c r="R7" s="200" t="s">
        <v>792</v>
      </c>
    </row>
    <row r="8" spans="1:18">
      <c r="A8" s="128">
        <v>1664</v>
      </c>
      <c r="B8" s="131" t="s">
        <v>895</v>
      </c>
      <c r="C8" s="129">
        <v>1</v>
      </c>
      <c r="D8" s="129">
        <v>50500</v>
      </c>
      <c r="E8" s="129">
        <v>592</v>
      </c>
      <c r="F8" s="132" t="s">
        <v>11</v>
      </c>
      <c r="G8" s="198" t="s">
        <v>896</v>
      </c>
      <c r="H8" s="199" t="s">
        <v>814</v>
      </c>
      <c r="I8" s="199"/>
      <c r="J8" s="199"/>
      <c r="K8" s="199"/>
      <c r="L8" s="199"/>
      <c r="M8" s="199"/>
      <c r="N8" s="199" t="s">
        <v>825</v>
      </c>
      <c r="O8" s="199" t="s">
        <v>826</v>
      </c>
      <c r="P8" s="199" t="s">
        <v>827</v>
      </c>
      <c r="Q8" s="199" t="s">
        <v>828</v>
      </c>
      <c r="R8" s="200" t="s">
        <v>829</v>
      </c>
    </row>
    <row r="9" spans="1:18">
      <c r="A9" s="128">
        <v>1665</v>
      </c>
      <c r="B9" s="131" t="s">
        <v>897</v>
      </c>
      <c r="C9" s="129">
        <v>1</v>
      </c>
      <c r="D9" s="129">
        <v>31000</v>
      </c>
      <c r="E9" s="129">
        <v>419</v>
      </c>
      <c r="F9" s="132" t="s">
        <v>11</v>
      </c>
      <c r="G9" s="198" t="s">
        <v>898</v>
      </c>
      <c r="H9" s="199" t="s">
        <v>815</v>
      </c>
      <c r="I9" s="199"/>
      <c r="J9" s="199"/>
      <c r="K9" s="199"/>
      <c r="L9" s="199"/>
      <c r="M9" s="199"/>
      <c r="N9" s="199" t="s">
        <v>830</v>
      </c>
      <c r="O9" s="199" t="s">
        <v>831</v>
      </c>
      <c r="P9" s="199" t="s">
        <v>832</v>
      </c>
      <c r="Q9" s="199" t="s">
        <v>833</v>
      </c>
      <c r="R9" s="200" t="s">
        <v>834</v>
      </c>
    </row>
    <row r="10" spans="1:18">
      <c r="A10" s="128">
        <v>1666</v>
      </c>
      <c r="B10" s="131" t="s">
        <v>899</v>
      </c>
      <c r="C10" s="129">
        <v>1</v>
      </c>
      <c r="D10" s="129">
        <v>75000</v>
      </c>
      <c r="E10" s="129">
        <v>809</v>
      </c>
      <c r="F10" s="132" t="s">
        <v>11</v>
      </c>
      <c r="G10" s="198" t="s">
        <v>900</v>
      </c>
      <c r="H10" s="199" t="s">
        <v>816</v>
      </c>
      <c r="I10" s="199" t="s">
        <v>880</v>
      </c>
      <c r="J10" s="199"/>
      <c r="K10" s="199"/>
      <c r="L10" s="199"/>
      <c r="M10" s="199"/>
      <c r="N10" s="199" t="s">
        <v>835</v>
      </c>
      <c r="O10" s="199" t="s">
        <v>836</v>
      </c>
      <c r="P10" s="199" t="s">
        <v>837</v>
      </c>
      <c r="Q10" s="199" t="s">
        <v>838</v>
      </c>
      <c r="R10" s="200" t="s">
        <v>839</v>
      </c>
    </row>
    <row r="11" spans="1:18">
      <c r="A11" s="128">
        <v>1667</v>
      </c>
      <c r="B11" s="131" t="s">
        <v>901</v>
      </c>
      <c r="C11" s="129">
        <v>1</v>
      </c>
      <c r="D11" s="129">
        <v>22222</v>
      </c>
      <c r="E11" s="129">
        <v>294</v>
      </c>
      <c r="F11" s="132" t="s">
        <v>10</v>
      </c>
      <c r="G11" s="198" t="s">
        <v>902</v>
      </c>
      <c r="H11" s="199" t="s">
        <v>817</v>
      </c>
      <c r="I11" s="199"/>
      <c r="J11" s="199"/>
      <c r="K11" s="199"/>
      <c r="L11" s="199"/>
      <c r="M11" s="199"/>
      <c r="N11" s="199" t="s">
        <v>840</v>
      </c>
      <c r="O11" s="199" t="s">
        <v>841</v>
      </c>
      <c r="P11" s="199" t="s">
        <v>842</v>
      </c>
      <c r="Q11" s="199" t="s">
        <v>843</v>
      </c>
      <c r="R11" s="200" t="s">
        <v>844</v>
      </c>
    </row>
    <row r="12" spans="1:18">
      <c r="A12" s="128">
        <v>1668</v>
      </c>
      <c r="B12" s="131" t="s">
        <v>903</v>
      </c>
      <c r="C12" s="129">
        <v>1</v>
      </c>
      <c r="D12" s="129">
        <v>17555</v>
      </c>
      <c r="E12" s="129">
        <v>294</v>
      </c>
      <c r="F12" s="132" t="s">
        <v>10</v>
      </c>
      <c r="G12" s="198" t="s">
        <v>904</v>
      </c>
      <c r="H12" s="199" t="s">
        <v>818</v>
      </c>
      <c r="I12" s="199"/>
      <c r="J12" s="199"/>
      <c r="K12" s="199"/>
      <c r="L12" s="199"/>
      <c r="M12" s="199"/>
      <c r="N12" s="199" t="s">
        <v>845</v>
      </c>
      <c r="O12" s="199" t="s">
        <v>846</v>
      </c>
      <c r="P12" s="199" t="s">
        <v>847</v>
      </c>
      <c r="Q12" s="199" t="s">
        <v>848</v>
      </c>
      <c r="R12" s="200" t="s">
        <v>849</v>
      </c>
    </row>
    <row r="13" spans="1:18">
      <c r="A13" s="128">
        <v>1669</v>
      </c>
      <c r="B13" s="131" t="s">
        <v>905</v>
      </c>
      <c r="C13" s="129">
        <v>1</v>
      </c>
      <c r="D13" s="129">
        <v>13333</v>
      </c>
      <c r="E13" s="129">
        <v>250</v>
      </c>
      <c r="F13" s="132" t="s">
        <v>91</v>
      </c>
      <c r="G13" s="198" t="s">
        <v>906</v>
      </c>
      <c r="H13" s="199" t="s">
        <v>819</v>
      </c>
      <c r="I13" s="199" t="s">
        <v>819</v>
      </c>
      <c r="J13" s="199"/>
      <c r="K13" s="199"/>
      <c r="L13" s="199"/>
      <c r="M13" s="199"/>
      <c r="N13" s="199" t="s">
        <v>850</v>
      </c>
      <c r="O13" s="199" t="s">
        <v>851</v>
      </c>
      <c r="P13" s="199" t="s">
        <v>852</v>
      </c>
      <c r="Q13" s="199" t="s">
        <v>853</v>
      </c>
      <c r="R13" s="200" t="s">
        <v>854</v>
      </c>
    </row>
    <row r="14" spans="1:18">
      <c r="A14" s="128">
        <v>1670</v>
      </c>
      <c r="B14" s="131" t="s">
        <v>907</v>
      </c>
      <c r="C14" s="129">
        <v>1</v>
      </c>
      <c r="D14" s="129">
        <v>75000</v>
      </c>
      <c r="E14" s="129">
        <v>800</v>
      </c>
      <c r="F14" s="132" t="s">
        <v>91</v>
      </c>
      <c r="G14" s="198" t="s">
        <v>908</v>
      </c>
      <c r="H14" s="199" t="s">
        <v>820</v>
      </c>
      <c r="I14" s="199" t="s">
        <v>881</v>
      </c>
      <c r="J14" s="199"/>
      <c r="K14" s="199"/>
      <c r="L14" s="199"/>
      <c r="M14" s="199"/>
      <c r="N14" s="199" t="s">
        <v>875</v>
      </c>
      <c r="O14" s="199" t="s">
        <v>876</v>
      </c>
      <c r="P14" s="199" t="s">
        <v>877</v>
      </c>
      <c r="Q14" s="199" t="s">
        <v>878</v>
      </c>
      <c r="R14" s="200" t="s">
        <v>879</v>
      </c>
    </row>
    <row r="15" spans="1:18">
      <c r="A15" s="128">
        <v>1671</v>
      </c>
      <c r="B15" s="131" t="s">
        <v>909</v>
      </c>
      <c r="C15" s="129">
        <v>1</v>
      </c>
      <c r="D15" s="129">
        <v>15000</v>
      </c>
      <c r="E15" s="129">
        <v>299</v>
      </c>
      <c r="F15" s="132" t="s">
        <v>13</v>
      </c>
      <c r="G15" s="198" t="s">
        <v>910</v>
      </c>
      <c r="H15" s="199" t="s">
        <v>821</v>
      </c>
      <c r="I15" s="199"/>
      <c r="J15" s="199"/>
      <c r="K15" s="199"/>
      <c r="L15" s="199"/>
      <c r="M15" s="199"/>
      <c r="N15" s="199" t="s">
        <v>855</v>
      </c>
      <c r="O15" s="199" t="s">
        <v>856</v>
      </c>
      <c r="P15" s="199" t="s">
        <v>857</v>
      </c>
      <c r="Q15" s="199" t="s">
        <v>858</v>
      </c>
      <c r="R15" s="200" t="s">
        <v>859</v>
      </c>
    </row>
    <row r="16" spans="1:18">
      <c r="A16" s="128">
        <v>1672</v>
      </c>
      <c r="B16" s="131" t="s">
        <v>911</v>
      </c>
      <c r="C16" s="129">
        <v>1</v>
      </c>
      <c r="D16" s="129">
        <v>14800</v>
      </c>
      <c r="E16" s="129">
        <v>302</v>
      </c>
      <c r="F16" s="132" t="s">
        <v>13</v>
      </c>
      <c r="G16" s="198" t="s">
        <v>912</v>
      </c>
      <c r="H16" s="199" t="s">
        <v>822</v>
      </c>
      <c r="I16" s="199"/>
      <c r="J16" s="199"/>
      <c r="K16" s="199"/>
      <c r="L16" s="199"/>
      <c r="M16" s="199"/>
      <c r="N16" s="199" t="s">
        <v>860</v>
      </c>
      <c r="O16" s="199" t="s">
        <v>861</v>
      </c>
      <c r="P16" s="199" t="s">
        <v>862</v>
      </c>
      <c r="Q16" s="199" t="s">
        <v>863</v>
      </c>
      <c r="R16" s="200" t="s">
        <v>864</v>
      </c>
    </row>
    <row r="17" spans="1:18">
      <c r="A17" s="128">
        <v>1673</v>
      </c>
      <c r="B17" s="131" t="s">
        <v>913</v>
      </c>
      <c r="C17" s="129">
        <v>1</v>
      </c>
      <c r="D17" s="129">
        <v>24444</v>
      </c>
      <c r="E17" s="129">
        <v>370</v>
      </c>
      <c r="F17" s="132" t="s">
        <v>13</v>
      </c>
      <c r="G17" s="198" t="s">
        <v>914</v>
      </c>
      <c r="H17" s="199" t="s">
        <v>823</v>
      </c>
      <c r="I17" s="199" t="s">
        <v>882</v>
      </c>
      <c r="J17" s="199" t="s">
        <v>883</v>
      </c>
      <c r="K17" s="199"/>
      <c r="L17" s="199"/>
      <c r="M17" s="199"/>
      <c r="N17" s="199" t="s">
        <v>865</v>
      </c>
      <c r="O17" s="199" t="s">
        <v>866</v>
      </c>
      <c r="P17" s="199" t="s">
        <v>867</v>
      </c>
      <c r="Q17" s="199" t="s">
        <v>868</v>
      </c>
      <c r="R17" s="200" t="s">
        <v>869</v>
      </c>
    </row>
    <row r="18" spans="1:18">
      <c r="A18" s="128">
        <v>1674</v>
      </c>
      <c r="B18" s="131" t="s">
        <v>915</v>
      </c>
      <c r="C18" s="129">
        <v>1</v>
      </c>
      <c r="D18" s="129">
        <v>71000</v>
      </c>
      <c r="E18" s="129">
        <v>830</v>
      </c>
      <c r="F18" s="132" t="s">
        <v>18</v>
      </c>
      <c r="G18" s="198" t="s">
        <v>916</v>
      </c>
      <c r="H18" s="199" t="s">
        <v>824</v>
      </c>
      <c r="I18" s="199"/>
      <c r="J18" s="199"/>
      <c r="K18" s="199"/>
      <c r="L18" s="199"/>
      <c r="M18" s="199"/>
      <c r="N18" s="199" t="s">
        <v>870</v>
      </c>
      <c r="O18" s="199" t="s">
        <v>871</v>
      </c>
      <c r="P18" s="199" t="s">
        <v>872</v>
      </c>
      <c r="Q18" s="199" t="s">
        <v>873</v>
      </c>
      <c r="R18" s="200" t="s">
        <v>874</v>
      </c>
    </row>
    <row r="19" spans="1:18">
      <c r="A19" s="128">
        <v>1675</v>
      </c>
      <c r="B19" s="131" t="s">
        <v>986</v>
      </c>
      <c r="C19" s="129">
        <v>1</v>
      </c>
      <c r="D19" s="129">
        <v>25000</v>
      </c>
      <c r="E19" s="129">
        <v>354</v>
      </c>
      <c r="F19" s="132" t="s">
        <v>91</v>
      </c>
      <c r="G19" s="201" t="s">
        <v>932</v>
      </c>
      <c r="H19" s="202" t="s">
        <v>926</v>
      </c>
      <c r="I19" s="202"/>
      <c r="J19" s="202"/>
      <c r="K19" s="202"/>
      <c r="L19" s="202"/>
      <c r="M19" s="202"/>
      <c r="N19" s="202" t="s">
        <v>933</v>
      </c>
      <c r="O19" s="202" t="s">
        <v>934</v>
      </c>
      <c r="P19" s="202" t="s">
        <v>935</v>
      </c>
      <c r="Q19" s="202" t="s">
        <v>936</v>
      </c>
      <c r="R19" s="203" t="s">
        <v>937</v>
      </c>
    </row>
    <row r="20" spans="1:18">
      <c r="A20" s="128">
        <v>1676</v>
      </c>
      <c r="B20" s="131" t="s">
        <v>987</v>
      </c>
      <c r="C20" s="129">
        <v>1</v>
      </c>
      <c r="D20" s="129">
        <v>100000</v>
      </c>
      <c r="E20" s="129">
        <v>1080</v>
      </c>
      <c r="F20" s="132" t="s">
        <v>91</v>
      </c>
      <c r="G20" s="201" t="s">
        <v>938</v>
      </c>
      <c r="H20" s="202" t="s">
        <v>927</v>
      </c>
      <c r="I20" s="202"/>
      <c r="J20" s="202"/>
      <c r="K20" s="202"/>
      <c r="L20" s="202"/>
      <c r="M20" s="202"/>
      <c r="N20" s="202" t="s">
        <v>939</v>
      </c>
      <c r="O20" s="202" t="s">
        <v>940</v>
      </c>
      <c r="P20" s="202" t="s">
        <v>941</v>
      </c>
      <c r="Q20" s="202" t="s">
        <v>942</v>
      </c>
      <c r="R20" s="203" t="s">
        <v>943</v>
      </c>
    </row>
    <row r="21" spans="1:18">
      <c r="A21" s="128">
        <v>1677</v>
      </c>
      <c r="B21" s="131" t="s">
        <v>988</v>
      </c>
      <c r="C21" s="129">
        <v>1</v>
      </c>
      <c r="D21" s="129">
        <v>100000</v>
      </c>
      <c r="E21" s="129">
        <v>1080</v>
      </c>
      <c r="F21" s="132" t="s">
        <v>91</v>
      </c>
      <c r="G21" s="201" t="s">
        <v>989</v>
      </c>
      <c r="H21" s="202" t="s">
        <v>928</v>
      </c>
      <c r="I21" s="202"/>
      <c r="J21" s="202"/>
      <c r="K21" s="202"/>
      <c r="L21" s="202"/>
      <c r="M21" s="202"/>
      <c r="N21" s="202" t="s">
        <v>944</v>
      </c>
      <c r="O21" s="202" t="s">
        <v>945</v>
      </c>
      <c r="P21" s="202" t="s">
        <v>946</v>
      </c>
      <c r="Q21" s="202" t="s">
        <v>947</v>
      </c>
      <c r="R21" s="203" t="s">
        <v>948</v>
      </c>
    </row>
    <row r="22" spans="1:18">
      <c r="A22" s="128">
        <v>1678</v>
      </c>
      <c r="B22" s="131" t="s">
        <v>990</v>
      </c>
      <c r="C22" s="129">
        <v>1</v>
      </c>
      <c r="D22" s="129">
        <v>49999</v>
      </c>
      <c r="E22" s="129">
        <v>720</v>
      </c>
      <c r="F22" s="132" t="s">
        <v>10</v>
      </c>
      <c r="G22" s="201" t="s">
        <v>991</v>
      </c>
      <c r="H22" s="202" t="s">
        <v>976</v>
      </c>
      <c r="I22" s="202"/>
      <c r="J22" s="202"/>
      <c r="K22" s="202"/>
      <c r="L22" s="202"/>
      <c r="M22" s="202"/>
      <c r="N22" s="202" t="s">
        <v>949</v>
      </c>
      <c r="O22" s="202" t="s">
        <v>950</v>
      </c>
      <c r="P22" s="202" t="s">
        <v>951</v>
      </c>
      <c r="Q22" s="202" t="s">
        <v>952</v>
      </c>
      <c r="R22" s="203" t="s">
        <v>953</v>
      </c>
    </row>
    <row r="23" spans="1:18">
      <c r="A23" s="128">
        <v>1679</v>
      </c>
      <c r="B23" s="131" t="s">
        <v>992</v>
      </c>
      <c r="C23" s="129">
        <v>1</v>
      </c>
      <c r="D23" s="129">
        <v>17122</v>
      </c>
      <c r="E23" s="129">
        <v>269</v>
      </c>
      <c r="F23" s="132" t="s">
        <v>91</v>
      </c>
      <c r="G23" s="201" t="s">
        <v>954</v>
      </c>
      <c r="H23" s="202" t="s">
        <v>929</v>
      </c>
      <c r="I23" s="202"/>
      <c r="J23" s="202"/>
      <c r="K23" s="202"/>
      <c r="L23" s="202"/>
      <c r="M23" s="202"/>
      <c r="N23" s="202" t="s">
        <v>955</v>
      </c>
      <c r="O23" s="202" t="s">
        <v>956</v>
      </c>
      <c r="P23" s="202" t="s">
        <v>957</v>
      </c>
      <c r="Q23" s="202" t="s">
        <v>958</v>
      </c>
      <c r="R23" s="203" t="s">
        <v>959</v>
      </c>
    </row>
    <row r="24" spans="1:18">
      <c r="A24" s="128">
        <v>1680</v>
      </c>
      <c r="B24" s="131" t="s">
        <v>993</v>
      </c>
      <c r="C24" s="129">
        <v>1</v>
      </c>
      <c r="D24" s="129">
        <v>51000</v>
      </c>
      <c r="E24" s="129">
        <v>560</v>
      </c>
      <c r="F24" s="132" t="s">
        <v>91</v>
      </c>
      <c r="G24" s="201" t="s">
        <v>994</v>
      </c>
      <c r="H24" s="202" t="s">
        <v>930</v>
      </c>
      <c r="I24" s="202"/>
      <c r="J24" s="202"/>
      <c r="K24" s="202"/>
      <c r="L24" s="202"/>
      <c r="M24" s="202"/>
      <c r="N24" s="202" t="s">
        <v>960</v>
      </c>
      <c r="O24" s="202" t="s">
        <v>961</v>
      </c>
      <c r="P24" s="202" t="s">
        <v>962</v>
      </c>
      <c r="Q24" s="202" t="s">
        <v>963</v>
      </c>
      <c r="R24" s="203" t="s">
        <v>964</v>
      </c>
    </row>
    <row r="25" spans="1:18">
      <c r="A25" s="128">
        <v>1681</v>
      </c>
      <c r="B25" s="131" t="s">
        <v>995</v>
      </c>
      <c r="C25" s="129">
        <v>1</v>
      </c>
      <c r="D25" s="129">
        <v>15500</v>
      </c>
      <c r="E25" s="129">
        <v>288</v>
      </c>
      <c r="F25" s="132" t="s">
        <v>12</v>
      </c>
      <c r="G25" s="201" t="s">
        <v>965</v>
      </c>
      <c r="H25" s="202" t="s">
        <v>931</v>
      </c>
      <c r="I25" s="202"/>
      <c r="J25" s="202"/>
      <c r="K25" s="202"/>
      <c r="L25" s="202"/>
      <c r="M25" s="202"/>
      <c r="N25" s="202" t="s">
        <v>966</v>
      </c>
      <c r="O25" s="202" t="s">
        <v>967</v>
      </c>
      <c r="P25" s="202" t="s">
        <v>968</v>
      </c>
      <c r="Q25" s="202" t="s">
        <v>969</v>
      </c>
      <c r="R25" s="203" t="s">
        <v>970</v>
      </c>
    </row>
    <row r="26" spans="1:18">
      <c r="A26" s="128">
        <v>1682</v>
      </c>
      <c r="B26" s="131" t="s">
        <v>996</v>
      </c>
      <c r="C26" s="129">
        <v>1</v>
      </c>
      <c r="D26" s="129">
        <v>53900</v>
      </c>
      <c r="E26" s="129">
        <v>650</v>
      </c>
      <c r="F26" s="132" t="s">
        <v>13</v>
      </c>
      <c r="G26" s="201" t="s">
        <v>997</v>
      </c>
      <c r="H26" s="202" t="s">
        <v>977</v>
      </c>
      <c r="I26" s="202"/>
      <c r="J26" s="202"/>
      <c r="K26" s="202"/>
      <c r="L26" s="202"/>
      <c r="M26" s="202"/>
      <c r="N26" s="202" t="s">
        <v>971</v>
      </c>
      <c r="O26" s="202" t="s">
        <v>972</v>
      </c>
      <c r="P26" s="202" t="s">
        <v>973</v>
      </c>
      <c r="Q26" s="202" t="s">
        <v>974</v>
      </c>
      <c r="R26" s="203" t="s">
        <v>975</v>
      </c>
    </row>
    <row r="27" spans="1:18">
      <c r="A27" s="128">
        <v>1683</v>
      </c>
      <c r="B27" s="131" t="s">
        <v>1026</v>
      </c>
      <c r="C27" s="129">
        <v>1</v>
      </c>
      <c r="D27" s="129">
        <v>89098</v>
      </c>
      <c r="E27" s="129">
        <v>1109</v>
      </c>
      <c r="F27" s="132" t="s">
        <v>19</v>
      </c>
      <c r="G27" s="201" t="s">
        <v>1027</v>
      </c>
      <c r="H27" s="202" t="s">
        <v>1103</v>
      </c>
      <c r="I27" s="202" t="s">
        <v>1017</v>
      </c>
      <c r="J27" s="202"/>
      <c r="K27" s="202"/>
      <c r="L27" s="202"/>
      <c r="M27" s="202"/>
      <c r="N27" s="202" t="s">
        <v>1028</v>
      </c>
      <c r="O27" s="202" t="s">
        <v>1029</v>
      </c>
      <c r="P27" s="202" t="s">
        <v>1030</v>
      </c>
      <c r="Q27" s="202" t="s">
        <v>1031</v>
      </c>
      <c r="R27" s="203" t="s">
        <v>1032</v>
      </c>
    </row>
    <row r="28" spans="1:18">
      <c r="A28" s="128">
        <v>1684</v>
      </c>
      <c r="B28" s="131" t="s">
        <v>1033</v>
      </c>
      <c r="C28" s="129">
        <v>1</v>
      </c>
      <c r="D28" s="129">
        <v>17000</v>
      </c>
      <c r="E28" s="129">
        <v>358</v>
      </c>
      <c r="F28" s="132" t="s">
        <v>16</v>
      </c>
      <c r="G28" s="201" t="s">
        <v>1034</v>
      </c>
      <c r="H28" s="202" t="s">
        <v>1007</v>
      </c>
      <c r="I28" s="202"/>
      <c r="J28" s="202"/>
      <c r="K28" s="202"/>
      <c r="L28" s="202"/>
      <c r="M28" s="202"/>
      <c r="N28" s="202" t="s">
        <v>1035</v>
      </c>
      <c r="O28" s="202" t="s">
        <v>1036</v>
      </c>
      <c r="P28" s="202" t="s">
        <v>1037</v>
      </c>
      <c r="Q28" s="202" t="s">
        <v>1038</v>
      </c>
      <c r="R28" s="203" t="s">
        <v>1039</v>
      </c>
    </row>
    <row r="29" spans="1:18">
      <c r="A29" s="128">
        <v>1685</v>
      </c>
      <c r="B29" s="131" t="s">
        <v>1040</v>
      </c>
      <c r="C29" s="129">
        <v>1</v>
      </c>
      <c r="D29" s="129">
        <v>16000</v>
      </c>
      <c r="E29" s="129">
        <v>349</v>
      </c>
      <c r="F29" s="132" t="s">
        <v>16</v>
      </c>
      <c r="G29" s="201" t="s">
        <v>1041</v>
      </c>
      <c r="H29" s="202" t="s">
        <v>1008</v>
      </c>
      <c r="I29" s="202"/>
      <c r="J29" s="202"/>
      <c r="K29" s="202"/>
      <c r="L29" s="202"/>
      <c r="M29" s="202"/>
      <c r="N29" s="202" t="s">
        <v>1042</v>
      </c>
      <c r="O29" s="202" t="s">
        <v>1043</v>
      </c>
      <c r="P29" s="202" t="s">
        <v>1044</v>
      </c>
      <c r="Q29" s="202" t="s">
        <v>1045</v>
      </c>
      <c r="R29" s="203" t="s">
        <v>1046</v>
      </c>
    </row>
    <row r="30" spans="1:18">
      <c r="A30" s="128">
        <v>1686</v>
      </c>
      <c r="B30" s="131" t="s">
        <v>1047</v>
      </c>
      <c r="C30" s="129">
        <v>1</v>
      </c>
      <c r="D30" s="129">
        <v>66000</v>
      </c>
      <c r="E30" s="129">
        <v>723</v>
      </c>
      <c r="F30" s="132" t="s">
        <v>10</v>
      </c>
      <c r="G30" s="201" t="s">
        <v>1048</v>
      </c>
      <c r="H30" s="202" t="s">
        <v>1018</v>
      </c>
      <c r="I30" s="202"/>
      <c r="J30" s="202"/>
      <c r="K30" s="202"/>
      <c r="L30" s="202"/>
      <c r="M30" s="202"/>
      <c r="N30" s="202" t="s">
        <v>1049</v>
      </c>
      <c r="O30" s="202" t="s">
        <v>1050</v>
      </c>
      <c r="P30" s="202" t="s">
        <v>1051</v>
      </c>
      <c r="Q30" s="202" t="s">
        <v>1052</v>
      </c>
      <c r="R30" s="203" t="s">
        <v>1053</v>
      </c>
    </row>
    <row r="31" spans="1:18">
      <c r="A31" s="128">
        <v>1687</v>
      </c>
      <c r="B31" s="131" t="s">
        <v>1054</v>
      </c>
      <c r="C31" s="129">
        <v>1</v>
      </c>
      <c r="D31" s="129">
        <v>89990</v>
      </c>
      <c r="E31" s="129">
        <v>1050</v>
      </c>
      <c r="F31" s="132" t="s">
        <v>10</v>
      </c>
      <c r="G31" s="201" t="s">
        <v>1055</v>
      </c>
      <c r="H31" s="202" t="s">
        <v>1019</v>
      </c>
      <c r="I31" s="202"/>
      <c r="J31" s="202"/>
      <c r="K31" s="202"/>
      <c r="L31" s="202"/>
      <c r="M31" s="202"/>
      <c r="N31" s="202" t="s">
        <v>1056</v>
      </c>
      <c r="O31" s="202" t="s">
        <v>1057</v>
      </c>
      <c r="P31" s="202" t="s">
        <v>1058</v>
      </c>
      <c r="Q31" s="202" t="s">
        <v>1059</v>
      </c>
      <c r="R31" s="203" t="s">
        <v>1060</v>
      </c>
    </row>
    <row r="32" spans="1:18">
      <c r="A32" s="128">
        <v>1688</v>
      </c>
      <c r="B32" s="131" t="s">
        <v>1061</v>
      </c>
      <c r="C32" s="129">
        <v>1</v>
      </c>
      <c r="D32" s="129">
        <v>89900</v>
      </c>
      <c r="E32" s="129">
        <v>980</v>
      </c>
      <c r="F32" s="132" t="s">
        <v>10</v>
      </c>
      <c r="G32" s="201" t="s">
        <v>1062</v>
      </c>
      <c r="H32" s="202" t="s">
        <v>1020</v>
      </c>
      <c r="I32" s="202"/>
      <c r="J32" s="202"/>
      <c r="K32" s="202"/>
      <c r="L32" s="202"/>
      <c r="M32" s="202"/>
      <c r="N32" s="202" t="s">
        <v>1063</v>
      </c>
      <c r="O32" s="202" t="s">
        <v>1064</v>
      </c>
      <c r="P32" s="202" t="s">
        <v>1065</v>
      </c>
      <c r="Q32" s="202" t="s">
        <v>1066</v>
      </c>
      <c r="R32" s="203" t="s">
        <v>1067</v>
      </c>
    </row>
    <row r="33" spans="1:18">
      <c r="A33" s="128">
        <v>1689</v>
      </c>
      <c r="B33" s="131" t="s">
        <v>1068</v>
      </c>
      <c r="C33" s="129">
        <v>1</v>
      </c>
      <c r="D33" s="129">
        <v>84990</v>
      </c>
      <c r="E33" s="129">
        <v>930</v>
      </c>
      <c r="F33" s="132" t="s">
        <v>10</v>
      </c>
      <c r="G33" s="201" t="s">
        <v>1069</v>
      </c>
      <c r="H33" s="202" t="s">
        <v>1021</v>
      </c>
      <c r="I33" s="202"/>
      <c r="J33" s="202"/>
      <c r="K33" s="202"/>
      <c r="L33" s="202"/>
      <c r="M33" s="202"/>
      <c r="N33" s="202" t="s">
        <v>1070</v>
      </c>
      <c r="O33" s="202" t="s">
        <v>1071</v>
      </c>
      <c r="P33" s="202" t="s">
        <v>1072</v>
      </c>
      <c r="Q33" s="202" t="s">
        <v>1073</v>
      </c>
      <c r="R33" s="203" t="s">
        <v>1074</v>
      </c>
    </row>
    <row r="34" spans="1:18">
      <c r="A34" s="128">
        <v>1690</v>
      </c>
      <c r="B34" s="131" t="s">
        <v>1081</v>
      </c>
      <c r="C34" s="129">
        <v>1</v>
      </c>
      <c r="D34" s="129">
        <v>20460</v>
      </c>
      <c r="E34" s="129">
        <v>280</v>
      </c>
      <c r="F34" s="132" t="s">
        <v>9</v>
      </c>
      <c r="G34" s="201" t="s">
        <v>1075</v>
      </c>
      <c r="H34" s="202" t="s">
        <v>1022</v>
      </c>
      <c r="I34" s="202"/>
      <c r="J34" s="202"/>
      <c r="K34" s="202"/>
      <c r="L34" s="202"/>
      <c r="M34" s="202"/>
      <c r="N34" s="202" t="s">
        <v>1076</v>
      </c>
      <c r="O34" s="202" t="s">
        <v>1077</v>
      </c>
      <c r="P34" s="202" t="s">
        <v>1078</v>
      </c>
      <c r="Q34" s="202" t="s">
        <v>1079</v>
      </c>
      <c r="R34" s="203" t="s">
        <v>1080</v>
      </c>
    </row>
    <row r="35" spans="1:18">
      <c r="A35" s="128">
        <v>1691</v>
      </c>
      <c r="B35" s="131" t="s">
        <v>1082</v>
      </c>
      <c r="C35" s="129">
        <v>1</v>
      </c>
      <c r="D35" s="129">
        <v>77777</v>
      </c>
      <c r="E35" s="129">
        <v>950</v>
      </c>
      <c r="F35" s="132" t="s">
        <v>10</v>
      </c>
      <c r="G35" s="201" t="s">
        <v>1083</v>
      </c>
      <c r="H35" s="202" t="s">
        <v>1104</v>
      </c>
      <c r="I35" s="202" t="s">
        <v>1023</v>
      </c>
      <c r="J35" s="202"/>
      <c r="K35" s="202"/>
      <c r="L35" s="202"/>
      <c r="M35" s="202"/>
      <c r="N35" s="202" t="s">
        <v>1084</v>
      </c>
      <c r="O35" s="202" t="s">
        <v>1085</v>
      </c>
      <c r="P35" s="202" t="s">
        <v>1086</v>
      </c>
      <c r="Q35" s="202" t="s">
        <v>1087</v>
      </c>
      <c r="R35" s="203" t="s">
        <v>1088</v>
      </c>
    </row>
    <row r="36" spans="1:18">
      <c r="A36" s="128">
        <v>1692</v>
      </c>
      <c r="B36" s="131" t="s">
        <v>1089</v>
      </c>
      <c r="C36" s="129">
        <v>1</v>
      </c>
      <c r="D36" s="129">
        <v>59999</v>
      </c>
      <c r="E36" s="129">
        <v>670</v>
      </c>
      <c r="F36" s="132" t="s">
        <v>10</v>
      </c>
      <c r="G36" s="201" t="s">
        <v>1090</v>
      </c>
      <c r="H36" s="202" t="s">
        <v>1024</v>
      </c>
      <c r="I36" s="202"/>
      <c r="J36" s="202"/>
      <c r="K36" s="202"/>
      <c r="L36" s="202"/>
      <c r="M36" s="202"/>
      <c r="N36" s="202" t="s">
        <v>1091</v>
      </c>
      <c r="O36" s="202" t="s">
        <v>1092</v>
      </c>
      <c r="P36" s="202" t="s">
        <v>1093</v>
      </c>
      <c r="Q36" s="202" t="s">
        <v>1094</v>
      </c>
      <c r="R36" s="203" t="s">
        <v>1095</v>
      </c>
    </row>
    <row r="37" spans="1:18">
      <c r="A37" s="128">
        <v>1693</v>
      </c>
      <c r="B37" s="131" t="s">
        <v>1096</v>
      </c>
      <c r="C37" s="129">
        <v>1</v>
      </c>
      <c r="D37" s="129">
        <v>53399</v>
      </c>
      <c r="E37" s="129">
        <v>630</v>
      </c>
      <c r="F37" s="132" t="s">
        <v>10</v>
      </c>
      <c r="G37" s="201" t="s">
        <v>1097</v>
      </c>
      <c r="H37" s="202" t="s">
        <v>1025</v>
      </c>
      <c r="I37" s="202" t="s">
        <v>1105</v>
      </c>
      <c r="J37" s="202" t="s">
        <v>1106</v>
      </c>
      <c r="K37" s="202"/>
      <c r="L37" s="202"/>
      <c r="M37" s="202"/>
      <c r="N37" s="202" t="s">
        <v>1098</v>
      </c>
      <c r="O37" s="202" t="s">
        <v>1099</v>
      </c>
      <c r="P37" s="202" t="s">
        <v>1100</v>
      </c>
      <c r="Q37" s="202" t="s">
        <v>1101</v>
      </c>
      <c r="R37" s="203" t="s">
        <v>1102</v>
      </c>
    </row>
    <row r="38" spans="1:18">
      <c r="A38" s="128">
        <v>1694</v>
      </c>
      <c r="B38" s="131" t="s">
        <v>1132</v>
      </c>
      <c r="C38" s="129">
        <v>1</v>
      </c>
      <c r="D38" s="129">
        <v>100000</v>
      </c>
      <c r="E38" s="129">
        <v>1130</v>
      </c>
      <c r="F38" s="132" t="s">
        <v>17</v>
      </c>
      <c r="G38" s="201" t="s">
        <v>1133</v>
      </c>
      <c r="H38" s="202" t="s">
        <v>1127</v>
      </c>
      <c r="I38" s="202"/>
      <c r="J38" s="202"/>
      <c r="K38" s="202"/>
      <c r="L38" s="202"/>
      <c r="M38" s="202"/>
      <c r="N38" s="202" t="s">
        <v>1134</v>
      </c>
      <c r="O38" s="202" t="s">
        <v>1135</v>
      </c>
      <c r="P38" s="202" t="s">
        <v>1136</v>
      </c>
      <c r="Q38" s="202" t="s">
        <v>1137</v>
      </c>
      <c r="R38" s="203" t="s">
        <v>1138</v>
      </c>
    </row>
    <row r="39" spans="1:18">
      <c r="A39" s="128">
        <v>1695</v>
      </c>
      <c r="B39" s="131" t="s">
        <v>1139</v>
      </c>
      <c r="C39" s="129">
        <v>1</v>
      </c>
      <c r="D39" s="129">
        <v>46500</v>
      </c>
      <c r="E39" s="129">
        <v>550</v>
      </c>
      <c r="F39" s="132" t="s">
        <v>11</v>
      </c>
      <c r="G39" s="201" t="s">
        <v>1140</v>
      </c>
      <c r="H39" s="202" t="s">
        <v>1182</v>
      </c>
      <c r="I39" s="202"/>
      <c r="J39" s="202"/>
      <c r="K39" s="202"/>
      <c r="L39" s="202"/>
      <c r="M39" s="202"/>
      <c r="N39" s="202" t="s">
        <v>1141</v>
      </c>
      <c r="O39" s="202" t="s">
        <v>1142</v>
      </c>
      <c r="P39" s="202" t="s">
        <v>1143</v>
      </c>
      <c r="Q39" s="202" t="s">
        <v>1144</v>
      </c>
      <c r="R39" s="203" t="s">
        <v>1145</v>
      </c>
    </row>
    <row r="40" spans="1:18">
      <c r="A40" s="128">
        <v>1696</v>
      </c>
      <c r="B40" s="131" t="s">
        <v>1146</v>
      </c>
      <c r="C40" s="129">
        <v>1</v>
      </c>
      <c r="D40" s="129">
        <v>49800</v>
      </c>
      <c r="E40" s="129">
        <v>690</v>
      </c>
      <c r="F40" s="132" t="s">
        <v>9</v>
      </c>
      <c r="G40" s="201" t="s">
        <v>1147</v>
      </c>
      <c r="H40" s="202" t="s">
        <v>1183</v>
      </c>
      <c r="I40" s="202"/>
      <c r="J40" s="202"/>
      <c r="K40" s="202"/>
      <c r="L40" s="202"/>
      <c r="M40" s="202"/>
      <c r="N40" s="202" t="s">
        <v>1148</v>
      </c>
      <c r="O40" s="202" t="s">
        <v>1149</v>
      </c>
      <c r="P40" s="202" t="s">
        <v>1150</v>
      </c>
      <c r="Q40" s="202" t="s">
        <v>1151</v>
      </c>
      <c r="R40" s="203" t="s">
        <v>1152</v>
      </c>
    </row>
    <row r="41" spans="1:18">
      <c r="A41" s="128">
        <v>1697</v>
      </c>
      <c r="B41" s="131" t="s">
        <v>1153</v>
      </c>
      <c r="C41" s="129">
        <v>1</v>
      </c>
      <c r="D41" s="129">
        <v>10850</v>
      </c>
      <c r="E41" s="129">
        <v>229</v>
      </c>
      <c r="F41" s="132" t="s">
        <v>9</v>
      </c>
      <c r="G41" s="201" t="s">
        <v>1154</v>
      </c>
      <c r="H41" s="202" t="s">
        <v>1128</v>
      </c>
      <c r="I41" s="202"/>
      <c r="J41" s="202"/>
      <c r="K41" s="202"/>
      <c r="L41" s="202"/>
      <c r="M41" s="202"/>
      <c r="N41" s="202" t="s">
        <v>1184</v>
      </c>
      <c r="O41" s="202" t="s">
        <v>1155</v>
      </c>
      <c r="P41" s="202" t="s">
        <v>1156</v>
      </c>
      <c r="Q41" s="202" t="s">
        <v>1157</v>
      </c>
      <c r="R41" s="203" t="s">
        <v>1158</v>
      </c>
    </row>
    <row r="42" spans="1:18">
      <c r="A42" s="128">
        <v>1698</v>
      </c>
      <c r="B42" s="131" t="s">
        <v>1159</v>
      </c>
      <c r="C42" s="129">
        <v>1</v>
      </c>
      <c r="D42" s="129">
        <v>10000</v>
      </c>
      <c r="E42" s="129">
        <v>399</v>
      </c>
      <c r="F42" s="132" t="s">
        <v>13</v>
      </c>
      <c r="G42" s="201" t="s">
        <v>1160</v>
      </c>
      <c r="H42" s="202" t="s">
        <v>1129</v>
      </c>
      <c r="I42" s="202" t="s">
        <v>1180</v>
      </c>
      <c r="J42" s="202"/>
      <c r="K42" s="202"/>
      <c r="L42" s="202"/>
      <c r="M42" s="202"/>
      <c r="N42" s="202" t="s">
        <v>1161</v>
      </c>
      <c r="O42" s="202" t="s">
        <v>1162</v>
      </c>
      <c r="P42" s="202" t="s">
        <v>1163</v>
      </c>
      <c r="Q42" s="202" t="s">
        <v>1164</v>
      </c>
      <c r="R42" s="203" t="s">
        <v>1165</v>
      </c>
    </row>
    <row r="43" spans="1:18">
      <c r="A43" s="128">
        <v>1699</v>
      </c>
      <c r="B43" s="131" t="s">
        <v>1166</v>
      </c>
      <c r="C43" s="129">
        <v>1</v>
      </c>
      <c r="D43" s="129">
        <v>39480</v>
      </c>
      <c r="E43" s="129">
        <v>520</v>
      </c>
      <c r="F43" s="132" t="s">
        <v>13</v>
      </c>
      <c r="G43" s="201" t="s">
        <v>1167</v>
      </c>
      <c r="H43" s="202" t="s">
        <v>1130</v>
      </c>
      <c r="I43" s="202"/>
      <c r="J43" s="202"/>
      <c r="K43" s="202"/>
      <c r="L43" s="202"/>
      <c r="M43" s="202"/>
      <c r="N43" s="202" t="s">
        <v>1168</v>
      </c>
      <c r="O43" s="202" t="s">
        <v>1169</v>
      </c>
      <c r="P43" s="202" t="s">
        <v>1170</v>
      </c>
      <c r="Q43" s="202" t="s">
        <v>1171</v>
      </c>
      <c r="R43" s="203" t="s">
        <v>1172</v>
      </c>
    </row>
    <row r="44" spans="1:18">
      <c r="A44" s="128">
        <v>1700</v>
      </c>
      <c r="B44" s="131" t="s">
        <v>1173</v>
      </c>
      <c r="C44" s="129">
        <v>1</v>
      </c>
      <c r="D44" s="129">
        <v>18000</v>
      </c>
      <c r="E44" s="129">
        <v>298</v>
      </c>
      <c r="F44" s="132" t="s">
        <v>10</v>
      </c>
      <c r="G44" s="201" t="s">
        <v>1174</v>
      </c>
      <c r="H44" s="202" t="s">
        <v>1181</v>
      </c>
      <c r="I44" s="202" t="s">
        <v>1131</v>
      </c>
      <c r="J44" s="202"/>
      <c r="K44" s="202"/>
      <c r="L44" s="202"/>
      <c r="M44" s="202"/>
      <c r="N44" s="202" t="s">
        <v>1175</v>
      </c>
      <c r="O44" s="202" t="s">
        <v>1176</v>
      </c>
      <c r="P44" s="202" t="s">
        <v>1177</v>
      </c>
      <c r="Q44" s="202" t="s">
        <v>1178</v>
      </c>
      <c r="R44" s="203" t="s">
        <v>1179</v>
      </c>
    </row>
    <row r="45" spans="1:18">
      <c r="A45" s="128">
        <v>1701</v>
      </c>
      <c r="B45" s="131" t="s">
        <v>1208</v>
      </c>
      <c r="C45" s="129">
        <v>1</v>
      </c>
      <c r="D45" s="129">
        <v>12000</v>
      </c>
      <c r="E45" s="129">
        <v>270</v>
      </c>
      <c r="F45" s="132" t="s">
        <v>11</v>
      </c>
      <c r="G45" s="201" t="s">
        <v>1209</v>
      </c>
      <c r="H45" s="202" t="s">
        <v>1250</v>
      </c>
      <c r="I45" s="202"/>
      <c r="J45" s="202"/>
      <c r="K45" s="202"/>
      <c r="L45" s="202"/>
      <c r="M45" s="202"/>
      <c r="N45" s="202" t="s">
        <v>1210</v>
      </c>
      <c r="O45" s="202" t="s">
        <v>1211</v>
      </c>
      <c r="P45" s="202" t="s">
        <v>1212</v>
      </c>
      <c r="Q45" s="202" t="s">
        <v>1213</v>
      </c>
      <c r="R45" s="203" t="s">
        <v>1214</v>
      </c>
    </row>
    <row r="46" spans="1:18">
      <c r="A46" s="128">
        <v>1702</v>
      </c>
      <c r="B46" s="131" t="s">
        <v>1215</v>
      </c>
      <c r="C46" s="129">
        <v>1</v>
      </c>
      <c r="D46" s="129">
        <v>31600</v>
      </c>
      <c r="E46" s="129">
        <v>490</v>
      </c>
      <c r="F46" s="132" t="s">
        <v>17</v>
      </c>
      <c r="G46" s="201" t="s">
        <v>1216</v>
      </c>
      <c r="H46" s="202" t="s">
        <v>1204</v>
      </c>
      <c r="I46" s="202"/>
      <c r="J46" s="202"/>
      <c r="K46" s="202"/>
      <c r="L46" s="202"/>
      <c r="M46" s="202"/>
      <c r="N46" s="202" t="s">
        <v>1217</v>
      </c>
      <c r="O46" s="202" t="s">
        <v>1218</v>
      </c>
      <c r="P46" s="202" t="s">
        <v>1219</v>
      </c>
      <c r="Q46" s="202" t="s">
        <v>1220</v>
      </c>
      <c r="R46" s="203" t="s">
        <v>1221</v>
      </c>
    </row>
    <row r="47" spans="1:18">
      <c r="A47" s="128">
        <v>1703</v>
      </c>
      <c r="B47" s="131" t="s">
        <v>1222</v>
      </c>
      <c r="C47" s="129">
        <v>1</v>
      </c>
      <c r="D47" s="129">
        <v>10828</v>
      </c>
      <c r="E47" s="129">
        <v>228</v>
      </c>
      <c r="F47" s="132" t="s">
        <v>9</v>
      </c>
      <c r="G47" s="201" t="s">
        <v>1223</v>
      </c>
      <c r="H47" s="202" t="s">
        <v>1205</v>
      </c>
      <c r="I47" s="202" t="s">
        <v>1251</v>
      </c>
      <c r="J47" s="202"/>
      <c r="K47" s="202"/>
      <c r="L47" s="202"/>
      <c r="M47" s="202"/>
      <c r="N47" s="202" t="s">
        <v>1224</v>
      </c>
      <c r="O47" s="202" t="s">
        <v>1225</v>
      </c>
      <c r="P47" s="202" t="s">
        <v>1226</v>
      </c>
      <c r="Q47" s="202" t="s">
        <v>1227</v>
      </c>
      <c r="R47" s="203" t="s">
        <v>1228</v>
      </c>
    </row>
    <row r="48" spans="1:18">
      <c r="A48" s="128">
        <v>1704</v>
      </c>
      <c r="B48" s="131" t="s">
        <v>1229</v>
      </c>
      <c r="C48" s="129">
        <v>1</v>
      </c>
      <c r="D48" s="129">
        <v>76000</v>
      </c>
      <c r="E48" s="129">
        <v>920</v>
      </c>
      <c r="F48" s="132" t="s">
        <v>22</v>
      </c>
      <c r="G48" s="201" t="s">
        <v>1230</v>
      </c>
      <c r="H48" s="202" t="s">
        <v>1206</v>
      </c>
      <c r="I48" s="202"/>
      <c r="J48" s="202"/>
      <c r="K48" s="202"/>
      <c r="L48" s="202"/>
      <c r="M48" s="202"/>
      <c r="N48" s="202" t="s">
        <v>1231</v>
      </c>
      <c r="O48" s="202" t="s">
        <v>1232</v>
      </c>
      <c r="P48" s="202" t="s">
        <v>1233</v>
      </c>
      <c r="Q48" s="202" t="s">
        <v>1234</v>
      </c>
      <c r="R48" s="203" t="s">
        <v>1235</v>
      </c>
    </row>
    <row r="49" spans="1:18">
      <c r="A49" s="128">
        <v>1705</v>
      </c>
      <c r="B49" s="131" t="s">
        <v>1236</v>
      </c>
      <c r="C49" s="129">
        <v>1</v>
      </c>
      <c r="D49" s="129">
        <v>49999</v>
      </c>
      <c r="E49" s="129">
        <v>560</v>
      </c>
      <c r="F49" s="132" t="s">
        <v>91</v>
      </c>
      <c r="G49" s="201" t="s">
        <v>1237</v>
      </c>
      <c r="H49" s="202" t="s">
        <v>1207</v>
      </c>
      <c r="I49" s="202"/>
      <c r="J49" s="202"/>
      <c r="K49" s="202"/>
      <c r="L49" s="202"/>
      <c r="M49" s="202"/>
      <c r="N49" s="202" t="s">
        <v>1238</v>
      </c>
      <c r="O49" s="202" t="s">
        <v>1239</v>
      </c>
      <c r="P49" s="202" t="s">
        <v>1240</v>
      </c>
      <c r="Q49" s="202" t="s">
        <v>1241</v>
      </c>
      <c r="R49" s="203" t="s">
        <v>1242</v>
      </c>
    </row>
    <row r="50" spans="1:18">
      <c r="A50" s="128">
        <v>1706</v>
      </c>
      <c r="B50" s="131" t="s">
        <v>1243</v>
      </c>
      <c r="C50" s="129">
        <v>1</v>
      </c>
      <c r="D50" s="129">
        <v>88888</v>
      </c>
      <c r="E50" s="129">
        <v>980</v>
      </c>
      <c r="F50" s="132" t="s">
        <v>91</v>
      </c>
      <c r="G50" s="201" t="s">
        <v>1244</v>
      </c>
      <c r="H50" s="202" t="s">
        <v>1252</v>
      </c>
      <c r="I50" s="202"/>
      <c r="J50" s="202"/>
      <c r="K50" s="202"/>
      <c r="L50" s="202"/>
      <c r="M50" s="202"/>
      <c r="N50" s="202" t="s">
        <v>1245</v>
      </c>
      <c r="O50" s="202" t="s">
        <v>1246</v>
      </c>
      <c r="P50" s="202" t="s">
        <v>1247</v>
      </c>
      <c r="Q50" s="202" t="s">
        <v>1248</v>
      </c>
      <c r="R50" s="203" t="s">
        <v>1249</v>
      </c>
    </row>
    <row r="51" spans="1:18">
      <c r="A51" s="128">
        <v>1707</v>
      </c>
      <c r="B51" s="131" t="s">
        <v>1263</v>
      </c>
      <c r="C51" s="129">
        <v>1</v>
      </c>
      <c r="D51" s="129">
        <v>18000</v>
      </c>
      <c r="E51" s="129">
        <v>227</v>
      </c>
      <c r="F51" s="132" t="s">
        <v>10</v>
      </c>
      <c r="G51" s="201" t="s">
        <v>1264</v>
      </c>
      <c r="H51" s="202" t="s">
        <v>1312</v>
      </c>
      <c r="I51" s="202"/>
      <c r="J51" s="202"/>
      <c r="K51" s="202"/>
      <c r="L51" s="202"/>
      <c r="M51" s="202"/>
      <c r="N51" s="202" t="s">
        <v>1265</v>
      </c>
      <c r="O51" s="202" t="s">
        <v>1266</v>
      </c>
      <c r="P51" s="202" t="s">
        <v>1267</v>
      </c>
      <c r="Q51" s="202" t="s">
        <v>1268</v>
      </c>
      <c r="R51" s="203" t="s">
        <v>1269</v>
      </c>
    </row>
    <row r="52" spans="1:18">
      <c r="A52" s="128">
        <v>1708</v>
      </c>
      <c r="B52" s="131" t="s">
        <v>1270</v>
      </c>
      <c r="C52" s="129">
        <v>1</v>
      </c>
      <c r="D52" s="129">
        <v>32000</v>
      </c>
      <c r="E52" s="129">
        <v>420</v>
      </c>
      <c r="F52" s="132" t="s">
        <v>10</v>
      </c>
      <c r="G52" s="201" t="s">
        <v>1271</v>
      </c>
      <c r="H52" s="202" t="s">
        <v>1314</v>
      </c>
      <c r="I52" s="202" t="s">
        <v>1313</v>
      </c>
      <c r="J52" s="202"/>
      <c r="K52" s="202"/>
      <c r="L52" s="202"/>
      <c r="M52" s="202"/>
      <c r="N52" s="202" t="s">
        <v>1272</v>
      </c>
      <c r="O52" s="202" t="s">
        <v>1273</v>
      </c>
      <c r="P52" s="202" t="s">
        <v>1274</v>
      </c>
      <c r="Q52" s="202" t="s">
        <v>1275</v>
      </c>
      <c r="R52" s="203" t="s">
        <v>1276</v>
      </c>
    </row>
    <row r="53" spans="1:18">
      <c r="A53" s="128">
        <v>1709</v>
      </c>
      <c r="B53" s="131" t="s">
        <v>1277</v>
      </c>
      <c r="C53" s="129">
        <v>1</v>
      </c>
      <c r="D53" s="129">
        <v>28000</v>
      </c>
      <c r="E53" s="129">
        <v>440</v>
      </c>
      <c r="F53" s="132" t="s">
        <v>16</v>
      </c>
      <c r="G53" s="201" t="s">
        <v>1278</v>
      </c>
      <c r="H53" s="202" t="s">
        <v>1315</v>
      </c>
      <c r="I53" s="202" t="s">
        <v>1260</v>
      </c>
      <c r="J53" s="202"/>
      <c r="K53" s="202"/>
      <c r="L53" s="202"/>
      <c r="M53" s="202"/>
      <c r="N53" s="202" t="s">
        <v>1279</v>
      </c>
      <c r="O53" s="202" t="s">
        <v>1280</v>
      </c>
      <c r="P53" s="202" t="s">
        <v>1281</v>
      </c>
      <c r="Q53" s="202" t="s">
        <v>1282</v>
      </c>
      <c r="R53" s="203" t="s">
        <v>1283</v>
      </c>
    </row>
    <row r="54" spans="1:18">
      <c r="A54" s="128">
        <v>1710</v>
      </c>
      <c r="B54" s="131" t="s">
        <v>1284</v>
      </c>
      <c r="C54" s="129">
        <v>1</v>
      </c>
      <c r="D54" s="129">
        <v>53900</v>
      </c>
      <c r="E54" s="129">
        <v>640</v>
      </c>
      <c r="F54" s="132" t="s">
        <v>9</v>
      </c>
      <c r="G54" s="201" t="s">
        <v>1285</v>
      </c>
      <c r="H54" s="202" t="s">
        <v>1316</v>
      </c>
      <c r="I54" s="202" t="s">
        <v>1316</v>
      </c>
      <c r="J54" s="202"/>
      <c r="K54" s="202"/>
      <c r="L54" s="202"/>
      <c r="M54" s="202"/>
      <c r="N54" s="202" t="s">
        <v>1286</v>
      </c>
      <c r="O54" s="202" t="s">
        <v>1287</v>
      </c>
      <c r="P54" s="202" t="s">
        <v>1288</v>
      </c>
      <c r="Q54" s="202" t="s">
        <v>1289</v>
      </c>
      <c r="R54" s="203" t="s">
        <v>1290</v>
      </c>
    </row>
    <row r="55" spans="1:18">
      <c r="A55" s="128">
        <v>1711</v>
      </c>
      <c r="B55" s="131" t="s">
        <v>1291</v>
      </c>
      <c r="C55" s="129">
        <v>1</v>
      </c>
      <c r="D55" s="129">
        <v>13000</v>
      </c>
      <c r="E55" s="129">
        <v>193</v>
      </c>
      <c r="F55" s="132" t="s">
        <v>11</v>
      </c>
      <c r="G55" s="201" t="s">
        <v>1292</v>
      </c>
      <c r="H55" s="202" t="s">
        <v>1317</v>
      </c>
      <c r="I55" s="202" t="s">
        <v>1318</v>
      </c>
      <c r="J55" s="202" t="s">
        <v>1319</v>
      </c>
      <c r="K55" s="202" t="s">
        <v>1320</v>
      </c>
      <c r="L55" s="202" t="s">
        <v>1321</v>
      </c>
      <c r="M55" s="202"/>
      <c r="N55" s="202" t="s">
        <v>1293</v>
      </c>
      <c r="O55" s="202" t="s">
        <v>1294</v>
      </c>
      <c r="P55" s="202" t="s">
        <v>1295</v>
      </c>
      <c r="Q55" s="202" t="s">
        <v>1296</v>
      </c>
      <c r="R55" s="203" t="s">
        <v>1297</v>
      </c>
    </row>
    <row r="56" spans="1:18">
      <c r="A56" s="128">
        <v>1712</v>
      </c>
      <c r="B56" s="131" t="s">
        <v>1298</v>
      </c>
      <c r="C56" s="129">
        <v>1</v>
      </c>
      <c r="D56" s="129">
        <v>79800</v>
      </c>
      <c r="E56" s="129">
        <v>880</v>
      </c>
      <c r="F56" s="132" t="s">
        <v>10</v>
      </c>
      <c r="G56" s="201" t="s">
        <v>1299</v>
      </c>
      <c r="H56" s="202" t="s">
        <v>1261</v>
      </c>
      <c r="I56" s="202" t="s">
        <v>1322</v>
      </c>
      <c r="J56" s="202" t="s">
        <v>1323</v>
      </c>
      <c r="K56" s="202"/>
      <c r="L56" s="202"/>
      <c r="M56" s="202"/>
      <c r="N56" s="202" t="s">
        <v>1300</v>
      </c>
      <c r="O56" s="202" t="s">
        <v>1301</v>
      </c>
      <c r="P56" s="202" t="s">
        <v>1302</v>
      </c>
      <c r="Q56" s="202" t="s">
        <v>1303</v>
      </c>
      <c r="R56" s="203" t="s">
        <v>1304</v>
      </c>
    </row>
    <row r="57" spans="1:18">
      <c r="A57" s="128">
        <v>1713</v>
      </c>
      <c r="B57" s="131" t="s">
        <v>1306</v>
      </c>
      <c r="C57" s="129">
        <v>1</v>
      </c>
      <c r="D57" s="129">
        <v>38500</v>
      </c>
      <c r="E57" s="129">
        <v>427</v>
      </c>
      <c r="F57" s="132" t="s">
        <v>16</v>
      </c>
      <c r="G57" s="201" t="s">
        <v>1305</v>
      </c>
      <c r="H57" s="202" t="s">
        <v>1262</v>
      </c>
      <c r="I57" s="202" t="s">
        <v>1331</v>
      </c>
      <c r="J57" s="202"/>
      <c r="K57" s="202"/>
      <c r="L57" s="202"/>
      <c r="M57" s="202"/>
      <c r="N57" s="202" t="s">
        <v>1307</v>
      </c>
      <c r="O57" s="202" t="s">
        <v>1308</v>
      </c>
      <c r="P57" s="202" t="s">
        <v>1309</v>
      </c>
      <c r="Q57" s="202" t="s">
        <v>1310</v>
      </c>
      <c r="R57" s="203" t="s">
        <v>1311</v>
      </c>
    </row>
    <row r="58" spans="1:18">
      <c r="A58" s="128">
        <v>1714</v>
      </c>
      <c r="B58" s="131" t="s">
        <v>1346</v>
      </c>
      <c r="C58" s="129">
        <v>1</v>
      </c>
      <c r="D58" s="129">
        <v>24980</v>
      </c>
      <c r="E58" s="129">
        <v>372</v>
      </c>
      <c r="F58" s="132" t="s">
        <v>10</v>
      </c>
      <c r="G58" s="201" t="s">
        <v>1340</v>
      </c>
      <c r="H58" s="202" t="s">
        <v>1332</v>
      </c>
      <c r="I58" s="202"/>
      <c r="J58" s="202"/>
      <c r="K58" s="202"/>
      <c r="L58" s="202"/>
      <c r="M58" s="202"/>
      <c r="N58" s="202" t="s">
        <v>1341</v>
      </c>
      <c r="O58" s="202" t="s">
        <v>1342</v>
      </c>
      <c r="P58" s="202" t="s">
        <v>1343</v>
      </c>
      <c r="Q58" s="202" t="s">
        <v>1344</v>
      </c>
      <c r="R58" s="203" t="s">
        <v>1345</v>
      </c>
    </row>
    <row r="59" spans="1:18">
      <c r="A59" s="128">
        <v>1715</v>
      </c>
      <c r="B59" s="131" t="s">
        <v>1347</v>
      </c>
      <c r="C59" s="129">
        <v>1</v>
      </c>
      <c r="D59" s="129">
        <v>15555</v>
      </c>
      <c r="E59" s="129">
        <v>286</v>
      </c>
      <c r="F59" s="132" t="s">
        <v>10</v>
      </c>
      <c r="G59" s="201" t="s">
        <v>1348</v>
      </c>
      <c r="H59" s="202" t="s">
        <v>1333</v>
      </c>
      <c r="I59" s="202"/>
      <c r="J59" s="202"/>
      <c r="K59" s="202"/>
      <c r="L59" s="202"/>
      <c r="M59" s="202"/>
      <c r="N59" s="202" t="s">
        <v>1349</v>
      </c>
      <c r="O59" s="202" t="s">
        <v>1350</v>
      </c>
      <c r="P59" s="202" t="s">
        <v>1351</v>
      </c>
      <c r="Q59" s="202" t="s">
        <v>1352</v>
      </c>
      <c r="R59" s="203" t="s">
        <v>1353</v>
      </c>
    </row>
    <row r="60" spans="1:18">
      <c r="A60" s="128">
        <v>1716</v>
      </c>
      <c r="B60" s="131" t="s">
        <v>1354</v>
      </c>
      <c r="C60" s="129">
        <v>1</v>
      </c>
      <c r="D60" s="129">
        <v>100000</v>
      </c>
      <c r="E60" s="129">
        <v>1053</v>
      </c>
      <c r="F60" s="132" t="s">
        <v>91</v>
      </c>
      <c r="G60" s="201" t="s">
        <v>1355</v>
      </c>
      <c r="H60" s="202" t="s">
        <v>1334</v>
      </c>
      <c r="I60" s="202"/>
      <c r="J60" s="202"/>
      <c r="K60" s="202"/>
      <c r="L60" s="202"/>
      <c r="M60" s="202"/>
      <c r="N60" s="202" t="s">
        <v>1356</v>
      </c>
      <c r="O60" s="202" t="s">
        <v>1357</v>
      </c>
      <c r="P60" s="202" t="s">
        <v>1358</v>
      </c>
      <c r="Q60" s="202" t="s">
        <v>1359</v>
      </c>
      <c r="R60" s="203" t="s">
        <v>1360</v>
      </c>
    </row>
    <row r="61" spans="1:18">
      <c r="A61" s="128">
        <v>1717</v>
      </c>
      <c r="B61" s="131" t="s">
        <v>1361</v>
      </c>
      <c r="C61" s="129">
        <v>1</v>
      </c>
      <c r="D61" s="129">
        <v>83000</v>
      </c>
      <c r="E61" s="129">
        <v>950</v>
      </c>
      <c r="F61" s="132" t="s">
        <v>11</v>
      </c>
      <c r="G61" s="201" t="s">
        <v>1362</v>
      </c>
      <c r="H61" s="202" t="s">
        <v>1404</v>
      </c>
      <c r="I61" s="202"/>
      <c r="J61" s="202"/>
      <c r="K61" s="202"/>
      <c r="L61" s="202"/>
      <c r="M61" s="202"/>
      <c r="N61" s="202" t="s">
        <v>1363</v>
      </c>
      <c r="O61" s="202" t="s">
        <v>1364</v>
      </c>
      <c r="P61" s="202" t="s">
        <v>1365</v>
      </c>
      <c r="Q61" s="202" t="s">
        <v>1366</v>
      </c>
      <c r="R61" s="203" t="s">
        <v>1367</v>
      </c>
    </row>
    <row r="62" spans="1:18">
      <c r="A62" s="128">
        <v>1718</v>
      </c>
      <c r="B62" s="131" t="s">
        <v>1368</v>
      </c>
      <c r="C62" s="129">
        <v>1</v>
      </c>
      <c r="D62" s="129">
        <v>85000</v>
      </c>
      <c r="E62" s="129">
        <v>922</v>
      </c>
      <c r="F62" s="132" t="s">
        <v>10</v>
      </c>
      <c r="G62" s="201" t="s">
        <v>1369</v>
      </c>
      <c r="H62" s="202" t="s">
        <v>1335</v>
      </c>
      <c r="I62" s="202"/>
      <c r="J62" s="202"/>
      <c r="K62" s="202"/>
      <c r="L62" s="202"/>
      <c r="M62" s="202"/>
      <c r="N62" s="202" t="s">
        <v>1370</v>
      </c>
      <c r="O62" s="202" t="s">
        <v>1371</v>
      </c>
      <c r="P62" s="202" t="s">
        <v>1372</v>
      </c>
      <c r="Q62" s="202" t="s">
        <v>1373</v>
      </c>
      <c r="R62" s="203" t="s">
        <v>1374</v>
      </c>
    </row>
    <row r="63" spans="1:18">
      <c r="A63" s="128">
        <v>1719</v>
      </c>
      <c r="B63" s="131" t="s">
        <v>1375</v>
      </c>
      <c r="C63" s="129">
        <v>1</v>
      </c>
      <c r="D63" s="129">
        <v>84999</v>
      </c>
      <c r="E63" s="129">
        <v>922</v>
      </c>
      <c r="F63" s="132" t="s">
        <v>10</v>
      </c>
      <c r="G63" s="201" t="s">
        <v>1376</v>
      </c>
      <c r="H63" s="202" t="s">
        <v>1336</v>
      </c>
      <c r="I63" s="202"/>
      <c r="J63" s="202"/>
      <c r="K63" s="202"/>
      <c r="L63" s="202"/>
      <c r="M63" s="202"/>
      <c r="N63" s="202" t="s">
        <v>1377</v>
      </c>
      <c r="O63" s="202" t="s">
        <v>1378</v>
      </c>
      <c r="P63" s="202" t="s">
        <v>1379</v>
      </c>
      <c r="Q63" s="202" t="s">
        <v>1380</v>
      </c>
      <c r="R63" s="203" t="s">
        <v>1381</v>
      </c>
    </row>
    <row r="64" spans="1:18">
      <c r="A64" s="128">
        <v>1720</v>
      </c>
      <c r="B64" s="131" t="s">
        <v>1382</v>
      </c>
      <c r="C64" s="129">
        <v>1</v>
      </c>
      <c r="D64" s="129">
        <v>48700</v>
      </c>
      <c r="E64" s="129">
        <v>610</v>
      </c>
      <c r="F64" s="132" t="s">
        <v>11</v>
      </c>
      <c r="G64" s="201" t="s">
        <v>1383</v>
      </c>
      <c r="H64" s="202" t="s">
        <v>1337</v>
      </c>
      <c r="I64" s="202"/>
      <c r="J64" s="202"/>
      <c r="K64" s="202"/>
      <c r="L64" s="202"/>
      <c r="M64" s="202"/>
      <c r="N64" s="202" t="s">
        <v>1384</v>
      </c>
      <c r="O64" s="202" t="s">
        <v>1385</v>
      </c>
      <c r="P64" s="202" t="s">
        <v>1386</v>
      </c>
      <c r="Q64" s="202" t="s">
        <v>1387</v>
      </c>
      <c r="R64" s="203" t="s">
        <v>1388</v>
      </c>
    </row>
    <row r="65" spans="1:18">
      <c r="A65" s="128">
        <v>1721</v>
      </c>
      <c r="B65" s="131" t="s">
        <v>1395</v>
      </c>
      <c r="C65" s="129">
        <v>1</v>
      </c>
      <c r="D65" s="129">
        <v>47000</v>
      </c>
      <c r="E65" s="129">
        <v>699</v>
      </c>
      <c r="F65" s="132" t="s">
        <v>16</v>
      </c>
      <c r="G65" s="201" t="s">
        <v>1389</v>
      </c>
      <c r="H65" s="202" t="s">
        <v>1338</v>
      </c>
      <c r="I65" s="202" t="s">
        <v>1405</v>
      </c>
      <c r="J65" s="202"/>
      <c r="K65" s="202"/>
      <c r="L65" s="202"/>
      <c r="M65" s="202"/>
      <c r="N65" s="202" t="s">
        <v>1390</v>
      </c>
      <c r="O65" s="202" t="s">
        <v>1391</v>
      </c>
      <c r="P65" s="202" t="s">
        <v>1392</v>
      </c>
      <c r="Q65" s="202" t="s">
        <v>1393</v>
      </c>
      <c r="R65" s="203" t="s">
        <v>1394</v>
      </c>
    </row>
    <row r="66" spans="1:18">
      <c r="A66" s="128">
        <v>1722</v>
      </c>
      <c r="B66" s="131" t="s">
        <v>1396</v>
      </c>
      <c r="C66" s="129">
        <v>1</v>
      </c>
      <c r="D66" s="129">
        <v>67980</v>
      </c>
      <c r="E66" s="129">
        <v>820</v>
      </c>
      <c r="F66" s="132" t="s">
        <v>16</v>
      </c>
      <c r="G66" s="201" t="s">
        <v>1397</v>
      </c>
      <c r="H66" s="202" t="s">
        <v>1339</v>
      </c>
      <c r="I66" s="202" t="s">
        <v>1403</v>
      </c>
      <c r="J66" s="202"/>
      <c r="K66" s="202"/>
      <c r="L66" s="202"/>
      <c r="M66" s="202"/>
      <c r="N66" s="202" t="s">
        <v>1398</v>
      </c>
      <c r="O66" s="202" t="s">
        <v>1399</v>
      </c>
      <c r="P66" s="202" t="s">
        <v>1400</v>
      </c>
      <c r="Q66" s="202" t="s">
        <v>1401</v>
      </c>
      <c r="R66" s="203" t="s">
        <v>1402</v>
      </c>
    </row>
    <row r="67" spans="1:18">
      <c r="A67" s="128">
        <v>1723</v>
      </c>
      <c r="B67" s="131" t="s">
        <v>1427</v>
      </c>
      <c r="C67" s="129">
        <v>1</v>
      </c>
      <c r="D67" s="129">
        <v>28000</v>
      </c>
      <c r="E67" s="129">
        <v>340</v>
      </c>
      <c r="F67" s="132" t="s">
        <v>91</v>
      </c>
      <c r="G67" s="201" t="s">
        <v>1421</v>
      </c>
      <c r="H67" s="202" t="s">
        <v>1415</v>
      </c>
      <c r="I67" s="202"/>
      <c r="J67" s="202"/>
      <c r="K67" s="202"/>
      <c r="L67" s="202"/>
      <c r="M67" s="202"/>
      <c r="N67" s="202" t="s">
        <v>1422</v>
      </c>
      <c r="O67" s="202" t="s">
        <v>1423</v>
      </c>
      <c r="P67" s="202" t="s">
        <v>1424</v>
      </c>
      <c r="Q67" s="202" t="s">
        <v>1425</v>
      </c>
      <c r="R67" s="203" t="s">
        <v>1426</v>
      </c>
    </row>
    <row r="68" spans="1:18">
      <c r="A68" s="128">
        <v>1724</v>
      </c>
      <c r="B68" s="131" t="s">
        <v>1428</v>
      </c>
      <c r="C68" s="129">
        <v>1</v>
      </c>
      <c r="D68" s="129">
        <v>68000</v>
      </c>
      <c r="E68" s="129">
        <v>830</v>
      </c>
      <c r="F68" s="132" t="s">
        <v>91</v>
      </c>
      <c r="G68" s="201" t="s">
        <v>1429</v>
      </c>
      <c r="H68" s="202" t="s">
        <v>1473</v>
      </c>
      <c r="I68" s="202"/>
      <c r="J68" s="202"/>
      <c r="K68" s="202"/>
      <c r="L68" s="202"/>
      <c r="M68" s="202"/>
      <c r="N68" s="202" t="s">
        <v>1430</v>
      </c>
      <c r="O68" s="202" t="s">
        <v>1431</v>
      </c>
      <c r="P68" s="202" t="s">
        <v>1432</v>
      </c>
      <c r="Q68" s="202" t="s">
        <v>1433</v>
      </c>
      <c r="R68" s="203" t="s">
        <v>1434</v>
      </c>
    </row>
    <row r="69" spans="1:18">
      <c r="A69" s="128">
        <v>1725</v>
      </c>
      <c r="B69" s="131" t="s">
        <v>1435</v>
      </c>
      <c r="C69" s="129">
        <v>1</v>
      </c>
      <c r="D69" s="129">
        <v>28000</v>
      </c>
      <c r="E69" s="129">
        <v>450</v>
      </c>
      <c r="F69" s="132" t="s">
        <v>21</v>
      </c>
      <c r="G69" s="201" t="s">
        <v>1436</v>
      </c>
      <c r="H69" s="202" t="s">
        <v>1416</v>
      </c>
      <c r="I69" s="202"/>
      <c r="J69" s="202"/>
      <c r="K69" s="202"/>
      <c r="L69" s="202"/>
      <c r="M69" s="202"/>
      <c r="N69" s="202" t="s">
        <v>1437</v>
      </c>
      <c r="O69" s="202" t="s">
        <v>1438</v>
      </c>
      <c r="P69" s="202" t="s">
        <v>1439</v>
      </c>
      <c r="Q69" s="202" t="s">
        <v>1440</v>
      </c>
      <c r="R69" s="203" t="s">
        <v>1441</v>
      </c>
    </row>
    <row r="70" spans="1:18">
      <c r="A70" s="128">
        <v>1726</v>
      </c>
      <c r="B70" s="131" t="s">
        <v>1448</v>
      </c>
      <c r="C70" s="129">
        <v>1</v>
      </c>
      <c r="D70" s="129">
        <v>25210</v>
      </c>
      <c r="E70" s="129">
        <v>399</v>
      </c>
      <c r="F70" s="132" t="s">
        <v>14</v>
      </c>
      <c r="G70" s="201" t="s">
        <v>1442</v>
      </c>
      <c r="H70" s="202" t="s">
        <v>1417</v>
      </c>
      <c r="I70" s="202"/>
      <c r="J70" s="202"/>
      <c r="K70" s="202"/>
      <c r="L70" s="202"/>
      <c r="M70" s="202"/>
      <c r="N70" s="202" t="s">
        <v>1443</v>
      </c>
      <c r="O70" s="202" t="s">
        <v>1444</v>
      </c>
      <c r="P70" s="202" t="s">
        <v>1445</v>
      </c>
      <c r="Q70" s="202" t="s">
        <v>1446</v>
      </c>
      <c r="R70" s="203" t="s">
        <v>1447</v>
      </c>
    </row>
    <row r="71" spans="1:18">
      <c r="A71" s="128">
        <v>1727</v>
      </c>
      <c r="B71" s="131" t="s">
        <v>1449</v>
      </c>
      <c r="C71" s="129">
        <v>1</v>
      </c>
      <c r="D71" s="129">
        <v>11780</v>
      </c>
      <c r="E71" s="129">
        <v>175</v>
      </c>
      <c r="F71" s="132" t="s">
        <v>91</v>
      </c>
      <c r="G71" s="201" t="s">
        <v>1450</v>
      </c>
      <c r="H71" s="202" t="s">
        <v>1474</v>
      </c>
      <c r="I71" s="202" t="s">
        <v>1418</v>
      </c>
      <c r="J71" s="202"/>
      <c r="K71" s="202"/>
      <c r="L71" s="202"/>
      <c r="M71" s="202"/>
      <c r="N71" s="202" t="s">
        <v>1451</v>
      </c>
      <c r="O71" s="202" t="s">
        <v>1452</v>
      </c>
      <c r="P71" s="202" t="s">
        <v>1453</v>
      </c>
      <c r="Q71" s="202" t="s">
        <v>1454</v>
      </c>
      <c r="R71" s="203" t="s">
        <v>1455</v>
      </c>
    </row>
    <row r="72" spans="1:18">
      <c r="A72" s="128">
        <v>1728</v>
      </c>
      <c r="B72" s="131" t="s">
        <v>1456</v>
      </c>
      <c r="C72" s="129">
        <v>1</v>
      </c>
      <c r="D72" s="129">
        <v>55000</v>
      </c>
      <c r="E72" s="129">
        <v>650</v>
      </c>
      <c r="F72" s="132" t="s">
        <v>12</v>
      </c>
      <c r="G72" s="201" t="s">
        <v>1457</v>
      </c>
      <c r="H72" s="202" t="s">
        <v>1419</v>
      </c>
      <c r="I72" s="202" t="s">
        <v>1458</v>
      </c>
      <c r="J72" s="202" t="s">
        <v>1459</v>
      </c>
      <c r="K72" s="202" t="s">
        <v>1460</v>
      </c>
      <c r="L72" s="202" t="s">
        <v>1461</v>
      </c>
      <c r="M72" s="202"/>
      <c r="N72" s="202" t="s">
        <v>1462</v>
      </c>
      <c r="O72" s="202" t="s">
        <v>1463</v>
      </c>
      <c r="P72" s="202" t="s">
        <v>1464</v>
      </c>
      <c r="Q72" s="202" t="s">
        <v>1465</v>
      </c>
      <c r="R72" s="203" t="s">
        <v>1466</v>
      </c>
    </row>
    <row r="73" spans="1:18">
      <c r="A73" s="128">
        <v>1729</v>
      </c>
      <c r="B73" s="131" t="s">
        <v>1467</v>
      </c>
      <c r="C73" s="129">
        <v>1</v>
      </c>
      <c r="D73" s="129">
        <v>28000</v>
      </c>
      <c r="E73" s="129">
        <v>359</v>
      </c>
      <c r="F73" s="132" t="s">
        <v>10</v>
      </c>
      <c r="G73" s="201" t="s">
        <v>1475</v>
      </c>
      <c r="H73" s="202" t="s">
        <v>1476</v>
      </c>
      <c r="I73" s="202" t="s">
        <v>1420</v>
      </c>
      <c r="J73" s="202"/>
      <c r="K73" s="202"/>
      <c r="L73" s="202"/>
      <c r="M73" s="202"/>
      <c r="N73" s="202" t="s">
        <v>1468</v>
      </c>
      <c r="O73" s="202" t="s">
        <v>1469</v>
      </c>
      <c r="P73" s="202" t="s">
        <v>1470</v>
      </c>
      <c r="Q73" s="202" t="s">
        <v>1471</v>
      </c>
      <c r="R73" s="203" t="s">
        <v>1472</v>
      </c>
    </row>
    <row r="74" spans="1:18">
      <c r="A74" s="128">
        <v>1730</v>
      </c>
      <c r="B74" s="131" t="s">
        <v>1492</v>
      </c>
      <c r="C74" s="129">
        <v>1</v>
      </c>
      <c r="D74" s="129">
        <v>34300</v>
      </c>
      <c r="E74" s="129">
        <v>480</v>
      </c>
      <c r="F74" s="132" t="s">
        <v>13</v>
      </c>
      <c r="G74" s="201" t="s">
        <v>1493</v>
      </c>
      <c r="H74" s="202" t="s">
        <v>1484</v>
      </c>
      <c r="I74" s="202"/>
      <c r="J74" s="202"/>
      <c r="K74" s="202"/>
      <c r="L74" s="202"/>
      <c r="M74" s="202"/>
      <c r="N74" s="202" t="s">
        <v>1494</v>
      </c>
      <c r="O74" s="202" t="s">
        <v>1495</v>
      </c>
      <c r="P74" s="202" t="s">
        <v>1496</v>
      </c>
      <c r="Q74" s="202" t="s">
        <v>1497</v>
      </c>
      <c r="R74" s="203" t="s">
        <v>1498</v>
      </c>
    </row>
    <row r="75" spans="1:18">
      <c r="A75" s="128">
        <v>1731</v>
      </c>
      <c r="B75" s="131" t="s">
        <v>1499</v>
      </c>
      <c r="C75" s="129">
        <v>1</v>
      </c>
      <c r="D75" s="129">
        <v>99999</v>
      </c>
      <c r="E75" s="129">
        <v>1100</v>
      </c>
      <c r="F75" s="132" t="s">
        <v>14</v>
      </c>
      <c r="G75" s="201" t="s">
        <v>1500</v>
      </c>
      <c r="H75" s="202" t="s">
        <v>1485</v>
      </c>
      <c r="I75" s="202" t="s">
        <v>1548</v>
      </c>
      <c r="J75" s="202"/>
      <c r="K75" s="202"/>
      <c r="L75" s="202"/>
      <c r="M75" s="202"/>
      <c r="N75" s="202" t="s">
        <v>1501</v>
      </c>
      <c r="O75" s="202" t="s">
        <v>1502</v>
      </c>
      <c r="P75" s="202" t="s">
        <v>1503</v>
      </c>
      <c r="Q75" s="202" t="s">
        <v>1504</v>
      </c>
      <c r="R75" s="203" t="s">
        <v>1505</v>
      </c>
    </row>
    <row r="76" spans="1:18">
      <c r="A76" s="128">
        <v>1732</v>
      </c>
      <c r="B76" s="131" t="s">
        <v>1506</v>
      </c>
      <c r="C76" s="129">
        <v>1</v>
      </c>
      <c r="D76" s="129">
        <v>56000</v>
      </c>
      <c r="E76" s="129">
        <v>690</v>
      </c>
      <c r="F76" s="132" t="s">
        <v>14</v>
      </c>
      <c r="G76" s="201" t="s">
        <v>1507</v>
      </c>
      <c r="H76" s="202" t="s">
        <v>1486</v>
      </c>
      <c r="I76" s="202"/>
      <c r="J76" s="202"/>
      <c r="K76" s="202"/>
      <c r="L76" s="202"/>
      <c r="M76" s="202"/>
      <c r="N76" s="202" t="s">
        <v>1508</v>
      </c>
      <c r="O76" s="202" t="s">
        <v>1509</v>
      </c>
      <c r="P76" s="202" t="s">
        <v>1510</v>
      </c>
      <c r="Q76" s="202" t="s">
        <v>1511</v>
      </c>
      <c r="R76" s="203" t="s">
        <v>1512</v>
      </c>
    </row>
    <row r="77" spans="1:18">
      <c r="A77" s="128">
        <v>1733</v>
      </c>
      <c r="B77" s="131" t="s">
        <v>1513</v>
      </c>
      <c r="C77" s="129">
        <v>1</v>
      </c>
      <c r="D77" s="129">
        <v>85000</v>
      </c>
      <c r="E77" s="129">
        <v>1020</v>
      </c>
      <c r="F77" s="132" t="s">
        <v>23</v>
      </c>
      <c r="G77" s="201" t="s">
        <v>1514</v>
      </c>
      <c r="H77" s="202" t="s">
        <v>1488</v>
      </c>
      <c r="I77" s="202" t="s">
        <v>1487</v>
      </c>
      <c r="J77" s="202"/>
      <c r="K77" s="202"/>
      <c r="L77" s="202"/>
      <c r="M77" s="202"/>
      <c r="N77" s="202" t="s">
        <v>1515</v>
      </c>
      <c r="O77" s="202" t="s">
        <v>1516</v>
      </c>
      <c r="P77" s="202" t="s">
        <v>1517</v>
      </c>
      <c r="Q77" s="202" t="s">
        <v>1518</v>
      </c>
      <c r="R77" s="203" t="s">
        <v>1519</v>
      </c>
    </row>
    <row r="78" spans="1:18">
      <c r="A78" s="128">
        <v>1734</v>
      </c>
      <c r="B78" s="131" t="s">
        <v>1520</v>
      </c>
      <c r="C78" s="129">
        <v>1</v>
      </c>
      <c r="D78" s="129">
        <v>46800</v>
      </c>
      <c r="E78" s="129">
        <v>640</v>
      </c>
      <c r="F78" s="132" t="s">
        <v>13</v>
      </c>
      <c r="G78" s="201" t="s">
        <v>1521</v>
      </c>
      <c r="H78" s="202" t="s">
        <v>1490</v>
      </c>
      <c r="I78" s="202" t="s">
        <v>1489</v>
      </c>
      <c r="J78" s="202"/>
      <c r="K78" s="202"/>
      <c r="L78" s="202"/>
      <c r="M78" s="202"/>
      <c r="N78" s="202" t="s">
        <v>1522</v>
      </c>
      <c r="O78" s="202" t="s">
        <v>1523</v>
      </c>
      <c r="P78" s="202" t="s">
        <v>1524</v>
      </c>
      <c r="Q78" s="202" t="s">
        <v>1525</v>
      </c>
      <c r="R78" s="203" t="s">
        <v>1526</v>
      </c>
    </row>
    <row r="79" spans="1:18">
      <c r="A79" s="128">
        <v>1735</v>
      </c>
      <c r="B79" s="131" t="s">
        <v>1527</v>
      </c>
      <c r="C79" s="129">
        <v>1</v>
      </c>
      <c r="D79" s="129">
        <v>16000</v>
      </c>
      <c r="E79" s="129">
        <v>319</v>
      </c>
      <c r="F79" s="132" t="s">
        <v>91</v>
      </c>
      <c r="G79" s="201" t="s">
        <v>1528</v>
      </c>
      <c r="H79" s="202" t="s">
        <v>1549</v>
      </c>
      <c r="I79" s="202"/>
      <c r="J79" s="202"/>
      <c r="K79" s="202"/>
      <c r="L79" s="202"/>
      <c r="M79" s="202"/>
      <c r="N79" s="202" t="s">
        <v>1529</v>
      </c>
      <c r="O79" s="202" t="s">
        <v>1530</v>
      </c>
      <c r="P79" s="202" t="s">
        <v>1531</v>
      </c>
      <c r="Q79" s="202" t="s">
        <v>1532</v>
      </c>
      <c r="R79" s="203" t="s">
        <v>1533</v>
      </c>
    </row>
    <row r="80" spans="1:18">
      <c r="A80" s="128">
        <v>1736</v>
      </c>
      <c r="B80" s="131" t="s">
        <v>1534</v>
      </c>
      <c r="C80" s="129">
        <v>1</v>
      </c>
      <c r="D80" s="129">
        <v>29800</v>
      </c>
      <c r="E80" s="129">
        <v>399</v>
      </c>
      <c r="F80" s="132" t="s">
        <v>91</v>
      </c>
      <c r="G80" s="201" t="s">
        <v>1535</v>
      </c>
      <c r="H80" s="202" t="s">
        <v>1491</v>
      </c>
      <c r="I80" s="202"/>
      <c r="J80" s="202"/>
      <c r="K80" s="202"/>
      <c r="L80" s="202"/>
      <c r="M80" s="202"/>
      <c r="N80" s="202" t="s">
        <v>1536</v>
      </c>
      <c r="O80" s="202" t="s">
        <v>1537</v>
      </c>
      <c r="P80" s="202" t="s">
        <v>1538</v>
      </c>
      <c r="Q80" s="202" t="s">
        <v>1539</v>
      </c>
      <c r="R80" s="203" t="s">
        <v>1540</v>
      </c>
    </row>
    <row r="81" spans="1:18">
      <c r="A81" s="128">
        <v>1737</v>
      </c>
      <c r="B81" s="131" t="s">
        <v>1542</v>
      </c>
      <c r="C81" s="129">
        <v>1</v>
      </c>
      <c r="D81" s="129">
        <v>27600</v>
      </c>
      <c r="E81" s="129">
        <v>398</v>
      </c>
      <c r="F81" s="132" t="s">
        <v>14</v>
      </c>
      <c r="G81" s="201" t="s">
        <v>1541</v>
      </c>
      <c r="H81" s="202" t="s">
        <v>1550</v>
      </c>
      <c r="I81" s="202" t="s">
        <v>1551</v>
      </c>
      <c r="J81" s="202"/>
      <c r="K81" s="202"/>
      <c r="L81" s="202"/>
      <c r="M81" s="202"/>
      <c r="N81" s="202" t="s">
        <v>1543</v>
      </c>
      <c r="O81" s="202" t="s">
        <v>1544</v>
      </c>
      <c r="P81" s="202" t="s">
        <v>1545</v>
      </c>
      <c r="Q81" s="202" t="s">
        <v>1546</v>
      </c>
      <c r="R81" s="203" t="s">
        <v>1547</v>
      </c>
    </row>
    <row r="82" spans="1:18">
      <c r="A82" s="128">
        <v>1738</v>
      </c>
      <c r="B82" s="131" t="s">
        <v>1582</v>
      </c>
      <c r="C82" s="129">
        <v>1</v>
      </c>
      <c r="D82" s="129">
        <v>17710</v>
      </c>
      <c r="E82" s="129">
        <v>230</v>
      </c>
      <c r="F82" s="132" t="s">
        <v>91</v>
      </c>
      <c r="G82" s="201" t="s">
        <v>1576</v>
      </c>
      <c r="H82" s="202" t="s">
        <v>1613</v>
      </c>
      <c r="I82" s="202"/>
      <c r="J82" s="202"/>
      <c r="K82" s="202"/>
      <c r="L82" s="202"/>
      <c r="M82" s="202"/>
      <c r="N82" s="202" t="s">
        <v>1577</v>
      </c>
      <c r="O82" s="202" t="s">
        <v>1578</v>
      </c>
      <c r="P82" s="202" t="s">
        <v>1579</v>
      </c>
      <c r="Q82" s="202" t="s">
        <v>1580</v>
      </c>
      <c r="R82" s="203" t="s">
        <v>1581</v>
      </c>
    </row>
    <row r="83" spans="1:18">
      <c r="A83" s="128">
        <v>1739</v>
      </c>
      <c r="B83" s="131" t="s">
        <v>1583</v>
      </c>
      <c r="C83" s="129">
        <v>1</v>
      </c>
      <c r="D83" s="129">
        <v>39600</v>
      </c>
      <c r="E83" s="129">
        <v>559</v>
      </c>
      <c r="F83" s="132" t="s">
        <v>19</v>
      </c>
      <c r="G83" s="201" t="s">
        <v>1584</v>
      </c>
      <c r="H83" s="202" t="s">
        <v>1611</v>
      </c>
      <c r="I83" s="202" t="s">
        <v>1612</v>
      </c>
      <c r="J83" s="202"/>
      <c r="K83" s="202"/>
      <c r="L83" s="202"/>
      <c r="M83" s="202"/>
      <c r="N83" s="202" t="s">
        <v>1585</v>
      </c>
      <c r="O83" s="202" t="s">
        <v>1586</v>
      </c>
      <c r="P83" s="202" t="s">
        <v>1587</v>
      </c>
      <c r="Q83" s="202" t="s">
        <v>1588</v>
      </c>
      <c r="R83" s="203" t="s">
        <v>1589</v>
      </c>
    </row>
    <row r="84" spans="1:18">
      <c r="A84" s="128">
        <v>1740</v>
      </c>
      <c r="B84" s="131" t="s">
        <v>1590</v>
      </c>
      <c r="C84" s="129">
        <v>1</v>
      </c>
      <c r="D84" s="129">
        <v>38600</v>
      </c>
      <c r="E84" s="129">
        <v>500</v>
      </c>
      <c r="F84" s="132" t="s">
        <v>11</v>
      </c>
      <c r="G84" s="201" t="s">
        <v>1591</v>
      </c>
      <c r="H84" s="202" t="s">
        <v>1615</v>
      </c>
      <c r="I84" s="202" t="s">
        <v>1616</v>
      </c>
      <c r="J84" s="202" t="s">
        <v>1614</v>
      </c>
      <c r="K84" s="202"/>
      <c r="L84" s="202"/>
      <c r="M84" s="202"/>
      <c r="N84" s="202" t="s">
        <v>1592</v>
      </c>
      <c r="O84" s="202" t="s">
        <v>1593</v>
      </c>
      <c r="P84" s="202" t="s">
        <v>1594</v>
      </c>
      <c r="Q84" s="202" t="s">
        <v>1595</v>
      </c>
      <c r="R84" s="203" t="s">
        <v>1596</v>
      </c>
    </row>
    <row r="85" spans="1:18">
      <c r="A85" s="128">
        <v>1741</v>
      </c>
      <c r="B85" s="131" t="s">
        <v>1597</v>
      </c>
      <c r="C85" s="129">
        <v>1</v>
      </c>
      <c r="D85" s="129">
        <v>34000</v>
      </c>
      <c r="E85" s="129">
        <v>480</v>
      </c>
      <c r="F85" s="132" t="s">
        <v>11</v>
      </c>
      <c r="G85" s="201" t="s">
        <v>1598</v>
      </c>
      <c r="H85" s="202" t="s">
        <v>1617</v>
      </c>
      <c r="I85" s="202"/>
      <c r="J85" s="202"/>
      <c r="K85" s="202"/>
      <c r="L85" s="202"/>
      <c r="M85" s="202"/>
      <c r="N85" s="202" t="s">
        <v>1599</v>
      </c>
      <c r="O85" s="202" t="s">
        <v>1600</v>
      </c>
      <c r="P85" s="202" t="s">
        <v>1601</v>
      </c>
      <c r="Q85" s="202" t="s">
        <v>1602</v>
      </c>
      <c r="R85" s="203" t="s">
        <v>1603</v>
      </c>
    </row>
    <row r="86" spans="1:18">
      <c r="A86" s="128">
        <v>1742</v>
      </c>
      <c r="B86" s="131" t="s">
        <v>1604</v>
      </c>
      <c r="C86" s="129">
        <v>1</v>
      </c>
      <c r="D86" s="129">
        <v>23000</v>
      </c>
      <c r="E86" s="129">
        <v>490</v>
      </c>
      <c r="F86" s="132" t="s">
        <v>19</v>
      </c>
      <c r="G86" s="201" t="s">
        <v>1605</v>
      </c>
      <c r="H86" s="202" t="s">
        <v>1571</v>
      </c>
      <c r="I86" s="202" t="s">
        <v>1570</v>
      </c>
      <c r="J86" s="202"/>
      <c r="K86" s="202"/>
      <c r="L86" s="202"/>
      <c r="M86" s="202"/>
      <c r="N86" s="202" t="s">
        <v>1606</v>
      </c>
      <c r="O86" s="202" t="s">
        <v>1607</v>
      </c>
      <c r="P86" s="202" t="s">
        <v>1608</v>
      </c>
      <c r="Q86" s="202" t="s">
        <v>1609</v>
      </c>
      <c r="R86" s="203" t="s">
        <v>1610</v>
      </c>
    </row>
    <row r="87" spans="1:18">
      <c r="A87" s="128">
        <v>1743</v>
      </c>
      <c r="B87" s="131" t="s">
        <v>1633</v>
      </c>
      <c r="C87" s="129">
        <v>1</v>
      </c>
      <c r="D87" s="129">
        <v>90000</v>
      </c>
      <c r="E87" s="129">
        <v>980</v>
      </c>
      <c r="F87" s="132" t="s">
        <v>91</v>
      </c>
      <c r="G87" s="201" t="s">
        <v>1635</v>
      </c>
      <c r="H87" s="202" t="s">
        <v>1623</v>
      </c>
      <c r="I87" s="202"/>
      <c r="J87" s="202"/>
      <c r="K87" s="202"/>
      <c r="L87" s="202"/>
      <c r="M87" s="202"/>
      <c r="N87" s="202" t="s">
        <v>1636</v>
      </c>
      <c r="O87" s="202" t="s">
        <v>1637</v>
      </c>
      <c r="P87" s="202" t="s">
        <v>1638</v>
      </c>
      <c r="Q87" s="202" t="s">
        <v>1639</v>
      </c>
      <c r="R87" s="203" t="s">
        <v>1640</v>
      </c>
    </row>
    <row r="88" spans="1:18">
      <c r="A88" s="128">
        <v>1744</v>
      </c>
      <c r="B88" s="131" t="s">
        <v>1648</v>
      </c>
      <c r="C88" s="129">
        <v>1</v>
      </c>
      <c r="D88" s="129">
        <v>34500</v>
      </c>
      <c r="E88" s="129">
        <v>430</v>
      </c>
      <c r="F88" s="132" t="s">
        <v>91</v>
      </c>
      <c r="G88" s="201" t="s">
        <v>1642</v>
      </c>
      <c r="H88" s="202" t="s">
        <v>1731</v>
      </c>
      <c r="I88" s="202" t="s">
        <v>1729</v>
      </c>
      <c r="J88" s="202"/>
      <c r="K88" s="202"/>
      <c r="L88" s="202"/>
      <c r="M88" s="202"/>
      <c r="N88" s="202" t="s">
        <v>1643</v>
      </c>
      <c r="O88" s="202" t="s">
        <v>1644</v>
      </c>
      <c r="P88" s="202" t="s">
        <v>1645</v>
      </c>
      <c r="Q88" s="202" t="s">
        <v>1646</v>
      </c>
      <c r="R88" s="203" t="s">
        <v>1647</v>
      </c>
    </row>
    <row r="89" spans="1:18">
      <c r="A89" s="128">
        <v>1745</v>
      </c>
      <c r="B89" s="131" t="s">
        <v>1649</v>
      </c>
      <c r="C89" s="129">
        <v>1</v>
      </c>
      <c r="D89" s="129">
        <v>30000</v>
      </c>
      <c r="E89" s="129">
        <v>399</v>
      </c>
      <c r="F89" s="132" t="s">
        <v>9</v>
      </c>
      <c r="G89" s="201" t="s">
        <v>1650</v>
      </c>
      <c r="H89" s="202" t="s">
        <v>1624</v>
      </c>
      <c r="I89" s="202"/>
      <c r="J89" s="202"/>
      <c r="K89" s="202"/>
      <c r="L89" s="202"/>
      <c r="M89" s="202"/>
      <c r="N89" s="202" t="s">
        <v>1651</v>
      </c>
      <c r="O89" s="202" t="s">
        <v>1652</v>
      </c>
      <c r="P89" s="202" t="s">
        <v>1653</v>
      </c>
      <c r="Q89" s="202" t="s">
        <v>1654</v>
      </c>
      <c r="R89" s="203" t="s">
        <v>1655</v>
      </c>
    </row>
    <row r="90" spans="1:18">
      <c r="A90" s="128">
        <v>1746</v>
      </c>
      <c r="B90" s="131" t="s">
        <v>1656</v>
      </c>
      <c r="C90" s="129">
        <v>1</v>
      </c>
      <c r="D90" s="129">
        <v>79999</v>
      </c>
      <c r="E90" s="129">
        <v>870</v>
      </c>
      <c r="F90" s="132" t="s">
        <v>9</v>
      </c>
      <c r="G90" s="201" t="s">
        <v>1658</v>
      </c>
      <c r="H90" s="202" t="s">
        <v>1625</v>
      </c>
      <c r="I90" s="202"/>
      <c r="J90" s="202"/>
      <c r="K90" s="202"/>
      <c r="L90" s="202"/>
      <c r="M90" s="202"/>
      <c r="N90" s="202" t="s">
        <v>1659</v>
      </c>
      <c r="O90" s="202" t="s">
        <v>1660</v>
      </c>
      <c r="P90" s="202" t="s">
        <v>1661</v>
      </c>
      <c r="Q90" s="202" t="s">
        <v>1662</v>
      </c>
      <c r="R90" s="203" t="s">
        <v>1663</v>
      </c>
    </row>
    <row r="91" spans="1:18">
      <c r="A91" s="128">
        <v>1747</v>
      </c>
      <c r="B91" s="131" t="s">
        <v>1664</v>
      </c>
      <c r="C91" s="129">
        <v>1</v>
      </c>
      <c r="D91" s="129">
        <v>28000</v>
      </c>
      <c r="E91" s="129">
        <v>380</v>
      </c>
      <c r="F91" s="132" t="s">
        <v>9</v>
      </c>
      <c r="G91" s="201" t="s">
        <v>1665</v>
      </c>
      <c r="H91" s="202" t="s">
        <v>1626</v>
      </c>
      <c r="I91" s="202"/>
      <c r="J91" s="202"/>
      <c r="K91" s="202"/>
      <c r="L91" s="202"/>
      <c r="M91" s="202"/>
      <c r="N91" s="202" t="s">
        <v>1666</v>
      </c>
      <c r="O91" s="202" t="s">
        <v>1667</v>
      </c>
      <c r="P91" s="202" t="s">
        <v>1668</v>
      </c>
      <c r="Q91" s="202" t="s">
        <v>1669</v>
      </c>
      <c r="R91" s="203" t="s">
        <v>1670</v>
      </c>
    </row>
    <row r="92" spans="1:18">
      <c r="A92" s="128">
        <v>1748</v>
      </c>
      <c r="B92" s="131" t="s">
        <v>1671</v>
      </c>
      <c r="C92" s="129">
        <v>1</v>
      </c>
      <c r="D92" s="129">
        <v>48000</v>
      </c>
      <c r="E92" s="129">
        <v>570</v>
      </c>
      <c r="F92" s="132" t="s">
        <v>91</v>
      </c>
      <c r="G92" s="201" t="s">
        <v>1673</v>
      </c>
      <c r="H92" s="202" t="s">
        <v>1627</v>
      </c>
      <c r="I92" s="202"/>
      <c r="J92" s="202"/>
      <c r="K92" s="202"/>
      <c r="L92" s="202"/>
      <c r="M92" s="202"/>
      <c r="N92" s="202" t="s">
        <v>1674</v>
      </c>
      <c r="O92" s="202" t="s">
        <v>1675</v>
      </c>
      <c r="P92" s="202" t="s">
        <v>1676</v>
      </c>
      <c r="Q92" s="202" t="s">
        <v>1677</v>
      </c>
      <c r="R92" s="203" t="s">
        <v>1678</v>
      </c>
    </row>
    <row r="93" spans="1:18">
      <c r="A93" s="128">
        <v>1749</v>
      </c>
      <c r="B93" s="131" t="s">
        <v>1679</v>
      </c>
      <c r="C93" s="129">
        <v>1</v>
      </c>
      <c r="D93" s="129">
        <v>42222</v>
      </c>
      <c r="E93" s="129">
        <v>520</v>
      </c>
      <c r="F93" s="132" t="s">
        <v>91</v>
      </c>
      <c r="G93" s="201" t="s">
        <v>1680</v>
      </c>
      <c r="H93" s="202" t="s">
        <v>1628</v>
      </c>
      <c r="I93" s="202"/>
      <c r="J93" s="202"/>
      <c r="K93" s="202"/>
      <c r="L93" s="202"/>
      <c r="M93" s="202"/>
      <c r="N93" s="202" t="s">
        <v>1681</v>
      </c>
      <c r="O93" s="202" t="s">
        <v>1682</v>
      </c>
      <c r="P93" s="202" t="s">
        <v>1683</v>
      </c>
      <c r="Q93" s="202" t="s">
        <v>1684</v>
      </c>
      <c r="R93" s="203" t="s">
        <v>1685</v>
      </c>
    </row>
    <row r="94" spans="1:18">
      <c r="A94" s="128">
        <v>1750</v>
      </c>
      <c r="B94" s="131" t="s">
        <v>1686</v>
      </c>
      <c r="C94" s="129">
        <v>1</v>
      </c>
      <c r="D94" s="129">
        <v>39500</v>
      </c>
      <c r="E94" s="129">
        <v>490</v>
      </c>
      <c r="F94" s="132" t="s">
        <v>91</v>
      </c>
      <c r="G94" s="201" t="s">
        <v>1688</v>
      </c>
      <c r="H94" s="202" t="s">
        <v>1629</v>
      </c>
      <c r="I94" s="202"/>
      <c r="J94" s="202"/>
      <c r="K94" s="202"/>
      <c r="L94" s="202"/>
      <c r="M94" s="202"/>
      <c r="N94" s="202" t="s">
        <v>1689</v>
      </c>
      <c r="O94" s="202" t="s">
        <v>1690</v>
      </c>
      <c r="P94" s="202" t="s">
        <v>1691</v>
      </c>
      <c r="Q94" s="202" t="s">
        <v>1692</v>
      </c>
      <c r="R94" s="203" t="s">
        <v>1693</v>
      </c>
    </row>
    <row r="95" spans="1:18">
      <c r="A95" s="128">
        <v>1751</v>
      </c>
      <c r="B95" s="131" t="s">
        <v>1694</v>
      </c>
      <c r="C95" s="129">
        <v>1</v>
      </c>
      <c r="D95" s="129">
        <v>39900</v>
      </c>
      <c r="E95" s="129">
        <v>590</v>
      </c>
      <c r="F95" s="132" t="s">
        <v>91</v>
      </c>
      <c r="G95" s="201" t="s">
        <v>1695</v>
      </c>
      <c r="H95" s="202" t="s">
        <v>1732</v>
      </c>
      <c r="I95" s="202"/>
      <c r="J95" s="202"/>
      <c r="K95" s="202"/>
      <c r="L95" s="202"/>
      <c r="M95" s="202"/>
      <c r="N95" s="202" t="s">
        <v>1696</v>
      </c>
      <c r="O95" s="202" t="s">
        <v>1697</v>
      </c>
      <c r="P95" s="202" t="s">
        <v>1698</v>
      </c>
      <c r="Q95" s="202" t="s">
        <v>1699</v>
      </c>
      <c r="R95" s="203" t="s">
        <v>1700</v>
      </c>
    </row>
    <row r="96" spans="1:18">
      <c r="A96" s="128">
        <v>1752</v>
      </c>
      <c r="B96" s="131" t="s">
        <v>1701</v>
      </c>
      <c r="C96" s="129">
        <v>1</v>
      </c>
      <c r="D96" s="129">
        <v>52000</v>
      </c>
      <c r="E96" s="129">
        <v>590</v>
      </c>
      <c r="F96" s="132" t="s">
        <v>10</v>
      </c>
      <c r="G96" s="201" t="s">
        <v>1702</v>
      </c>
      <c r="H96" s="202" t="s">
        <v>1733</v>
      </c>
      <c r="I96" s="202"/>
      <c r="J96" s="202"/>
      <c r="K96" s="202"/>
      <c r="L96" s="202"/>
      <c r="M96" s="202"/>
      <c r="N96" s="202" t="s">
        <v>1703</v>
      </c>
      <c r="O96" s="202" t="s">
        <v>1704</v>
      </c>
      <c r="P96" s="202" t="s">
        <v>1705</v>
      </c>
      <c r="Q96" s="202" t="s">
        <v>1706</v>
      </c>
      <c r="R96" s="203" t="s">
        <v>1707</v>
      </c>
    </row>
    <row r="97" spans="1:18">
      <c r="A97" s="128">
        <v>1753</v>
      </c>
      <c r="B97" s="131" t="s">
        <v>1708</v>
      </c>
      <c r="C97" s="129">
        <v>1</v>
      </c>
      <c r="D97" s="129">
        <v>28500</v>
      </c>
      <c r="E97" s="129">
        <v>399</v>
      </c>
      <c r="F97" s="132" t="s">
        <v>10</v>
      </c>
      <c r="G97" s="201" t="s">
        <v>1709</v>
      </c>
      <c r="H97" s="202" t="s">
        <v>1735</v>
      </c>
      <c r="I97" s="202" t="s">
        <v>1734</v>
      </c>
      <c r="J97" s="202"/>
      <c r="K97" s="202"/>
      <c r="L97" s="202"/>
      <c r="M97" s="202"/>
      <c r="N97" s="202" t="s">
        <v>1710</v>
      </c>
      <c r="O97" s="202" t="s">
        <v>1711</v>
      </c>
      <c r="P97" s="202" t="s">
        <v>1712</v>
      </c>
      <c r="Q97" s="202" t="s">
        <v>1713</v>
      </c>
      <c r="R97" s="203" t="s">
        <v>1714</v>
      </c>
    </row>
    <row r="98" spans="1:18">
      <c r="A98" s="128">
        <v>1754</v>
      </c>
      <c r="B98" s="131" t="s">
        <v>1715</v>
      </c>
      <c r="C98" s="129">
        <v>1</v>
      </c>
      <c r="D98" s="129">
        <v>39000</v>
      </c>
      <c r="E98" s="129">
        <v>890</v>
      </c>
      <c r="F98" s="132" t="s">
        <v>47</v>
      </c>
      <c r="G98" s="201" t="s">
        <v>1716</v>
      </c>
      <c r="H98" s="202" t="s">
        <v>1630</v>
      </c>
      <c r="I98" s="202"/>
      <c r="J98" s="202"/>
      <c r="K98" s="202"/>
      <c r="L98" s="202"/>
      <c r="M98" s="202"/>
      <c r="N98" s="202" t="s">
        <v>1717</v>
      </c>
      <c r="O98" s="202" t="s">
        <v>1718</v>
      </c>
      <c r="P98" s="202" t="s">
        <v>1719</v>
      </c>
      <c r="Q98" s="202" t="s">
        <v>1720</v>
      </c>
      <c r="R98" s="203" t="s">
        <v>1721</v>
      </c>
    </row>
    <row r="99" spans="1:18">
      <c r="A99" s="128">
        <v>1755</v>
      </c>
      <c r="B99" s="131" t="s">
        <v>1722</v>
      </c>
      <c r="C99" s="129">
        <v>1</v>
      </c>
      <c r="D99" s="129">
        <v>16000</v>
      </c>
      <c r="E99" s="129">
        <v>320</v>
      </c>
      <c r="F99" s="132" t="s">
        <v>15</v>
      </c>
      <c r="G99" s="201" t="s">
        <v>1723</v>
      </c>
      <c r="H99" s="202" t="s">
        <v>1631</v>
      </c>
      <c r="I99" s="202" t="s">
        <v>1730</v>
      </c>
      <c r="J99" s="202" t="s">
        <v>1736</v>
      </c>
      <c r="K99" s="202"/>
      <c r="L99" s="202"/>
      <c r="M99" s="202"/>
      <c r="N99" s="202" t="s">
        <v>1724</v>
      </c>
      <c r="O99" s="202" t="s">
        <v>1725</v>
      </c>
      <c r="P99" s="202" t="s">
        <v>1726</v>
      </c>
      <c r="Q99" s="202" t="s">
        <v>1727</v>
      </c>
      <c r="R99" s="203" t="s">
        <v>1728</v>
      </c>
    </row>
    <row r="100" spans="1:18">
      <c r="A100" s="128">
        <v>1756</v>
      </c>
      <c r="B100" s="131" t="s">
        <v>1766</v>
      </c>
      <c r="C100" s="129">
        <v>1</v>
      </c>
      <c r="D100" s="129">
        <v>92000</v>
      </c>
      <c r="E100" s="129">
        <v>974</v>
      </c>
      <c r="F100" s="132" t="s">
        <v>9</v>
      </c>
      <c r="G100" s="201" t="s">
        <v>1760</v>
      </c>
      <c r="H100" s="202" t="s">
        <v>1750</v>
      </c>
      <c r="I100" s="202"/>
      <c r="J100" s="202"/>
      <c r="K100" s="202"/>
      <c r="L100" s="202"/>
      <c r="M100" s="202"/>
      <c r="N100" s="202" t="s">
        <v>1761</v>
      </c>
      <c r="O100" s="202" t="s">
        <v>1762</v>
      </c>
      <c r="P100" s="202" t="s">
        <v>1763</v>
      </c>
      <c r="Q100" s="202" t="s">
        <v>1764</v>
      </c>
      <c r="R100" s="203" t="s">
        <v>1765</v>
      </c>
    </row>
    <row r="101" spans="1:18">
      <c r="A101" s="128">
        <v>1757</v>
      </c>
      <c r="B101" s="131" t="s">
        <v>1767</v>
      </c>
      <c r="C101" s="129">
        <v>1</v>
      </c>
      <c r="D101" s="129">
        <v>27500</v>
      </c>
      <c r="E101" s="129">
        <v>352</v>
      </c>
      <c r="F101" s="132" t="s">
        <v>10</v>
      </c>
      <c r="G101" s="201" t="s">
        <v>1768</v>
      </c>
      <c r="H101" s="202" t="s">
        <v>1751</v>
      </c>
      <c r="I101" s="202"/>
      <c r="J101" s="202"/>
      <c r="K101" s="202"/>
      <c r="L101" s="202"/>
      <c r="M101" s="202"/>
      <c r="N101" s="202" t="s">
        <v>1769</v>
      </c>
      <c r="O101" s="202" t="s">
        <v>1770</v>
      </c>
      <c r="P101" s="202" t="s">
        <v>1771</v>
      </c>
      <c r="Q101" s="202" t="s">
        <v>1772</v>
      </c>
      <c r="R101" s="203" t="s">
        <v>1773</v>
      </c>
    </row>
    <row r="102" spans="1:18">
      <c r="A102" s="128">
        <v>1758</v>
      </c>
      <c r="B102" s="131" t="s">
        <v>1774</v>
      </c>
      <c r="C102" s="129">
        <v>1</v>
      </c>
      <c r="D102" s="129">
        <v>16000</v>
      </c>
      <c r="E102" s="129">
        <v>235</v>
      </c>
      <c r="F102" s="132" t="s">
        <v>10</v>
      </c>
      <c r="G102" s="201" t="s">
        <v>1775</v>
      </c>
      <c r="H102" s="202" t="s">
        <v>1752</v>
      </c>
      <c r="I102" s="202"/>
      <c r="J102" s="202"/>
      <c r="K102" s="202"/>
      <c r="L102" s="202"/>
      <c r="M102" s="202"/>
      <c r="N102" s="202" t="s">
        <v>1776</v>
      </c>
      <c r="O102" s="202" t="s">
        <v>1777</v>
      </c>
      <c r="P102" s="202" t="s">
        <v>1778</v>
      </c>
      <c r="Q102" s="202" t="s">
        <v>1779</v>
      </c>
      <c r="R102" s="203" t="s">
        <v>1780</v>
      </c>
    </row>
    <row r="103" spans="1:18">
      <c r="A103" s="128">
        <v>1759</v>
      </c>
      <c r="B103" s="131" t="s">
        <v>1781</v>
      </c>
      <c r="C103" s="129">
        <v>1</v>
      </c>
      <c r="D103" s="129">
        <v>75000</v>
      </c>
      <c r="E103" s="129">
        <v>1040</v>
      </c>
      <c r="F103" s="132" t="s">
        <v>22</v>
      </c>
      <c r="G103" s="201" t="s">
        <v>1783</v>
      </c>
      <c r="H103" s="202" t="s">
        <v>1753</v>
      </c>
      <c r="I103" s="202"/>
      <c r="J103" s="202"/>
      <c r="K103" s="202"/>
      <c r="L103" s="202"/>
      <c r="M103" s="202"/>
      <c r="N103" s="202" t="s">
        <v>1784</v>
      </c>
      <c r="O103" s="202" t="s">
        <v>1785</v>
      </c>
      <c r="P103" s="202" t="s">
        <v>1786</v>
      </c>
      <c r="Q103" s="202" t="s">
        <v>1787</v>
      </c>
      <c r="R103" s="203" t="s">
        <v>1788</v>
      </c>
    </row>
    <row r="104" spans="1:18">
      <c r="A104" s="128">
        <v>1760</v>
      </c>
      <c r="B104" s="131" t="s">
        <v>1789</v>
      </c>
      <c r="C104" s="129">
        <v>1</v>
      </c>
      <c r="D104" s="129">
        <v>50000</v>
      </c>
      <c r="E104" s="129">
        <v>610</v>
      </c>
      <c r="F104" s="132" t="s">
        <v>12</v>
      </c>
      <c r="G104" s="201" t="s">
        <v>1790</v>
      </c>
      <c r="H104" s="202" t="s">
        <v>1754</v>
      </c>
      <c r="I104" s="202"/>
      <c r="J104" s="202"/>
      <c r="K104" s="202"/>
      <c r="L104" s="202"/>
      <c r="M104" s="202"/>
      <c r="N104" s="202" t="s">
        <v>1791</v>
      </c>
      <c r="O104" s="202" t="s">
        <v>1792</v>
      </c>
      <c r="P104" s="202" t="s">
        <v>1793</v>
      </c>
      <c r="Q104" s="202" t="s">
        <v>1794</v>
      </c>
      <c r="R104" s="203" t="s">
        <v>1795</v>
      </c>
    </row>
    <row r="105" spans="1:18">
      <c r="A105" s="128">
        <v>1761</v>
      </c>
      <c r="B105" s="131" t="s">
        <v>1797</v>
      </c>
      <c r="C105" s="129">
        <v>1</v>
      </c>
      <c r="D105" s="129">
        <v>33000</v>
      </c>
      <c r="E105" s="129">
        <v>409</v>
      </c>
      <c r="F105" s="132" t="s">
        <v>10</v>
      </c>
      <c r="G105" s="201" t="s">
        <v>1796</v>
      </c>
      <c r="H105" s="202" t="s">
        <v>1755</v>
      </c>
      <c r="I105" s="202"/>
      <c r="J105" s="202"/>
      <c r="K105" s="202"/>
      <c r="L105" s="202"/>
      <c r="M105" s="202"/>
      <c r="N105" s="202" t="s">
        <v>1798</v>
      </c>
      <c r="O105" s="202" t="s">
        <v>1799</v>
      </c>
      <c r="P105" s="202" t="s">
        <v>1800</v>
      </c>
      <c r="Q105" s="202" t="s">
        <v>1801</v>
      </c>
      <c r="R105" s="203" t="s">
        <v>1802</v>
      </c>
    </row>
    <row r="106" spans="1:18">
      <c r="A106" s="128">
        <v>1762</v>
      </c>
      <c r="B106" s="131" t="s">
        <v>1809</v>
      </c>
      <c r="C106" s="129">
        <v>1</v>
      </c>
      <c r="D106" s="129">
        <v>69800</v>
      </c>
      <c r="E106" s="129">
        <v>850</v>
      </c>
      <c r="F106" s="132" t="s">
        <v>10</v>
      </c>
      <c r="G106" s="201" t="s">
        <v>1803</v>
      </c>
      <c r="H106" s="202" t="s">
        <v>1756</v>
      </c>
      <c r="I106" s="202"/>
      <c r="J106" s="202"/>
      <c r="K106" s="202"/>
      <c r="L106" s="202"/>
      <c r="M106" s="202"/>
      <c r="N106" s="202" t="s">
        <v>1804</v>
      </c>
      <c r="O106" s="202" t="s">
        <v>1805</v>
      </c>
      <c r="P106" s="202" t="s">
        <v>1806</v>
      </c>
      <c r="Q106" s="202" t="s">
        <v>1807</v>
      </c>
      <c r="R106" s="203" t="s">
        <v>1808</v>
      </c>
    </row>
    <row r="107" spans="1:18">
      <c r="A107" s="128">
        <v>1763</v>
      </c>
      <c r="B107" s="131" t="s">
        <v>1810</v>
      </c>
      <c r="C107" s="129">
        <v>1</v>
      </c>
      <c r="D107" s="129">
        <v>67000</v>
      </c>
      <c r="E107" s="129">
        <v>750</v>
      </c>
      <c r="F107" s="132" t="s">
        <v>10</v>
      </c>
      <c r="G107" s="201" t="s">
        <v>1811</v>
      </c>
      <c r="H107" s="202" t="s">
        <v>1757</v>
      </c>
      <c r="I107" s="202" t="s">
        <v>1838</v>
      </c>
      <c r="J107" s="202"/>
      <c r="K107" s="202"/>
      <c r="L107" s="202"/>
      <c r="M107" s="202"/>
      <c r="N107" s="202" t="s">
        <v>1812</v>
      </c>
      <c r="O107" s="202" t="s">
        <v>1813</v>
      </c>
      <c r="P107" s="202" t="s">
        <v>1814</v>
      </c>
      <c r="Q107" s="202" t="s">
        <v>1815</v>
      </c>
      <c r="R107" s="203" t="s">
        <v>1816</v>
      </c>
    </row>
    <row r="108" spans="1:18">
      <c r="A108" s="128">
        <v>1764</v>
      </c>
      <c r="B108" s="131" t="s">
        <v>1817</v>
      </c>
      <c r="C108" s="129">
        <v>1</v>
      </c>
      <c r="D108" s="129">
        <v>86000</v>
      </c>
      <c r="E108" s="129">
        <v>990</v>
      </c>
      <c r="F108" s="132" t="s">
        <v>10</v>
      </c>
      <c r="G108" s="201" t="s">
        <v>1818</v>
      </c>
      <c r="H108" s="202" t="s">
        <v>1839</v>
      </c>
      <c r="I108" s="202"/>
      <c r="J108" s="202"/>
      <c r="K108" s="202"/>
      <c r="L108" s="202"/>
      <c r="M108" s="202"/>
      <c r="N108" s="202" t="s">
        <v>1819</v>
      </c>
      <c r="O108" s="202" t="s">
        <v>1820</v>
      </c>
      <c r="P108" s="202" t="s">
        <v>1821</v>
      </c>
      <c r="Q108" s="202" t="s">
        <v>1822</v>
      </c>
      <c r="R108" s="203" t="s">
        <v>1823</v>
      </c>
    </row>
    <row r="109" spans="1:18">
      <c r="A109" s="128">
        <v>1765</v>
      </c>
      <c r="B109" s="131" t="s">
        <v>1824</v>
      </c>
      <c r="C109" s="129">
        <v>1</v>
      </c>
      <c r="D109" s="129">
        <v>83799</v>
      </c>
      <c r="E109" s="129">
        <v>1100</v>
      </c>
      <c r="F109" s="132" t="s">
        <v>37</v>
      </c>
      <c r="G109" s="201" t="s">
        <v>1825</v>
      </c>
      <c r="H109" s="202" t="s">
        <v>1758</v>
      </c>
      <c r="I109" s="202"/>
      <c r="J109" s="202"/>
      <c r="K109" s="202"/>
      <c r="L109" s="202"/>
      <c r="M109" s="202"/>
      <c r="N109" s="202" t="s">
        <v>1826</v>
      </c>
      <c r="O109" s="202" t="s">
        <v>1827</v>
      </c>
      <c r="P109" s="202" t="s">
        <v>1828</v>
      </c>
      <c r="Q109" s="202" t="s">
        <v>1829</v>
      </c>
      <c r="R109" s="203" t="s">
        <v>1830</v>
      </c>
    </row>
    <row r="110" spans="1:18">
      <c r="A110" s="128">
        <v>1766</v>
      </c>
      <c r="B110" s="131" t="s">
        <v>1831</v>
      </c>
      <c r="C110" s="129">
        <v>1</v>
      </c>
      <c r="D110" s="129">
        <v>85000</v>
      </c>
      <c r="E110" s="129">
        <v>1100</v>
      </c>
      <c r="F110" s="132" t="s">
        <v>37</v>
      </c>
      <c r="G110" s="201" t="s">
        <v>1832</v>
      </c>
      <c r="H110" s="202" t="s">
        <v>1840</v>
      </c>
      <c r="I110" s="202" t="s">
        <v>1759</v>
      </c>
      <c r="J110" s="202"/>
      <c r="K110" s="202"/>
      <c r="L110" s="202"/>
      <c r="M110" s="202"/>
      <c r="N110" s="202" t="s">
        <v>1833</v>
      </c>
      <c r="O110" s="202" t="s">
        <v>1834</v>
      </c>
      <c r="P110" s="202" t="s">
        <v>1835</v>
      </c>
      <c r="Q110" s="202" t="s">
        <v>1836</v>
      </c>
      <c r="R110" s="203" t="s">
        <v>1837</v>
      </c>
    </row>
    <row r="111" spans="1:18">
      <c r="A111" s="128">
        <v>1767</v>
      </c>
      <c r="B111" s="131" t="s">
        <v>1859</v>
      </c>
      <c r="C111" s="129">
        <v>1</v>
      </c>
      <c r="D111" s="129">
        <v>55100</v>
      </c>
      <c r="E111" s="129">
        <v>740</v>
      </c>
      <c r="F111" s="132" t="s">
        <v>19</v>
      </c>
      <c r="G111" s="201" t="s">
        <v>1860</v>
      </c>
      <c r="H111" s="202" t="s">
        <v>1854</v>
      </c>
      <c r="I111" s="202"/>
      <c r="J111" s="202"/>
      <c r="K111" s="202"/>
      <c r="L111" s="202"/>
      <c r="M111" s="202"/>
      <c r="N111" s="202" t="s">
        <v>1861</v>
      </c>
      <c r="O111" s="202" t="s">
        <v>1862</v>
      </c>
      <c r="P111" s="202" t="s">
        <v>1863</v>
      </c>
      <c r="Q111" s="202" t="s">
        <v>1864</v>
      </c>
      <c r="R111" s="203" t="s">
        <v>1865</v>
      </c>
    </row>
    <row r="112" spans="1:18">
      <c r="A112" s="128">
        <v>1768</v>
      </c>
      <c r="B112" s="131" t="s">
        <v>1866</v>
      </c>
      <c r="C112" s="129">
        <v>1</v>
      </c>
      <c r="D112" s="129">
        <v>48000</v>
      </c>
      <c r="E112" s="129">
        <v>700</v>
      </c>
      <c r="F112" s="132" t="s">
        <v>19</v>
      </c>
      <c r="G112" s="201" t="s">
        <v>1867</v>
      </c>
      <c r="H112" s="202" t="s">
        <v>1909</v>
      </c>
      <c r="I112" s="202"/>
      <c r="J112" s="202"/>
      <c r="K112" s="202"/>
      <c r="L112" s="202"/>
      <c r="M112" s="202"/>
      <c r="N112" s="202" t="s">
        <v>1868</v>
      </c>
      <c r="O112" s="202" t="s">
        <v>1869</v>
      </c>
      <c r="P112" s="202" t="s">
        <v>1870</v>
      </c>
      <c r="Q112" s="202" t="s">
        <v>1871</v>
      </c>
      <c r="R112" s="203" t="s">
        <v>1872</v>
      </c>
    </row>
    <row r="113" spans="1:18">
      <c r="A113" s="128">
        <v>1769</v>
      </c>
      <c r="B113" s="131" t="s">
        <v>1873</v>
      </c>
      <c r="C113" s="129">
        <v>1</v>
      </c>
      <c r="D113" s="129">
        <v>99999</v>
      </c>
      <c r="E113" s="129">
        <v>1053</v>
      </c>
      <c r="F113" s="132" t="s">
        <v>10</v>
      </c>
      <c r="G113" s="201" t="s">
        <v>1874</v>
      </c>
      <c r="H113" s="202" t="s">
        <v>1855</v>
      </c>
      <c r="I113" s="202"/>
      <c r="J113" s="202"/>
      <c r="K113" s="202"/>
      <c r="L113" s="202"/>
      <c r="M113" s="202"/>
      <c r="N113" s="202" t="s">
        <v>1875</v>
      </c>
      <c r="O113" s="202" t="s">
        <v>1876</v>
      </c>
      <c r="P113" s="202" t="s">
        <v>1877</v>
      </c>
      <c r="Q113" s="202" t="s">
        <v>1878</v>
      </c>
      <c r="R113" s="203" t="s">
        <v>1879</v>
      </c>
    </row>
    <row r="114" spans="1:18">
      <c r="A114" s="128">
        <v>1770</v>
      </c>
      <c r="B114" s="131" t="s">
        <v>1880</v>
      </c>
      <c r="C114" s="129">
        <v>1</v>
      </c>
      <c r="D114" s="129">
        <v>99999</v>
      </c>
      <c r="E114" s="129">
        <v>1050</v>
      </c>
      <c r="F114" s="132" t="s">
        <v>10</v>
      </c>
      <c r="G114" s="201" t="s">
        <v>1881</v>
      </c>
      <c r="H114" s="202" t="s">
        <v>1856</v>
      </c>
      <c r="I114" s="202"/>
      <c r="J114" s="202"/>
      <c r="K114" s="202"/>
      <c r="L114" s="202"/>
      <c r="M114" s="202"/>
      <c r="N114" s="202" t="s">
        <v>1882</v>
      </c>
      <c r="O114" s="202" t="s">
        <v>1883</v>
      </c>
      <c r="P114" s="202" t="s">
        <v>1884</v>
      </c>
      <c r="Q114" s="202" t="s">
        <v>1885</v>
      </c>
      <c r="R114" s="203" t="s">
        <v>1886</v>
      </c>
    </row>
    <row r="115" spans="1:18">
      <c r="A115" s="128">
        <v>1771</v>
      </c>
      <c r="B115" s="131" t="s">
        <v>1887</v>
      </c>
      <c r="C115" s="129">
        <v>1</v>
      </c>
      <c r="D115" s="129">
        <v>39710</v>
      </c>
      <c r="E115" s="129">
        <v>490</v>
      </c>
      <c r="F115" s="132" t="s">
        <v>10</v>
      </c>
      <c r="G115" s="201" t="s">
        <v>1889</v>
      </c>
      <c r="H115" s="202" t="s">
        <v>1857</v>
      </c>
      <c r="I115" s="202"/>
      <c r="J115" s="202"/>
      <c r="K115" s="202"/>
      <c r="L115" s="202"/>
      <c r="M115" s="202"/>
      <c r="N115" s="202" t="s">
        <v>1890</v>
      </c>
      <c r="O115" s="202" t="s">
        <v>1891</v>
      </c>
      <c r="P115" s="202" t="s">
        <v>1892</v>
      </c>
      <c r="Q115" s="202" t="s">
        <v>1893</v>
      </c>
      <c r="R115" s="203" t="s">
        <v>1894</v>
      </c>
    </row>
    <row r="116" spans="1:18">
      <c r="A116" s="128">
        <v>1772</v>
      </c>
      <c r="B116" s="131" t="s">
        <v>1895</v>
      </c>
      <c r="C116" s="129">
        <v>1</v>
      </c>
      <c r="D116" s="129">
        <v>30007</v>
      </c>
      <c r="E116" s="129">
        <v>450</v>
      </c>
      <c r="F116" s="132" t="s">
        <v>10</v>
      </c>
      <c r="G116" s="201" t="s">
        <v>1896</v>
      </c>
      <c r="H116" s="202" t="s">
        <v>1910</v>
      </c>
      <c r="I116" s="202"/>
      <c r="J116" s="202"/>
      <c r="K116" s="202"/>
      <c r="L116" s="202"/>
      <c r="M116" s="202"/>
      <c r="N116" s="202" t="s">
        <v>1897</v>
      </c>
      <c r="O116" s="202" t="s">
        <v>1898</v>
      </c>
      <c r="P116" s="202" t="s">
        <v>1899</v>
      </c>
      <c r="Q116" s="202" t="s">
        <v>1900</v>
      </c>
      <c r="R116" s="203" t="s">
        <v>1901</v>
      </c>
    </row>
    <row r="117" spans="1:18">
      <c r="A117" s="128">
        <v>1773</v>
      </c>
      <c r="B117" s="131" t="s">
        <v>1902</v>
      </c>
      <c r="C117" s="129">
        <v>1</v>
      </c>
      <c r="D117" s="129">
        <v>72470</v>
      </c>
      <c r="E117" s="129">
        <v>800</v>
      </c>
      <c r="F117" s="132" t="s">
        <v>9</v>
      </c>
      <c r="G117" s="201" t="s">
        <v>1903</v>
      </c>
      <c r="H117" s="202" t="s">
        <v>1858</v>
      </c>
      <c r="I117" s="202"/>
      <c r="J117" s="202"/>
      <c r="K117" s="202"/>
      <c r="L117" s="202"/>
      <c r="M117" s="202"/>
      <c r="N117" s="202" t="s">
        <v>1904</v>
      </c>
      <c r="O117" s="202" t="s">
        <v>1905</v>
      </c>
      <c r="P117" s="202" t="s">
        <v>1906</v>
      </c>
      <c r="Q117" s="202" t="s">
        <v>1907</v>
      </c>
      <c r="R117" s="203" t="s">
        <v>1908</v>
      </c>
    </row>
    <row r="118" spans="1:18">
      <c r="A118" s="128">
        <v>1774</v>
      </c>
      <c r="B118" s="131" t="s">
        <v>1929</v>
      </c>
      <c r="C118" s="129">
        <v>1</v>
      </c>
      <c r="D118" s="129">
        <v>24200</v>
      </c>
      <c r="E118" s="129">
        <v>315</v>
      </c>
      <c r="F118" s="132" t="s">
        <v>11</v>
      </c>
      <c r="G118" s="201" t="s">
        <v>1923</v>
      </c>
      <c r="H118" s="202" t="s">
        <v>2012</v>
      </c>
      <c r="I118" s="202"/>
      <c r="J118" s="202"/>
      <c r="K118" s="202"/>
      <c r="L118" s="202"/>
      <c r="M118" s="202"/>
      <c r="N118" s="202" t="s">
        <v>1924</v>
      </c>
      <c r="O118" s="202" t="s">
        <v>1925</v>
      </c>
      <c r="P118" s="202" t="s">
        <v>1926</v>
      </c>
      <c r="Q118" s="202" t="s">
        <v>1927</v>
      </c>
      <c r="R118" s="203" t="s">
        <v>1928</v>
      </c>
    </row>
    <row r="119" spans="1:18">
      <c r="A119" s="128">
        <v>1775</v>
      </c>
      <c r="B119" s="131" t="s">
        <v>1930</v>
      </c>
      <c r="C119" s="129">
        <v>1</v>
      </c>
      <c r="D119" s="129">
        <v>72800</v>
      </c>
      <c r="E119" s="129">
        <v>890</v>
      </c>
      <c r="F119" s="132" t="s">
        <v>11</v>
      </c>
      <c r="G119" s="201" t="s">
        <v>1932</v>
      </c>
      <c r="H119" s="202" t="s">
        <v>1917</v>
      </c>
      <c r="I119" s="202"/>
      <c r="J119" s="202"/>
      <c r="K119" s="202"/>
      <c r="L119" s="202"/>
      <c r="M119" s="202"/>
      <c r="N119" s="202" t="s">
        <v>1933</v>
      </c>
      <c r="O119" s="202" t="s">
        <v>1934</v>
      </c>
      <c r="P119" s="202" t="s">
        <v>1935</v>
      </c>
      <c r="Q119" s="202" t="s">
        <v>1936</v>
      </c>
      <c r="R119" s="203" t="s">
        <v>1937</v>
      </c>
    </row>
    <row r="120" spans="1:18">
      <c r="A120" s="128">
        <v>1776</v>
      </c>
      <c r="B120" s="131" t="s">
        <v>1938</v>
      </c>
      <c r="C120" s="129">
        <v>1</v>
      </c>
      <c r="D120" s="129">
        <v>42000</v>
      </c>
      <c r="E120" s="129">
        <v>510</v>
      </c>
      <c r="F120" s="132" t="s">
        <v>11</v>
      </c>
      <c r="G120" s="201" t="s">
        <v>1940</v>
      </c>
      <c r="H120" s="202" t="s">
        <v>2013</v>
      </c>
      <c r="I120" s="202"/>
      <c r="J120" s="202"/>
      <c r="K120" s="202"/>
      <c r="L120" s="202"/>
      <c r="M120" s="202"/>
      <c r="N120" s="202" t="s">
        <v>1941</v>
      </c>
      <c r="O120" s="202" t="s">
        <v>1942</v>
      </c>
      <c r="P120" s="202" t="s">
        <v>1943</v>
      </c>
      <c r="Q120" s="202" t="s">
        <v>1944</v>
      </c>
      <c r="R120" s="203" t="s">
        <v>1945</v>
      </c>
    </row>
    <row r="121" spans="1:18">
      <c r="A121" s="128">
        <v>1777</v>
      </c>
      <c r="B121" s="131" t="s">
        <v>1947</v>
      </c>
      <c r="C121" s="129">
        <v>1</v>
      </c>
      <c r="D121" s="129">
        <v>14000</v>
      </c>
      <c r="E121" s="129">
        <v>220</v>
      </c>
      <c r="F121" s="132" t="s">
        <v>9</v>
      </c>
      <c r="G121" s="201" t="s">
        <v>1946</v>
      </c>
      <c r="H121" s="202" t="s">
        <v>2014</v>
      </c>
      <c r="I121" s="202" t="s">
        <v>2015</v>
      </c>
      <c r="J121" s="202"/>
      <c r="K121" s="202"/>
      <c r="L121" s="202"/>
      <c r="M121" s="202"/>
      <c r="N121" s="202" t="s">
        <v>1949</v>
      </c>
      <c r="O121" s="202" t="s">
        <v>1950</v>
      </c>
      <c r="P121" s="202" t="s">
        <v>1951</v>
      </c>
      <c r="Q121" s="202" t="s">
        <v>1952</v>
      </c>
      <c r="R121" s="203" t="s">
        <v>1953</v>
      </c>
    </row>
    <row r="122" spans="1:18">
      <c r="A122" s="128">
        <v>1778</v>
      </c>
      <c r="B122" s="131" t="s">
        <v>1954</v>
      </c>
      <c r="C122" s="129">
        <v>1</v>
      </c>
      <c r="D122" s="129">
        <v>17800</v>
      </c>
      <c r="E122" s="129">
        <v>269</v>
      </c>
      <c r="F122" s="132" t="s">
        <v>13</v>
      </c>
      <c r="G122" s="201" t="s">
        <v>1956</v>
      </c>
      <c r="H122" s="202" t="s">
        <v>2016</v>
      </c>
      <c r="I122" s="202"/>
      <c r="J122" s="202"/>
      <c r="K122" s="202"/>
      <c r="L122" s="202"/>
      <c r="M122" s="202"/>
      <c r="N122" s="202" t="s">
        <v>1957</v>
      </c>
      <c r="O122" s="202" t="s">
        <v>1958</v>
      </c>
      <c r="P122" s="202" t="s">
        <v>1959</v>
      </c>
      <c r="Q122" s="202" t="s">
        <v>1960</v>
      </c>
      <c r="R122" s="203" t="s">
        <v>1961</v>
      </c>
    </row>
    <row r="123" spans="1:18">
      <c r="A123" s="128">
        <v>1779</v>
      </c>
      <c r="B123" s="131" t="s">
        <v>1962</v>
      </c>
      <c r="C123" s="129">
        <v>1</v>
      </c>
      <c r="D123" s="129">
        <v>100000</v>
      </c>
      <c r="E123" s="129">
        <v>1090</v>
      </c>
      <c r="F123" s="132" t="s">
        <v>91</v>
      </c>
      <c r="G123" s="201" t="s">
        <v>1964</v>
      </c>
      <c r="H123" s="202" t="s">
        <v>1918</v>
      </c>
      <c r="I123" s="202"/>
      <c r="J123" s="202"/>
      <c r="K123" s="202"/>
      <c r="L123" s="202"/>
      <c r="M123" s="202"/>
      <c r="N123" s="202" t="s">
        <v>1965</v>
      </c>
      <c r="O123" s="202" t="s">
        <v>1966</v>
      </c>
      <c r="P123" s="202" t="s">
        <v>1967</v>
      </c>
      <c r="Q123" s="202" t="s">
        <v>1968</v>
      </c>
      <c r="R123" s="203" t="s">
        <v>1969</v>
      </c>
    </row>
    <row r="124" spans="1:18">
      <c r="A124" s="128">
        <v>1780</v>
      </c>
      <c r="B124" s="131" t="s">
        <v>1970</v>
      </c>
      <c r="C124" s="129">
        <v>1</v>
      </c>
      <c r="D124" s="129">
        <v>100000</v>
      </c>
      <c r="E124" s="129">
        <v>1090</v>
      </c>
      <c r="F124" s="132" t="s">
        <v>91</v>
      </c>
      <c r="G124" s="201" t="s">
        <v>1972</v>
      </c>
      <c r="H124" s="202" t="s">
        <v>1919</v>
      </c>
      <c r="I124" s="202"/>
      <c r="J124" s="202"/>
      <c r="K124" s="202"/>
      <c r="L124" s="202"/>
      <c r="M124" s="202"/>
      <c r="N124" s="202" t="s">
        <v>1973</v>
      </c>
      <c r="O124" s="202" t="s">
        <v>1974</v>
      </c>
      <c r="P124" s="202" t="s">
        <v>1975</v>
      </c>
      <c r="Q124" s="202" t="s">
        <v>1976</v>
      </c>
      <c r="R124" s="203" t="s">
        <v>1977</v>
      </c>
    </row>
    <row r="125" spans="1:18">
      <c r="A125" s="128">
        <v>1781</v>
      </c>
      <c r="B125" s="131" t="s">
        <v>1978</v>
      </c>
      <c r="C125" s="129">
        <v>1</v>
      </c>
      <c r="D125" s="129">
        <v>99800</v>
      </c>
      <c r="E125" s="129">
        <v>1150</v>
      </c>
      <c r="F125" s="132" t="s">
        <v>18</v>
      </c>
      <c r="G125" s="201" t="s">
        <v>1980</v>
      </c>
      <c r="H125" s="202" t="s">
        <v>1920</v>
      </c>
      <c r="I125" s="202"/>
      <c r="J125" s="202"/>
      <c r="K125" s="202"/>
      <c r="L125" s="202"/>
      <c r="M125" s="202"/>
      <c r="N125" s="202" t="s">
        <v>1981</v>
      </c>
      <c r="O125" s="202" t="s">
        <v>1982</v>
      </c>
      <c r="P125" s="202" t="s">
        <v>1983</v>
      </c>
      <c r="Q125" s="202" t="s">
        <v>1984</v>
      </c>
      <c r="R125" s="203" t="s">
        <v>1985</v>
      </c>
    </row>
    <row r="126" spans="1:18">
      <c r="A126" s="128">
        <v>1782</v>
      </c>
      <c r="B126" s="131" t="s">
        <v>1993</v>
      </c>
      <c r="C126" s="129">
        <v>1</v>
      </c>
      <c r="D126" s="129">
        <v>29800</v>
      </c>
      <c r="E126" s="129">
        <v>450</v>
      </c>
      <c r="F126" s="132" t="s">
        <v>16</v>
      </c>
      <c r="G126" s="201" t="s">
        <v>1986</v>
      </c>
      <c r="H126" s="202" t="s">
        <v>2017</v>
      </c>
      <c r="I126" s="202"/>
      <c r="J126" s="202"/>
      <c r="K126" s="202"/>
      <c r="L126" s="202"/>
      <c r="M126" s="202"/>
      <c r="N126" s="202" t="s">
        <v>1987</v>
      </c>
      <c r="O126" s="202" t="s">
        <v>1988</v>
      </c>
      <c r="P126" s="202" t="s">
        <v>1989</v>
      </c>
      <c r="Q126" s="202" t="s">
        <v>1990</v>
      </c>
      <c r="R126" s="203" t="s">
        <v>1991</v>
      </c>
    </row>
    <row r="127" spans="1:18">
      <c r="A127" s="128">
        <v>1783</v>
      </c>
      <c r="B127" s="131" t="s">
        <v>1994</v>
      </c>
      <c r="C127" s="129">
        <v>1</v>
      </c>
      <c r="D127" s="129">
        <v>56400</v>
      </c>
      <c r="E127" s="129">
        <v>710</v>
      </c>
      <c r="F127" s="132" t="s">
        <v>11</v>
      </c>
      <c r="G127" s="201" t="s">
        <v>1996</v>
      </c>
      <c r="H127" s="202" t="s">
        <v>1921</v>
      </c>
      <c r="I127" s="202" t="s">
        <v>2019</v>
      </c>
      <c r="J127" s="202"/>
      <c r="K127" s="202"/>
      <c r="L127" s="202"/>
      <c r="M127" s="202"/>
      <c r="N127" s="202" t="s">
        <v>1997</v>
      </c>
      <c r="O127" s="202" t="s">
        <v>1998</v>
      </c>
      <c r="P127" s="202" t="s">
        <v>1999</v>
      </c>
      <c r="Q127" s="202" t="s">
        <v>2000</v>
      </c>
      <c r="R127" s="203" t="s">
        <v>2001</v>
      </c>
    </row>
    <row r="128" spans="1:18">
      <c r="A128" s="128">
        <v>1784</v>
      </c>
      <c r="B128" s="131" t="s">
        <v>2002</v>
      </c>
      <c r="C128" s="129">
        <v>1</v>
      </c>
      <c r="D128" s="129">
        <v>23320</v>
      </c>
      <c r="E128" s="129">
        <v>300</v>
      </c>
      <c r="F128" s="132" t="s">
        <v>9</v>
      </c>
      <c r="G128" s="201" t="s">
        <v>2004</v>
      </c>
      <c r="H128" s="202" t="s">
        <v>2020</v>
      </c>
      <c r="I128" s="202"/>
      <c r="J128" s="202"/>
      <c r="K128" s="202"/>
      <c r="L128" s="202"/>
      <c r="M128" s="202"/>
      <c r="N128" s="202" t="s">
        <v>2005</v>
      </c>
      <c r="O128" s="202" t="s">
        <v>2006</v>
      </c>
      <c r="P128" s="202" t="s">
        <v>2007</v>
      </c>
      <c r="Q128" s="202" t="s">
        <v>2008</v>
      </c>
      <c r="R128" s="203" t="s">
        <v>2009</v>
      </c>
    </row>
    <row r="129" spans="1:18">
      <c r="A129" s="128">
        <v>1785</v>
      </c>
      <c r="B129" s="131" t="s">
        <v>2025</v>
      </c>
      <c r="C129" s="129">
        <v>1</v>
      </c>
      <c r="D129" s="129">
        <v>25000</v>
      </c>
      <c r="E129" s="129">
        <v>305</v>
      </c>
      <c r="F129" s="132" t="s">
        <v>9</v>
      </c>
      <c r="G129" s="201" t="s">
        <v>2026</v>
      </c>
      <c r="H129" s="202" t="s">
        <v>2104</v>
      </c>
      <c r="I129" s="202"/>
      <c r="J129" s="202"/>
      <c r="K129" s="202"/>
      <c r="L129" s="202"/>
      <c r="M129" s="202"/>
      <c r="N129" s="202" t="s">
        <v>2027</v>
      </c>
      <c r="O129" s="202" t="s">
        <v>2028</v>
      </c>
      <c r="P129" s="202" t="s">
        <v>2029</v>
      </c>
      <c r="Q129" s="202" t="s">
        <v>2030</v>
      </c>
      <c r="R129" s="203" t="s">
        <v>2031</v>
      </c>
    </row>
    <row r="130" spans="1:18">
      <c r="A130" s="128">
        <v>1786</v>
      </c>
      <c r="B130" s="131" t="s">
        <v>2032</v>
      </c>
      <c r="C130" s="129">
        <v>1</v>
      </c>
      <c r="D130" s="129">
        <v>18400</v>
      </c>
      <c r="E130" s="129">
        <v>259</v>
      </c>
      <c r="F130" s="132" t="s">
        <v>9</v>
      </c>
      <c r="G130" s="201" t="s">
        <v>2033</v>
      </c>
      <c r="H130" s="202" t="s">
        <v>2105</v>
      </c>
      <c r="I130" s="202"/>
      <c r="J130" s="202"/>
      <c r="K130" s="202"/>
      <c r="L130" s="202"/>
      <c r="M130" s="202"/>
      <c r="N130" s="202" t="s">
        <v>2034</v>
      </c>
      <c r="O130" s="202" t="s">
        <v>2035</v>
      </c>
      <c r="P130" s="202" t="s">
        <v>2036</v>
      </c>
      <c r="Q130" s="202" t="s">
        <v>2037</v>
      </c>
      <c r="R130" s="203" t="s">
        <v>2038</v>
      </c>
    </row>
    <row r="131" spans="1:18">
      <c r="A131" s="128">
        <v>1787</v>
      </c>
      <c r="B131" s="131" t="s">
        <v>2039</v>
      </c>
      <c r="C131" s="129">
        <v>1</v>
      </c>
      <c r="D131" s="129">
        <v>15800</v>
      </c>
      <c r="E131" s="129">
        <v>202</v>
      </c>
      <c r="F131" s="132" t="s">
        <v>9</v>
      </c>
      <c r="G131" s="201" t="s">
        <v>2040</v>
      </c>
      <c r="H131" s="202" t="s">
        <v>2021</v>
      </c>
      <c r="I131" s="202"/>
      <c r="J131" s="202"/>
      <c r="K131" s="202"/>
      <c r="L131" s="202"/>
      <c r="M131" s="202"/>
      <c r="N131" s="202" t="s">
        <v>2041</v>
      </c>
      <c r="O131" s="202" t="s">
        <v>2042</v>
      </c>
      <c r="P131" s="202" t="s">
        <v>2043</v>
      </c>
      <c r="Q131" s="202" t="s">
        <v>2044</v>
      </c>
      <c r="R131" s="203" t="s">
        <v>2045</v>
      </c>
    </row>
    <row r="132" spans="1:18">
      <c r="A132" s="128">
        <v>1788</v>
      </c>
      <c r="B132" s="131" t="s">
        <v>2047</v>
      </c>
      <c r="C132" s="129">
        <v>1</v>
      </c>
      <c r="D132" s="129">
        <v>44800</v>
      </c>
      <c r="E132" s="129">
        <v>509</v>
      </c>
      <c r="F132" s="132" t="s">
        <v>10</v>
      </c>
      <c r="G132" s="201" t="s">
        <v>2048</v>
      </c>
      <c r="H132" s="202" t="s">
        <v>2022</v>
      </c>
      <c r="I132" s="202"/>
      <c r="J132" s="202"/>
      <c r="K132" s="202"/>
      <c r="L132" s="202"/>
      <c r="M132" s="202"/>
      <c r="N132" s="202" t="s">
        <v>2049</v>
      </c>
      <c r="O132" s="202" t="s">
        <v>2050</v>
      </c>
      <c r="P132" s="202" t="s">
        <v>2051</v>
      </c>
      <c r="Q132" s="202" t="s">
        <v>2052</v>
      </c>
      <c r="R132" s="203" t="s">
        <v>2053</v>
      </c>
    </row>
    <row r="133" spans="1:18">
      <c r="A133" s="128">
        <v>1789</v>
      </c>
      <c r="B133" s="131" t="s">
        <v>2054</v>
      </c>
      <c r="C133" s="129">
        <v>1</v>
      </c>
      <c r="D133" s="129">
        <v>35000</v>
      </c>
      <c r="E133" s="129">
        <v>408</v>
      </c>
      <c r="F133" s="132" t="s">
        <v>10</v>
      </c>
      <c r="G133" s="201" t="s">
        <v>2046</v>
      </c>
      <c r="H133" s="202" t="s">
        <v>2102</v>
      </c>
      <c r="I133" s="202"/>
      <c r="J133" s="202"/>
      <c r="K133" s="202"/>
      <c r="L133" s="202"/>
      <c r="M133" s="202"/>
      <c r="N133" s="202" t="s">
        <v>2055</v>
      </c>
      <c r="O133" s="202" t="s">
        <v>2056</v>
      </c>
      <c r="P133" s="202" t="s">
        <v>2057</v>
      </c>
      <c r="Q133" s="202" t="s">
        <v>2058</v>
      </c>
      <c r="R133" s="203" t="s">
        <v>2059</v>
      </c>
    </row>
    <row r="134" spans="1:18">
      <c r="A134" s="128">
        <v>1790</v>
      </c>
      <c r="B134" s="131" t="s">
        <v>2060</v>
      </c>
      <c r="C134" s="129">
        <v>1</v>
      </c>
      <c r="D134" s="129">
        <v>22999</v>
      </c>
      <c r="E134" s="129">
        <v>279</v>
      </c>
      <c r="F134" s="132" t="s">
        <v>10</v>
      </c>
      <c r="G134" s="201" t="s">
        <v>2061</v>
      </c>
      <c r="H134" s="202" t="s">
        <v>2106</v>
      </c>
      <c r="I134" s="202" t="s">
        <v>2103</v>
      </c>
      <c r="J134" s="202"/>
      <c r="K134" s="202"/>
      <c r="L134" s="202"/>
      <c r="M134" s="202"/>
      <c r="N134" s="202" t="s">
        <v>2062</v>
      </c>
      <c r="O134" s="202" t="s">
        <v>2063</v>
      </c>
      <c r="P134" s="202" t="s">
        <v>2064</v>
      </c>
      <c r="Q134" s="202" t="s">
        <v>2065</v>
      </c>
      <c r="R134" s="203" t="s">
        <v>2066</v>
      </c>
    </row>
    <row r="135" spans="1:18">
      <c r="A135" s="128">
        <v>1791</v>
      </c>
      <c r="B135" s="131" t="s">
        <v>2068</v>
      </c>
      <c r="C135" s="129">
        <v>1</v>
      </c>
      <c r="D135" s="129">
        <v>20000</v>
      </c>
      <c r="E135" s="129">
        <v>360</v>
      </c>
      <c r="F135" s="132" t="s">
        <v>22</v>
      </c>
      <c r="G135" s="201" t="s">
        <v>2067</v>
      </c>
      <c r="H135" s="202" t="s">
        <v>2107</v>
      </c>
      <c r="I135" s="202" t="s">
        <v>2108</v>
      </c>
      <c r="J135" s="202" t="s">
        <v>2109</v>
      </c>
      <c r="K135" s="202" t="s">
        <v>2110</v>
      </c>
      <c r="L135" s="202"/>
      <c r="M135" s="202"/>
      <c r="N135" s="202" t="s">
        <v>2069</v>
      </c>
      <c r="O135" s="202" t="s">
        <v>2070</v>
      </c>
      <c r="P135" s="202" t="s">
        <v>2071</v>
      </c>
      <c r="Q135" s="202" t="s">
        <v>2072</v>
      </c>
      <c r="R135" s="203" t="s">
        <v>2073</v>
      </c>
    </row>
    <row r="136" spans="1:18">
      <c r="A136" s="128">
        <v>1792</v>
      </c>
      <c r="B136" s="131" t="s">
        <v>2074</v>
      </c>
      <c r="C136" s="129">
        <v>1</v>
      </c>
      <c r="D136" s="129">
        <v>39800</v>
      </c>
      <c r="E136" s="129">
        <v>500</v>
      </c>
      <c r="F136" s="132" t="s">
        <v>14</v>
      </c>
      <c r="G136" s="201" t="s">
        <v>2075</v>
      </c>
      <c r="H136" s="202" t="s">
        <v>2023</v>
      </c>
      <c r="I136" s="202"/>
      <c r="J136" s="202"/>
      <c r="K136" s="202"/>
      <c r="L136" s="202"/>
      <c r="M136" s="202"/>
      <c r="N136" s="202" t="s">
        <v>2076</v>
      </c>
      <c r="O136" s="202" t="s">
        <v>2077</v>
      </c>
      <c r="P136" s="202" t="s">
        <v>2078</v>
      </c>
      <c r="Q136" s="202" t="s">
        <v>2079</v>
      </c>
      <c r="R136" s="203" t="s">
        <v>2080</v>
      </c>
    </row>
    <row r="137" spans="1:18">
      <c r="A137" s="128">
        <v>1793</v>
      </c>
      <c r="B137" s="131" t="s">
        <v>2081</v>
      </c>
      <c r="C137" s="129">
        <v>1</v>
      </c>
      <c r="D137" s="129">
        <v>32000</v>
      </c>
      <c r="E137" s="129">
        <v>490</v>
      </c>
      <c r="F137" s="132" t="s">
        <v>11</v>
      </c>
      <c r="G137" s="201" t="s">
        <v>2082</v>
      </c>
      <c r="H137" s="202" t="s">
        <v>2111</v>
      </c>
      <c r="I137" s="202" t="s">
        <v>2112</v>
      </c>
      <c r="J137" s="202"/>
      <c r="K137" s="202"/>
      <c r="L137" s="202"/>
      <c r="M137" s="202"/>
      <c r="N137" s="202" t="s">
        <v>2083</v>
      </c>
      <c r="O137" s="202" t="s">
        <v>2084</v>
      </c>
      <c r="P137" s="202" t="s">
        <v>2085</v>
      </c>
      <c r="Q137" s="202" t="s">
        <v>2086</v>
      </c>
      <c r="R137" s="203" t="s">
        <v>2087</v>
      </c>
    </row>
    <row r="138" spans="1:18">
      <c r="A138" s="128">
        <v>1794</v>
      </c>
      <c r="B138" s="131" t="s">
        <v>2088</v>
      </c>
      <c r="C138" s="129">
        <v>1</v>
      </c>
      <c r="D138" s="129">
        <v>42000</v>
      </c>
      <c r="E138" s="129">
        <v>505</v>
      </c>
      <c r="F138" s="132" t="s">
        <v>11</v>
      </c>
      <c r="G138" s="201" t="s">
        <v>2089</v>
      </c>
      <c r="H138" s="202" t="s">
        <v>2113</v>
      </c>
      <c r="I138" s="202"/>
      <c r="J138" s="202"/>
      <c r="K138" s="202"/>
      <c r="L138" s="202"/>
      <c r="M138" s="202"/>
      <c r="N138" s="202" t="s">
        <v>2090</v>
      </c>
      <c r="O138" s="202" t="s">
        <v>2091</v>
      </c>
      <c r="P138" s="202" t="s">
        <v>2092</v>
      </c>
      <c r="Q138" s="202" t="s">
        <v>2093</v>
      </c>
      <c r="R138" s="203" t="s">
        <v>2094</v>
      </c>
    </row>
    <row r="139" spans="1:18">
      <c r="A139" s="128">
        <v>1795</v>
      </c>
      <c r="B139" s="131" t="s">
        <v>2095</v>
      </c>
      <c r="C139" s="129">
        <v>1</v>
      </c>
      <c r="D139" s="129">
        <v>20000</v>
      </c>
      <c r="E139" s="129">
        <v>310</v>
      </c>
      <c r="F139" s="132" t="s">
        <v>11</v>
      </c>
      <c r="G139" s="201" t="s">
        <v>2096</v>
      </c>
      <c r="H139" s="202" t="s">
        <v>2024</v>
      </c>
      <c r="I139" s="202" t="s">
        <v>2114</v>
      </c>
      <c r="J139" s="202"/>
      <c r="K139" s="202"/>
      <c r="L139" s="202"/>
      <c r="M139" s="202"/>
      <c r="N139" s="202" t="s">
        <v>2097</v>
      </c>
      <c r="O139" s="202" t="s">
        <v>2098</v>
      </c>
      <c r="P139" s="202" t="s">
        <v>2099</v>
      </c>
      <c r="Q139" s="202" t="s">
        <v>2100</v>
      </c>
      <c r="R139" s="203" t="s">
        <v>2101</v>
      </c>
    </row>
    <row r="140" spans="1:18">
      <c r="A140" s="128">
        <v>1796</v>
      </c>
      <c r="B140" s="131" t="s">
        <v>2126</v>
      </c>
      <c r="C140" s="129">
        <v>1</v>
      </c>
      <c r="D140" s="129">
        <v>12600</v>
      </c>
      <c r="E140" s="129">
        <v>169</v>
      </c>
      <c r="F140" s="132" t="s">
        <v>9</v>
      </c>
      <c r="G140" s="201" t="s">
        <v>2128</v>
      </c>
      <c r="H140" s="202" t="s">
        <v>2216</v>
      </c>
      <c r="I140" s="202"/>
      <c r="J140" s="202"/>
      <c r="K140" s="202"/>
      <c r="L140" s="202"/>
      <c r="M140" s="202"/>
      <c r="N140" s="202" t="s">
        <v>2129</v>
      </c>
      <c r="O140" s="202" t="s">
        <v>2130</v>
      </c>
      <c r="P140" s="202" t="s">
        <v>2131</v>
      </c>
      <c r="Q140" s="202" t="s">
        <v>2132</v>
      </c>
      <c r="R140" s="203" t="s">
        <v>2133</v>
      </c>
    </row>
    <row r="141" spans="1:18">
      <c r="A141" s="128">
        <v>1797</v>
      </c>
      <c r="B141" s="131" t="s">
        <v>2134</v>
      </c>
      <c r="C141" s="129">
        <v>1</v>
      </c>
      <c r="D141" s="129">
        <v>10460</v>
      </c>
      <c r="E141" s="129">
        <v>178</v>
      </c>
      <c r="F141" s="132" t="s">
        <v>9</v>
      </c>
      <c r="G141" s="201" t="s">
        <v>2136</v>
      </c>
      <c r="H141" s="202" t="s">
        <v>2116</v>
      </c>
      <c r="I141" s="202" t="s">
        <v>2117</v>
      </c>
      <c r="J141" s="202"/>
      <c r="K141" s="202"/>
      <c r="L141" s="202"/>
      <c r="M141" s="202"/>
      <c r="N141" s="202" t="s">
        <v>2137</v>
      </c>
      <c r="O141" s="202" t="s">
        <v>2138</v>
      </c>
      <c r="P141" s="202" t="s">
        <v>2139</v>
      </c>
      <c r="Q141" s="202" t="s">
        <v>2140</v>
      </c>
      <c r="R141" s="203" t="s">
        <v>2141</v>
      </c>
    </row>
    <row r="142" spans="1:18">
      <c r="A142" s="128">
        <v>1798</v>
      </c>
      <c r="B142" s="131" t="s">
        <v>2142</v>
      </c>
      <c r="C142" s="129">
        <v>1</v>
      </c>
      <c r="D142" s="129">
        <v>11000</v>
      </c>
      <c r="E142" s="129">
        <v>170</v>
      </c>
      <c r="F142" s="132" t="s">
        <v>91</v>
      </c>
      <c r="G142" s="201" t="s">
        <v>2217</v>
      </c>
      <c r="H142" s="202" t="s">
        <v>2118</v>
      </c>
      <c r="I142" s="202"/>
      <c r="J142" s="202"/>
      <c r="K142" s="202"/>
      <c r="L142" s="202"/>
      <c r="M142" s="202"/>
      <c r="N142" s="202" t="s">
        <v>2144</v>
      </c>
      <c r="O142" s="202" t="s">
        <v>2145</v>
      </c>
      <c r="P142" s="202" t="s">
        <v>2146</v>
      </c>
      <c r="Q142" s="202" t="s">
        <v>2147</v>
      </c>
      <c r="R142" s="203" t="s">
        <v>2148</v>
      </c>
    </row>
    <row r="143" spans="1:18">
      <c r="A143" s="128">
        <v>1799</v>
      </c>
      <c r="B143" s="131" t="s">
        <v>2149</v>
      </c>
      <c r="C143" s="129">
        <v>1</v>
      </c>
      <c r="D143" s="129">
        <v>78600</v>
      </c>
      <c r="E143" s="129">
        <v>890</v>
      </c>
      <c r="F143" s="132" t="s">
        <v>15</v>
      </c>
      <c r="G143" s="201" t="s">
        <v>2151</v>
      </c>
      <c r="H143" s="202" t="s">
        <v>2119</v>
      </c>
      <c r="I143" s="202"/>
      <c r="J143" s="202"/>
      <c r="K143" s="202"/>
      <c r="L143" s="202"/>
      <c r="M143" s="202"/>
      <c r="N143" s="202" t="s">
        <v>2152</v>
      </c>
      <c r="O143" s="202" t="s">
        <v>2153</v>
      </c>
      <c r="P143" s="202" t="s">
        <v>2154</v>
      </c>
      <c r="Q143" s="202" t="s">
        <v>2155</v>
      </c>
      <c r="R143" s="203" t="s">
        <v>2156</v>
      </c>
    </row>
    <row r="144" spans="1:18">
      <c r="A144" s="128">
        <v>1800</v>
      </c>
      <c r="B144" s="131" t="s">
        <v>2157</v>
      </c>
      <c r="C144" s="129">
        <v>1</v>
      </c>
      <c r="D144" s="129">
        <v>75000</v>
      </c>
      <c r="E144" s="129">
        <v>820</v>
      </c>
      <c r="F144" s="132" t="s">
        <v>9</v>
      </c>
      <c r="G144" s="201" t="s">
        <v>2159</v>
      </c>
      <c r="H144" s="202" t="s">
        <v>2120</v>
      </c>
      <c r="I144" s="202"/>
      <c r="J144" s="202"/>
      <c r="K144" s="202"/>
      <c r="L144" s="202"/>
      <c r="M144" s="202"/>
      <c r="N144" s="202" t="s">
        <v>2160</v>
      </c>
      <c r="O144" s="202" t="s">
        <v>2161</v>
      </c>
      <c r="P144" s="202" t="s">
        <v>2162</v>
      </c>
      <c r="Q144" s="202" t="s">
        <v>2163</v>
      </c>
      <c r="R144" s="203" t="s">
        <v>2164</v>
      </c>
    </row>
    <row r="145" spans="1:18">
      <c r="A145" s="128">
        <v>1801</v>
      </c>
      <c r="B145" s="131" t="s">
        <v>2165</v>
      </c>
      <c r="C145" s="129">
        <v>1</v>
      </c>
      <c r="D145" s="129">
        <v>82999</v>
      </c>
      <c r="E145" s="129">
        <v>899</v>
      </c>
      <c r="F145" s="132" t="s">
        <v>12</v>
      </c>
      <c r="G145" s="201" t="s">
        <v>2167</v>
      </c>
      <c r="H145" s="202" t="s">
        <v>2121</v>
      </c>
      <c r="I145" s="202"/>
      <c r="J145" s="202"/>
      <c r="K145" s="202"/>
      <c r="L145" s="202"/>
      <c r="M145" s="202"/>
      <c r="N145" s="202" t="s">
        <v>2168</v>
      </c>
      <c r="O145" s="202" t="s">
        <v>2169</v>
      </c>
      <c r="P145" s="202" t="s">
        <v>2170</v>
      </c>
      <c r="Q145" s="202" t="s">
        <v>2171</v>
      </c>
      <c r="R145" s="203" t="s">
        <v>2172</v>
      </c>
    </row>
    <row r="146" spans="1:18">
      <c r="A146" s="128">
        <v>1802</v>
      </c>
      <c r="B146" s="131" t="s">
        <v>2173</v>
      </c>
      <c r="C146" s="129">
        <v>1</v>
      </c>
      <c r="D146" s="129">
        <v>39980</v>
      </c>
      <c r="E146" s="129">
        <v>499</v>
      </c>
      <c r="F146" s="132" t="s">
        <v>91</v>
      </c>
      <c r="G146" s="201" t="s">
        <v>2175</v>
      </c>
      <c r="H146" s="202" t="s">
        <v>2122</v>
      </c>
      <c r="I146" s="202"/>
      <c r="J146" s="202"/>
      <c r="K146" s="202"/>
      <c r="L146" s="202"/>
      <c r="M146" s="202"/>
      <c r="N146" s="202" t="s">
        <v>2176</v>
      </c>
      <c r="O146" s="202" t="s">
        <v>2177</v>
      </c>
      <c r="P146" s="202" t="s">
        <v>2178</v>
      </c>
      <c r="Q146" s="202" t="s">
        <v>2179</v>
      </c>
      <c r="R146" s="203" t="s">
        <v>2180</v>
      </c>
    </row>
    <row r="147" spans="1:18">
      <c r="A147" s="128">
        <v>1803</v>
      </c>
      <c r="B147" s="131" t="s">
        <v>2181</v>
      </c>
      <c r="C147" s="129">
        <v>1</v>
      </c>
      <c r="D147" s="129">
        <v>32000</v>
      </c>
      <c r="E147" s="129">
        <v>480</v>
      </c>
      <c r="F147" s="132" t="s">
        <v>13</v>
      </c>
      <c r="G147" s="201" t="s">
        <v>2183</v>
      </c>
      <c r="H147" s="202" t="s">
        <v>2123</v>
      </c>
      <c r="I147" s="202" t="s">
        <v>2124</v>
      </c>
      <c r="J147" s="202"/>
      <c r="K147" s="202"/>
      <c r="L147" s="202"/>
      <c r="M147" s="202"/>
      <c r="N147" s="202" t="s">
        <v>2184</v>
      </c>
      <c r="O147" s="202" t="s">
        <v>2185</v>
      </c>
      <c r="P147" s="202" t="s">
        <v>2186</v>
      </c>
      <c r="Q147" s="202" t="s">
        <v>2187</v>
      </c>
      <c r="R147" s="203" t="s">
        <v>2188</v>
      </c>
    </row>
    <row r="148" spans="1:18">
      <c r="A148" s="128">
        <v>1804</v>
      </c>
      <c r="B148" s="131" t="s">
        <v>2189</v>
      </c>
      <c r="C148" s="129">
        <v>1</v>
      </c>
      <c r="D148" s="129">
        <v>47750</v>
      </c>
      <c r="E148" s="129">
        <v>620</v>
      </c>
      <c r="F148" s="132" t="s">
        <v>17</v>
      </c>
      <c r="G148" s="201" t="s">
        <v>2191</v>
      </c>
      <c r="H148" s="202" t="s">
        <v>2125</v>
      </c>
      <c r="I148" s="202"/>
      <c r="J148" s="202"/>
      <c r="K148" s="202"/>
      <c r="L148" s="202"/>
      <c r="M148" s="202"/>
      <c r="N148" s="202" t="s">
        <v>2192</v>
      </c>
      <c r="O148" s="202" t="s">
        <v>2193</v>
      </c>
      <c r="P148" s="202" t="s">
        <v>2194</v>
      </c>
      <c r="Q148" s="202" t="s">
        <v>2195</v>
      </c>
      <c r="R148" s="203" t="s">
        <v>2196</v>
      </c>
    </row>
    <row r="149" spans="1:18">
      <c r="A149" s="128">
        <v>1805</v>
      </c>
      <c r="B149" s="131" t="s">
        <v>2204</v>
      </c>
      <c r="C149" s="129">
        <v>1</v>
      </c>
      <c r="D149" s="129">
        <v>11111</v>
      </c>
      <c r="E149" s="129">
        <v>195</v>
      </c>
      <c r="F149" s="132" t="s">
        <v>91</v>
      </c>
      <c r="G149" s="201" t="s">
        <v>2198</v>
      </c>
      <c r="H149" s="202" t="s">
        <v>2220</v>
      </c>
      <c r="I149" s="202"/>
      <c r="J149" s="202"/>
      <c r="K149" s="202"/>
      <c r="L149" s="202"/>
      <c r="M149" s="202"/>
      <c r="N149" s="202" t="s">
        <v>2199</v>
      </c>
      <c r="O149" s="202" t="s">
        <v>2200</v>
      </c>
      <c r="P149" s="202" t="s">
        <v>2201</v>
      </c>
      <c r="Q149" s="202" t="s">
        <v>2202</v>
      </c>
      <c r="R149" s="203" t="s">
        <v>2203</v>
      </c>
    </row>
    <row r="150" spans="1:18">
      <c r="A150" s="128">
        <v>1806</v>
      </c>
      <c r="B150" s="131" t="s">
        <v>2226</v>
      </c>
      <c r="C150" s="129">
        <v>1</v>
      </c>
      <c r="D150" s="129">
        <v>33000</v>
      </c>
      <c r="E150" s="129">
        <v>365</v>
      </c>
      <c r="F150" s="132" t="s">
        <v>9</v>
      </c>
      <c r="G150" s="201" t="s">
        <v>2228</v>
      </c>
      <c r="H150" s="202" t="s">
        <v>2273</v>
      </c>
      <c r="I150" s="202"/>
      <c r="J150" s="202"/>
      <c r="K150" s="202"/>
      <c r="L150" s="202"/>
      <c r="M150" s="202"/>
      <c r="N150" s="202" t="s">
        <v>2229</v>
      </c>
      <c r="O150" s="202" t="s">
        <v>2230</v>
      </c>
      <c r="P150" s="202" t="s">
        <v>2231</v>
      </c>
      <c r="Q150" s="202" t="s">
        <v>2232</v>
      </c>
      <c r="R150" s="203" t="s">
        <v>2233</v>
      </c>
    </row>
    <row r="151" spans="1:18">
      <c r="A151" s="128">
        <v>1807</v>
      </c>
      <c r="B151" s="131" t="s">
        <v>2234</v>
      </c>
      <c r="C151" s="129">
        <v>1</v>
      </c>
      <c r="D151" s="129">
        <v>35000</v>
      </c>
      <c r="E151" s="129">
        <v>405</v>
      </c>
      <c r="F151" s="132" t="s">
        <v>9</v>
      </c>
      <c r="G151" s="201" t="s">
        <v>2236</v>
      </c>
      <c r="H151" s="202" t="s">
        <v>2221</v>
      </c>
      <c r="I151" s="202"/>
      <c r="J151" s="202"/>
      <c r="K151" s="202"/>
      <c r="L151" s="202"/>
      <c r="M151" s="202"/>
      <c r="N151" s="202" t="s">
        <v>2237</v>
      </c>
      <c r="O151" s="202" t="s">
        <v>2238</v>
      </c>
      <c r="P151" s="202" t="s">
        <v>2239</v>
      </c>
      <c r="Q151" s="202" t="s">
        <v>2240</v>
      </c>
      <c r="R151" s="203" t="s">
        <v>2241</v>
      </c>
    </row>
    <row r="152" spans="1:18">
      <c r="A152" s="128">
        <v>1808</v>
      </c>
      <c r="B152" s="131" t="s">
        <v>2242</v>
      </c>
      <c r="C152" s="129">
        <v>1</v>
      </c>
      <c r="D152" s="129">
        <v>28205</v>
      </c>
      <c r="E152" s="129">
        <v>394</v>
      </c>
      <c r="F152" s="132" t="s">
        <v>91</v>
      </c>
      <c r="G152" s="201" t="s">
        <v>2244</v>
      </c>
      <c r="H152" s="202" t="s">
        <v>2222</v>
      </c>
      <c r="I152" s="202"/>
      <c r="J152" s="202"/>
      <c r="K152" s="202"/>
      <c r="L152" s="202"/>
      <c r="M152" s="202"/>
      <c r="N152" s="202" t="s">
        <v>2245</v>
      </c>
      <c r="O152" s="202" t="s">
        <v>2246</v>
      </c>
      <c r="P152" s="202" t="s">
        <v>2247</v>
      </c>
      <c r="Q152" s="202" t="s">
        <v>2248</v>
      </c>
      <c r="R152" s="203" t="s">
        <v>2249</v>
      </c>
    </row>
    <row r="153" spans="1:18">
      <c r="A153" s="128">
        <v>1809</v>
      </c>
      <c r="B153" s="131" t="s">
        <v>2250</v>
      </c>
      <c r="C153" s="129">
        <v>1</v>
      </c>
      <c r="D153" s="129">
        <v>85000</v>
      </c>
      <c r="E153" s="129">
        <v>1050</v>
      </c>
      <c r="F153" s="132" t="s">
        <v>10</v>
      </c>
      <c r="G153" s="201" t="s">
        <v>2274</v>
      </c>
      <c r="H153" s="202" t="s">
        <v>2223</v>
      </c>
      <c r="I153" s="202"/>
      <c r="J153" s="202"/>
      <c r="K153" s="202"/>
      <c r="L153" s="202"/>
      <c r="M153" s="202"/>
      <c r="N153" s="202" t="s">
        <v>2252</v>
      </c>
      <c r="O153" s="202" t="s">
        <v>2253</v>
      </c>
      <c r="P153" s="202" t="s">
        <v>2254</v>
      </c>
      <c r="Q153" s="202" t="s">
        <v>2255</v>
      </c>
      <c r="R153" s="203" t="s">
        <v>2256</v>
      </c>
    </row>
    <row r="154" spans="1:18">
      <c r="A154" s="128">
        <v>1810</v>
      </c>
      <c r="B154" s="131" t="s">
        <v>2257</v>
      </c>
      <c r="C154" s="129">
        <v>1</v>
      </c>
      <c r="D154" s="129">
        <v>100000</v>
      </c>
      <c r="E154" s="129">
        <v>1050</v>
      </c>
      <c r="F154" s="132" t="s">
        <v>91</v>
      </c>
      <c r="G154" s="201" t="s">
        <v>2259</v>
      </c>
      <c r="H154" s="202" t="s">
        <v>2224</v>
      </c>
      <c r="I154" s="202"/>
      <c r="J154" s="202"/>
      <c r="K154" s="202"/>
      <c r="L154" s="202"/>
      <c r="M154" s="202"/>
      <c r="N154" s="202" t="s">
        <v>2260</v>
      </c>
      <c r="O154" s="202" t="s">
        <v>2261</v>
      </c>
      <c r="P154" s="202" t="s">
        <v>2262</v>
      </c>
      <c r="Q154" s="202" t="s">
        <v>2263</v>
      </c>
      <c r="R154" s="203" t="s">
        <v>2264</v>
      </c>
    </row>
    <row r="155" spans="1:18">
      <c r="A155" s="128">
        <v>1811</v>
      </c>
      <c r="B155" s="131" t="s">
        <v>2265</v>
      </c>
      <c r="C155" s="129">
        <v>1</v>
      </c>
      <c r="D155" s="129">
        <v>58000</v>
      </c>
      <c r="E155" s="129">
        <v>640</v>
      </c>
      <c r="F155" s="132" t="s">
        <v>91</v>
      </c>
      <c r="G155" s="201" t="s">
        <v>2267</v>
      </c>
      <c r="H155" s="202" t="s">
        <v>2225</v>
      </c>
      <c r="I155" s="202"/>
      <c r="J155" s="202"/>
      <c r="K155" s="202"/>
      <c r="L155" s="202"/>
      <c r="M155" s="202"/>
      <c r="N155" s="202" t="s">
        <v>2268</v>
      </c>
      <c r="O155" s="202" t="s">
        <v>2269</v>
      </c>
      <c r="P155" s="202" t="s">
        <v>2270</v>
      </c>
      <c r="Q155" s="202" t="s">
        <v>2271</v>
      </c>
      <c r="R155" s="203" t="s">
        <v>2272</v>
      </c>
    </row>
    <row r="156" spans="1:18">
      <c r="A156" s="128">
        <v>1812</v>
      </c>
      <c r="B156" s="131" t="s">
        <v>2287</v>
      </c>
      <c r="C156" s="129">
        <v>1</v>
      </c>
      <c r="D156" s="129">
        <v>26000</v>
      </c>
      <c r="E156" s="129">
        <v>335</v>
      </c>
      <c r="F156" s="132" t="s">
        <v>14</v>
      </c>
      <c r="G156" s="201" t="s">
        <v>2288</v>
      </c>
      <c r="H156" s="202" t="s">
        <v>2365</v>
      </c>
      <c r="I156" s="202"/>
      <c r="J156" s="202"/>
      <c r="K156" s="202"/>
      <c r="L156" s="202"/>
      <c r="M156" s="202"/>
      <c r="N156" s="202" t="s">
        <v>2289</v>
      </c>
      <c r="O156" s="202" t="s">
        <v>2290</v>
      </c>
      <c r="P156" s="202" t="s">
        <v>2291</v>
      </c>
      <c r="Q156" s="202" t="s">
        <v>2292</v>
      </c>
      <c r="R156" s="203" t="s">
        <v>2293</v>
      </c>
    </row>
    <row r="157" spans="1:18">
      <c r="A157" s="128">
        <v>1813</v>
      </c>
      <c r="B157" s="131" t="s">
        <v>2294</v>
      </c>
      <c r="C157" s="129">
        <v>1</v>
      </c>
      <c r="D157" s="129">
        <v>39800</v>
      </c>
      <c r="E157" s="129">
        <v>580</v>
      </c>
      <c r="F157" s="132" t="s">
        <v>15</v>
      </c>
      <c r="G157" s="201" t="s">
        <v>2366</v>
      </c>
      <c r="H157" s="202" t="s">
        <v>2281</v>
      </c>
      <c r="I157" s="202" t="s">
        <v>2367</v>
      </c>
      <c r="J157" s="202"/>
      <c r="K157" s="202"/>
      <c r="L157" s="202"/>
      <c r="M157" s="202"/>
      <c r="N157" s="202" t="s">
        <v>2296</v>
      </c>
      <c r="O157" s="202" t="s">
        <v>2297</v>
      </c>
      <c r="P157" s="202" t="s">
        <v>2298</v>
      </c>
      <c r="Q157" s="202" t="s">
        <v>2299</v>
      </c>
      <c r="R157" s="203" t="s">
        <v>2300</v>
      </c>
    </row>
    <row r="158" spans="1:18">
      <c r="A158" s="128">
        <v>1814</v>
      </c>
      <c r="B158" s="131" t="s">
        <v>2301</v>
      </c>
      <c r="C158" s="129">
        <v>1</v>
      </c>
      <c r="D158" s="129">
        <v>42000</v>
      </c>
      <c r="E158" s="129">
        <v>499</v>
      </c>
      <c r="F158" s="132" t="s">
        <v>11</v>
      </c>
      <c r="G158" s="201" t="s">
        <v>2303</v>
      </c>
      <c r="H158" s="202" t="s">
        <v>2368</v>
      </c>
      <c r="I158" s="202"/>
      <c r="J158" s="202"/>
      <c r="K158" s="202"/>
      <c r="L158" s="202"/>
      <c r="M158" s="202"/>
      <c r="N158" s="202" t="s">
        <v>2304</v>
      </c>
      <c r="O158" s="202" t="s">
        <v>2305</v>
      </c>
      <c r="P158" s="202" t="s">
        <v>2306</v>
      </c>
      <c r="Q158" s="202" t="s">
        <v>2307</v>
      </c>
      <c r="R158" s="203" t="s">
        <v>2308</v>
      </c>
    </row>
    <row r="159" spans="1:18">
      <c r="A159" s="128">
        <v>1815</v>
      </c>
      <c r="B159" s="131" t="s">
        <v>2309</v>
      </c>
      <c r="C159" s="129">
        <v>1</v>
      </c>
      <c r="D159" s="129">
        <v>37000</v>
      </c>
      <c r="E159" s="129">
        <v>509</v>
      </c>
      <c r="F159" s="132" t="s">
        <v>17</v>
      </c>
      <c r="G159" s="201" t="s">
        <v>2311</v>
      </c>
      <c r="H159" s="202" t="s">
        <v>2369</v>
      </c>
      <c r="I159" s="202"/>
      <c r="J159" s="202"/>
      <c r="K159" s="202"/>
      <c r="L159" s="202"/>
      <c r="M159" s="202"/>
      <c r="N159" s="202" t="s">
        <v>2312</v>
      </c>
      <c r="O159" s="202" t="s">
        <v>2313</v>
      </c>
      <c r="P159" s="202" t="s">
        <v>2314</v>
      </c>
      <c r="Q159" s="202" t="s">
        <v>2315</v>
      </c>
      <c r="R159" s="203" t="s">
        <v>2316</v>
      </c>
    </row>
    <row r="160" spans="1:18">
      <c r="A160" s="128">
        <v>1816</v>
      </c>
      <c r="B160" s="131" t="s">
        <v>2317</v>
      </c>
      <c r="C160" s="129">
        <v>1</v>
      </c>
      <c r="D160" s="129">
        <v>59999</v>
      </c>
      <c r="E160" s="129">
        <v>690</v>
      </c>
      <c r="F160" s="132" t="s">
        <v>10</v>
      </c>
      <c r="G160" s="201" t="s">
        <v>2319</v>
      </c>
      <c r="H160" s="202" t="s">
        <v>2282</v>
      </c>
      <c r="I160" s="202"/>
      <c r="J160" s="202"/>
      <c r="K160" s="202"/>
      <c r="L160" s="202"/>
      <c r="M160" s="202"/>
      <c r="N160" s="202" t="s">
        <v>2320</v>
      </c>
      <c r="O160" s="202" t="s">
        <v>2321</v>
      </c>
      <c r="P160" s="202" t="s">
        <v>2322</v>
      </c>
      <c r="Q160" s="202" t="s">
        <v>2323</v>
      </c>
      <c r="R160" s="203" t="s">
        <v>2324</v>
      </c>
    </row>
    <row r="161" spans="1:18">
      <c r="A161" s="128">
        <v>1817</v>
      </c>
      <c r="B161" s="131" t="s">
        <v>2325</v>
      </c>
      <c r="C161" s="129">
        <v>1</v>
      </c>
      <c r="D161" s="129">
        <v>25000</v>
      </c>
      <c r="E161" s="129">
        <v>380</v>
      </c>
      <c r="F161" s="132" t="s">
        <v>13</v>
      </c>
      <c r="G161" s="201" t="s">
        <v>2327</v>
      </c>
      <c r="H161" s="202" t="s">
        <v>2370</v>
      </c>
      <c r="I161" s="202"/>
      <c r="J161" s="202"/>
      <c r="K161" s="202"/>
      <c r="L161" s="202"/>
      <c r="M161" s="202"/>
      <c r="N161" s="202" t="s">
        <v>2328</v>
      </c>
      <c r="O161" s="202" t="s">
        <v>2329</v>
      </c>
      <c r="P161" s="202" t="s">
        <v>2330</v>
      </c>
      <c r="Q161" s="202" t="s">
        <v>2331</v>
      </c>
      <c r="R161" s="203" t="s">
        <v>2332</v>
      </c>
    </row>
    <row r="162" spans="1:18">
      <c r="A162" s="128">
        <v>1818</v>
      </c>
      <c r="B162" s="131" t="s">
        <v>2334</v>
      </c>
      <c r="C162" s="129">
        <v>1</v>
      </c>
      <c r="D162" s="129">
        <v>51000</v>
      </c>
      <c r="E162" s="129">
        <v>600</v>
      </c>
      <c r="F162" s="132" t="s">
        <v>91</v>
      </c>
      <c r="G162" s="201" t="s">
        <v>2333</v>
      </c>
      <c r="H162" s="202" t="s">
        <v>2283</v>
      </c>
      <c r="I162" s="202"/>
      <c r="J162" s="202"/>
      <c r="K162" s="202"/>
      <c r="L162" s="202"/>
      <c r="M162" s="202"/>
      <c r="N162" s="202" t="s">
        <v>2336</v>
      </c>
      <c r="O162" s="202" t="s">
        <v>2337</v>
      </c>
      <c r="P162" s="202" t="s">
        <v>2338</v>
      </c>
      <c r="Q162" s="202" t="s">
        <v>2339</v>
      </c>
      <c r="R162" s="203" t="s">
        <v>2340</v>
      </c>
    </row>
    <row r="163" spans="1:18">
      <c r="A163" s="128">
        <v>1819</v>
      </c>
      <c r="B163" s="131" t="s">
        <v>2341</v>
      </c>
      <c r="C163" s="129">
        <v>1</v>
      </c>
      <c r="D163" s="129">
        <v>43000</v>
      </c>
      <c r="E163" s="129">
        <v>499</v>
      </c>
      <c r="F163" s="132" t="s">
        <v>91</v>
      </c>
      <c r="G163" s="201" t="s">
        <v>2343</v>
      </c>
      <c r="H163" s="202" t="s">
        <v>2284</v>
      </c>
      <c r="I163" s="202"/>
      <c r="J163" s="202"/>
      <c r="K163" s="202"/>
      <c r="L163" s="202"/>
      <c r="M163" s="202"/>
      <c r="N163" s="202" t="s">
        <v>2344</v>
      </c>
      <c r="O163" s="202" t="s">
        <v>2345</v>
      </c>
      <c r="P163" s="202" t="s">
        <v>2346</v>
      </c>
      <c r="Q163" s="202" t="s">
        <v>2347</v>
      </c>
      <c r="R163" s="203" t="s">
        <v>2348</v>
      </c>
    </row>
    <row r="164" spans="1:18">
      <c r="A164" s="128">
        <v>1820</v>
      </c>
      <c r="B164" s="131" t="s">
        <v>2349</v>
      </c>
      <c r="C164" s="129">
        <v>1</v>
      </c>
      <c r="D164" s="129">
        <v>16000</v>
      </c>
      <c r="E164" s="129">
        <v>229</v>
      </c>
      <c r="F164" s="132" t="s">
        <v>11</v>
      </c>
      <c r="G164" s="201" t="s">
        <v>2351</v>
      </c>
      <c r="H164" s="202" t="s">
        <v>2285</v>
      </c>
      <c r="I164" s="202"/>
      <c r="J164" s="202"/>
      <c r="K164" s="202"/>
      <c r="L164" s="202"/>
      <c r="M164" s="202"/>
      <c r="N164" s="202" t="s">
        <v>2352</v>
      </c>
      <c r="O164" s="202" t="s">
        <v>2353</v>
      </c>
      <c r="P164" s="202" t="s">
        <v>2354</v>
      </c>
      <c r="Q164" s="202" t="s">
        <v>2355</v>
      </c>
      <c r="R164" s="203" t="s">
        <v>2356</v>
      </c>
    </row>
    <row r="165" spans="1:18">
      <c r="A165" s="128">
        <v>1821</v>
      </c>
      <c r="B165" s="131" t="s">
        <v>2357</v>
      </c>
      <c r="C165" s="129">
        <v>1</v>
      </c>
      <c r="D165" s="129">
        <v>99999</v>
      </c>
      <c r="E165" s="129">
        <v>1090</v>
      </c>
      <c r="F165" s="132" t="s">
        <v>10</v>
      </c>
      <c r="G165" s="201" t="s">
        <v>2359</v>
      </c>
      <c r="H165" s="202" t="s">
        <v>2286</v>
      </c>
      <c r="I165" s="202"/>
      <c r="J165" s="202"/>
      <c r="K165" s="202"/>
      <c r="L165" s="202"/>
      <c r="M165" s="202"/>
      <c r="N165" s="202" t="s">
        <v>2360</v>
      </c>
      <c r="O165" s="202" t="s">
        <v>2361</v>
      </c>
      <c r="P165" s="202" t="s">
        <v>2362</v>
      </c>
      <c r="Q165" s="202" t="s">
        <v>2363</v>
      </c>
      <c r="R165" s="203" t="s">
        <v>2364</v>
      </c>
    </row>
    <row r="166" spans="1:18">
      <c r="A166" s="128">
        <v>1822</v>
      </c>
      <c r="B166" s="131" t="s">
        <v>2392</v>
      </c>
      <c r="C166" s="129">
        <v>1</v>
      </c>
      <c r="D166" s="129">
        <v>69999</v>
      </c>
      <c r="E166" s="129">
        <v>840</v>
      </c>
      <c r="F166" s="132" t="s">
        <v>91</v>
      </c>
      <c r="G166" s="201" t="s">
        <v>2393</v>
      </c>
      <c r="H166" s="202" t="s">
        <v>2382</v>
      </c>
      <c r="I166" s="202"/>
      <c r="J166" s="202"/>
      <c r="K166" s="202"/>
      <c r="L166" s="202"/>
      <c r="M166" s="202"/>
      <c r="N166" s="202" t="s">
        <v>2394</v>
      </c>
      <c r="O166" s="202" t="s">
        <v>2395</v>
      </c>
      <c r="P166" s="202" t="s">
        <v>2396</v>
      </c>
      <c r="Q166" s="202" t="s">
        <v>2397</v>
      </c>
      <c r="R166" s="203" t="s">
        <v>2398</v>
      </c>
    </row>
    <row r="167" spans="1:18">
      <c r="A167" s="128">
        <v>1823</v>
      </c>
      <c r="B167" s="131" t="s">
        <v>2399</v>
      </c>
      <c r="C167" s="129">
        <v>1</v>
      </c>
      <c r="D167" s="129">
        <v>55555</v>
      </c>
      <c r="E167" s="129">
        <v>619</v>
      </c>
      <c r="F167" s="132" t="s">
        <v>91</v>
      </c>
      <c r="G167" s="201" t="s">
        <v>2482</v>
      </c>
      <c r="H167" s="202" t="s">
        <v>2383</v>
      </c>
      <c r="I167" s="202"/>
      <c r="J167" s="202"/>
      <c r="K167" s="202" t="s">
        <v>2516</v>
      </c>
      <c r="L167" s="202" t="s">
        <v>2481</v>
      </c>
      <c r="M167" s="202"/>
      <c r="N167" s="202" t="s">
        <v>2400</v>
      </c>
      <c r="O167" s="202" t="s">
        <v>2401</v>
      </c>
      <c r="P167" s="202" t="s">
        <v>2402</v>
      </c>
      <c r="Q167" s="202" t="s">
        <v>2403</v>
      </c>
      <c r="R167" s="203" t="s">
        <v>2404</v>
      </c>
    </row>
    <row r="168" spans="1:18">
      <c r="A168" s="128">
        <v>1824</v>
      </c>
      <c r="B168" s="131" t="s">
        <v>2411</v>
      </c>
      <c r="C168" s="129">
        <v>1</v>
      </c>
      <c r="D168" s="129">
        <v>13900</v>
      </c>
      <c r="E168" s="129">
        <v>229</v>
      </c>
      <c r="F168" s="132" t="s">
        <v>91</v>
      </c>
      <c r="G168" s="201" t="s">
        <v>2405</v>
      </c>
      <c r="H168" s="202" t="s">
        <v>2384</v>
      </c>
      <c r="I168" s="202"/>
      <c r="J168" s="202"/>
      <c r="K168" s="202"/>
      <c r="L168" s="202"/>
      <c r="M168" s="202"/>
      <c r="N168" s="202" t="s">
        <v>2406</v>
      </c>
      <c r="O168" s="202" t="s">
        <v>2407</v>
      </c>
      <c r="P168" s="202" t="s">
        <v>2408</v>
      </c>
      <c r="Q168" s="202" t="s">
        <v>2409</v>
      </c>
      <c r="R168" s="203" t="s">
        <v>2410</v>
      </c>
    </row>
    <row r="169" spans="1:18">
      <c r="A169" s="128">
        <v>1825</v>
      </c>
      <c r="B169" s="131" t="s">
        <v>2418</v>
      </c>
      <c r="C169" s="129">
        <v>1</v>
      </c>
      <c r="D169" s="129">
        <v>12000</v>
      </c>
      <c r="E169" s="129">
        <v>156</v>
      </c>
      <c r="F169" s="132" t="s">
        <v>91</v>
      </c>
      <c r="G169" s="201" t="s">
        <v>2412</v>
      </c>
      <c r="H169" s="202" t="s">
        <v>2483</v>
      </c>
      <c r="I169" s="202" t="s">
        <v>2484</v>
      </c>
      <c r="J169" s="202" t="s">
        <v>2485</v>
      </c>
      <c r="K169" s="202"/>
      <c r="L169" s="202"/>
      <c r="M169" s="202"/>
      <c r="N169" s="202" t="s">
        <v>2413</v>
      </c>
      <c r="O169" s="202" t="s">
        <v>2414</v>
      </c>
      <c r="P169" s="202" t="s">
        <v>2415</v>
      </c>
      <c r="Q169" s="202" t="s">
        <v>2416</v>
      </c>
      <c r="R169" s="203" t="s">
        <v>2417</v>
      </c>
    </row>
    <row r="170" spans="1:18">
      <c r="A170" s="128">
        <v>1826</v>
      </c>
      <c r="B170" s="131" t="s">
        <v>2419</v>
      </c>
      <c r="C170" s="129">
        <v>1</v>
      </c>
      <c r="D170" s="129">
        <v>91200</v>
      </c>
      <c r="E170" s="129">
        <v>1020</v>
      </c>
      <c r="F170" s="132" t="s">
        <v>10</v>
      </c>
      <c r="G170" s="201" t="s">
        <v>2486</v>
      </c>
      <c r="H170" s="202" t="s">
        <v>2385</v>
      </c>
      <c r="I170" s="202"/>
      <c r="J170" s="202"/>
      <c r="K170" s="202"/>
      <c r="L170" s="202"/>
      <c r="M170" s="202"/>
      <c r="N170" s="202" t="s">
        <v>2420</v>
      </c>
      <c r="O170" s="202" t="s">
        <v>2421</v>
      </c>
      <c r="P170" s="202" t="s">
        <v>2422</v>
      </c>
      <c r="Q170" s="202" t="s">
        <v>2423</v>
      </c>
      <c r="R170" s="203" t="s">
        <v>2424</v>
      </c>
    </row>
    <row r="171" spans="1:18">
      <c r="A171" s="128">
        <v>1827</v>
      </c>
      <c r="B171" s="131" t="s">
        <v>2425</v>
      </c>
      <c r="C171" s="129">
        <v>1</v>
      </c>
      <c r="D171" s="129">
        <v>44000</v>
      </c>
      <c r="E171" s="129">
        <v>590</v>
      </c>
      <c r="F171" s="132" t="s">
        <v>15</v>
      </c>
      <c r="G171" s="201" t="s">
        <v>2426</v>
      </c>
      <c r="H171" s="202" t="s">
        <v>2487</v>
      </c>
      <c r="I171" s="202"/>
      <c r="J171" s="202"/>
      <c r="K171" s="202"/>
      <c r="L171" s="202"/>
      <c r="M171" s="202"/>
      <c r="N171" s="202" t="s">
        <v>2427</v>
      </c>
      <c r="O171" s="202" t="s">
        <v>2428</v>
      </c>
      <c r="P171" s="202" t="s">
        <v>2429</v>
      </c>
      <c r="Q171" s="202" t="s">
        <v>2430</v>
      </c>
      <c r="R171" s="203" t="s">
        <v>2431</v>
      </c>
    </row>
    <row r="172" spans="1:18">
      <c r="A172" s="128">
        <v>1828</v>
      </c>
      <c r="B172" s="131" t="s">
        <v>2432</v>
      </c>
      <c r="C172" s="129">
        <v>1</v>
      </c>
      <c r="D172" s="129">
        <v>50000</v>
      </c>
      <c r="E172" s="129">
        <v>590</v>
      </c>
      <c r="F172" s="132" t="s">
        <v>9</v>
      </c>
      <c r="G172" s="201" t="s">
        <v>2433</v>
      </c>
      <c r="H172" s="202" t="s">
        <v>2386</v>
      </c>
      <c r="I172" s="202"/>
      <c r="J172" s="202"/>
      <c r="K172" s="202"/>
      <c r="L172" s="202"/>
      <c r="M172" s="202"/>
      <c r="N172" s="202" t="s">
        <v>2434</v>
      </c>
      <c r="O172" s="202" t="s">
        <v>2435</v>
      </c>
      <c r="P172" s="202" t="s">
        <v>2436</v>
      </c>
      <c r="Q172" s="202" t="s">
        <v>2437</v>
      </c>
      <c r="R172" s="203" t="s">
        <v>2438</v>
      </c>
    </row>
    <row r="173" spans="1:18">
      <c r="A173" s="128">
        <v>1829</v>
      </c>
      <c r="B173" s="131" t="s">
        <v>2439</v>
      </c>
      <c r="C173" s="129">
        <v>1</v>
      </c>
      <c r="D173" s="129">
        <v>50000</v>
      </c>
      <c r="E173" s="129">
        <v>590</v>
      </c>
      <c r="F173" s="132" t="s">
        <v>91</v>
      </c>
      <c r="G173" s="201" t="s">
        <v>2440</v>
      </c>
      <c r="H173" s="202" t="s">
        <v>2387</v>
      </c>
      <c r="I173" s="202"/>
      <c r="J173" s="202"/>
      <c r="K173" s="202"/>
      <c r="L173" s="202"/>
      <c r="M173" s="202"/>
      <c r="N173" s="202" t="s">
        <v>2441</v>
      </c>
      <c r="O173" s="202" t="s">
        <v>2442</v>
      </c>
      <c r="P173" s="202" t="s">
        <v>2443</v>
      </c>
      <c r="Q173" s="202" t="s">
        <v>2444</v>
      </c>
      <c r="R173" s="203" t="s">
        <v>2445</v>
      </c>
    </row>
    <row r="174" spans="1:18">
      <c r="A174" s="128">
        <v>1830</v>
      </c>
      <c r="B174" s="131" t="s">
        <v>2446</v>
      </c>
      <c r="C174" s="129">
        <v>1</v>
      </c>
      <c r="D174" s="129">
        <v>45000</v>
      </c>
      <c r="E174" s="129">
        <v>550</v>
      </c>
      <c r="F174" s="132" t="s">
        <v>10</v>
      </c>
      <c r="G174" s="201" t="s">
        <v>2447</v>
      </c>
      <c r="H174" s="202" t="s">
        <v>2388</v>
      </c>
      <c r="I174" s="202"/>
      <c r="J174" s="202"/>
      <c r="K174" s="202"/>
      <c r="L174" s="202"/>
      <c r="M174" s="202"/>
      <c r="N174" s="202" t="s">
        <v>2448</v>
      </c>
      <c r="O174" s="202" t="s">
        <v>2449</v>
      </c>
      <c r="P174" s="202" t="s">
        <v>2450</v>
      </c>
      <c r="Q174" s="202" t="s">
        <v>2451</v>
      </c>
      <c r="R174" s="203" t="s">
        <v>2452</v>
      </c>
    </row>
    <row r="175" spans="1:18">
      <c r="A175" s="128">
        <v>1831</v>
      </c>
      <c r="B175" s="131" t="s">
        <v>2453</v>
      </c>
      <c r="C175" s="129">
        <v>1</v>
      </c>
      <c r="D175" s="129">
        <v>17110</v>
      </c>
      <c r="E175" s="129">
        <v>230</v>
      </c>
      <c r="F175" s="132" t="s">
        <v>9</v>
      </c>
      <c r="G175" s="201" t="s">
        <v>2454</v>
      </c>
      <c r="H175" s="202" t="s">
        <v>2488</v>
      </c>
      <c r="I175" s="202"/>
      <c r="J175" s="202"/>
      <c r="K175" s="202"/>
      <c r="L175" s="202"/>
      <c r="M175" s="202"/>
      <c r="N175" s="202" t="s">
        <v>2455</v>
      </c>
      <c r="O175" s="202" t="s">
        <v>2456</v>
      </c>
      <c r="P175" s="202" t="s">
        <v>2457</v>
      </c>
      <c r="Q175" s="202" t="s">
        <v>2458</v>
      </c>
      <c r="R175" s="203" t="s">
        <v>2459</v>
      </c>
    </row>
    <row r="176" spans="1:18">
      <c r="A176" s="128">
        <v>1832</v>
      </c>
      <c r="B176" s="131" t="s">
        <v>2461</v>
      </c>
      <c r="C176" s="129">
        <v>1</v>
      </c>
      <c r="D176" s="129">
        <v>35999</v>
      </c>
      <c r="E176" s="129">
        <v>470</v>
      </c>
      <c r="F176" s="132" t="s">
        <v>9</v>
      </c>
      <c r="G176" s="201" t="s">
        <v>2460</v>
      </c>
      <c r="H176" s="202" t="s">
        <v>2389</v>
      </c>
      <c r="I176" s="202" t="s">
        <v>2390</v>
      </c>
      <c r="J176" s="202"/>
      <c r="K176" s="202"/>
      <c r="L176" s="202"/>
      <c r="M176" s="202"/>
      <c r="N176" s="202" t="s">
        <v>2462</v>
      </c>
      <c r="O176" s="202" t="s">
        <v>2463</v>
      </c>
      <c r="P176" s="202" t="s">
        <v>2464</v>
      </c>
      <c r="Q176" s="202" t="s">
        <v>2465</v>
      </c>
      <c r="R176" s="203" t="s">
        <v>2466</v>
      </c>
    </row>
    <row r="177" spans="1:18">
      <c r="A177" s="128">
        <v>1833</v>
      </c>
      <c r="B177" s="131" t="s">
        <v>2467</v>
      </c>
      <c r="C177" s="129">
        <v>1</v>
      </c>
      <c r="D177" s="129">
        <v>60000</v>
      </c>
      <c r="E177" s="129">
        <v>700</v>
      </c>
      <c r="F177" s="132" t="s">
        <v>91</v>
      </c>
      <c r="G177" s="201" t="s">
        <v>2468</v>
      </c>
      <c r="H177" s="202" t="s">
        <v>2391</v>
      </c>
      <c r="I177" s="202"/>
      <c r="J177" s="202"/>
      <c r="K177" s="202"/>
      <c r="L177" s="202"/>
      <c r="M177" s="202"/>
      <c r="N177" s="202" t="s">
        <v>2469</v>
      </c>
      <c r="O177" s="202" t="s">
        <v>2470</v>
      </c>
      <c r="P177" s="202" t="s">
        <v>2471</v>
      </c>
      <c r="Q177" s="202" t="s">
        <v>2472</v>
      </c>
      <c r="R177" s="203" t="s">
        <v>2473</v>
      </c>
    </row>
    <row r="178" spans="1:18">
      <c r="A178" s="128">
        <v>1834</v>
      </c>
      <c r="B178" s="131" t="s">
        <v>2474</v>
      </c>
      <c r="C178" s="129">
        <v>1</v>
      </c>
      <c r="D178" s="129">
        <v>28777</v>
      </c>
      <c r="E178" s="129">
        <v>409</v>
      </c>
      <c r="F178" s="132" t="s">
        <v>17</v>
      </c>
      <c r="G178" s="201" t="s">
        <v>2475</v>
      </c>
      <c r="H178" s="202" t="s">
        <v>2489</v>
      </c>
      <c r="I178" s="202"/>
      <c r="J178" s="202"/>
      <c r="K178" s="202"/>
      <c r="L178" s="202"/>
      <c r="M178" s="202"/>
      <c r="N178" s="202" t="s">
        <v>2476</v>
      </c>
      <c r="O178" s="202" t="s">
        <v>2477</v>
      </c>
      <c r="P178" s="202" t="s">
        <v>2478</v>
      </c>
      <c r="Q178" s="202" t="s">
        <v>2479</v>
      </c>
      <c r="R178" s="203" t="s">
        <v>2480</v>
      </c>
    </row>
    <row r="179" spans="1:18">
      <c r="A179" s="128">
        <v>1835</v>
      </c>
      <c r="B179" s="131" t="s">
        <v>2631</v>
      </c>
      <c r="C179" s="129">
        <v>1</v>
      </c>
      <c r="D179" s="129">
        <v>19999</v>
      </c>
      <c r="E179" s="129">
        <v>580</v>
      </c>
      <c r="F179" s="132" t="s">
        <v>16</v>
      </c>
      <c r="G179" s="201" t="s">
        <v>2633</v>
      </c>
      <c r="H179" s="202" t="s">
        <v>2621</v>
      </c>
      <c r="I179" s="202"/>
      <c r="J179" s="202"/>
      <c r="K179" s="202"/>
      <c r="L179" s="202"/>
      <c r="M179" s="202"/>
      <c r="N179" s="202" t="s">
        <v>2634</v>
      </c>
      <c r="O179" s="202" t="s">
        <v>2635</v>
      </c>
      <c r="P179" s="202" t="s">
        <v>2636</v>
      </c>
      <c r="Q179" s="202" t="s">
        <v>2637</v>
      </c>
      <c r="R179" s="203" t="s">
        <v>2638</v>
      </c>
    </row>
    <row r="180" spans="1:18">
      <c r="A180" s="128">
        <v>1836</v>
      </c>
      <c r="B180" s="131" t="s">
        <v>2669</v>
      </c>
      <c r="C180" s="129">
        <v>1</v>
      </c>
      <c r="D180" s="129">
        <v>76000</v>
      </c>
      <c r="E180" s="129">
        <v>859</v>
      </c>
      <c r="F180" s="132" t="s">
        <v>13</v>
      </c>
      <c r="G180" s="201" t="s">
        <v>2671</v>
      </c>
      <c r="H180" s="202" t="s">
        <v>2622</v>
      </c>
      <c r="I180" s="202" t="s">
        <v>2741</v>
      </c>
      <c r="J180" s="202"/>
      <c r="K180" s="202"/>
      <c r="L180" s="202"/>
      <c r="M180" s="202"/>
      <c r="N180" s="202" t="s">
        <v>2672</v>
      </c>
      <c r="O180" s="202" t="s">
        <v>2673</v>
      </c>
      <c r="P180" s="202" t="s">
        <v>2674</v>
      </c>
      <c r="Q180" s="202" t="s">
        <v>2675</v>
      </c>
      <c r="R180" s="203" t="s">
        <v>2676</v>
      </c>
    </row>
    <row r="181" spans="1:18">
      <c r="A181" s="128">
        <v>1837</v>
      </c>
      <c r="B181" s="131" t="s">
        <v>2677</v>
      </c>
      <c r="C181" s="129">
        <v>1</v>
      </c>
      <c r="D181" s="129">
        <v>38000</v>
      </c>
      <c r="E181" s="129">
        <v>480</v>
      </c>
      <c r="F181" s="132" t="s">
        <v>13</v>
      </c>
      <c r="G181" s="201" t="s">
        <v>2679</v>
      </c>
      <c r="H181" s="202" t="s">
        <v>2623</v>
      </c>
      <c r="I181" s="202"/>
      <c r="J181" s="202"/>
      <c r="K181" s="202"/>
      <c r="L181" s="202"/>
      <c r="M181" s="202"/>
      <c r="N181" s="202" t="s">
        <v>2680</v>
      </c>
      <c r="O181" s="202" t="s">
        <v>2681</v>
      </c>
      <c r="P181" s="202" t="s">
        <v>2682</v>
      </c>
      <c r="Q181" s="202" t="s">
        <v>2683</v>
      </c>
      <c r="R181" s="203" t="s">
        <v>2684</v>
      </c>
    </row>
    <row r="182" spans="1:18">
      <c r="A182" s="128">
        <v>1838</v>
      </c>
      <c r="B182" s="131" t="s">
        <v>2685</v>
      </c>
      <c r="C182" s="129">
        <v>1</v>
      </c>
      <c r="D182" s="129">
        <v>88000</v>
      </c>
      <c r="E182" s="129">
        <v>980</v>
      </c>
      <c r="F182" s="132" t="s">
        <v>13</v>
      </c>
      <c r="G182" s="201" t="s">
        <v>2687</v>
      </c>
      <c r="H182" s="202" t="s">
        <v>2624</v>
      </c>
      <c r="I182" s="202"/>
      <c r="J182" s="202"/>
      <c r="K182" s="202"/>
      <c r="L182" s="202"/>
      <c r="M182" s="202"/>
      <c r="N182" s="202" t="s">
        <v>2688</v>
      </c>
      <c r="O182" s="202" t="s">
        <v>2689</v>
      </c>
      <c r="P182" s="202" t="s">
        <v>2690</v>
      </c>
      <c r="Q182" s="202" t="s">
        <v>2691</v>
      </c>
      <c r="R182" s="203" t="s">
        <v>2692</v>
      </c>
    </row>
    <row r="183" spans="1:18">
      <c r="A183" s="128">
        <v>1839</v>
      </c>
      <c r="B183" s="131" t="s">
        <v>2693</v>
      </c>
      <c r="C183" s="129">
        <v>1</v>
      </c>
      <c r="D183" s="129">
        <v>44500</v>
      </c>
      <c r="E183" s="129">
        <v>620</v>
      </c>
      <c r="F183" s="132" t="s">
        <v>15</v>
      </c>
      <c r="G183" s="201" t="s">
        <v>2695</v>
      </c>
      <c r="H183" s="202" t="s">
        <v>2625</v>
      </c>
      <c r="I183" s="202"/>
      <c r="J183" s="202"/>
      <c r="K183" s="202"/>
      <c r="L183" s="202"/>
      <c r="M183" s="202"/>
      <c r="N183" s="202" t="s">
        <v>2696</v>
      </c>
      <c r="O183" s="202" t="s">
        <v>2697</v>
      </c>
      <c r="P183" s="202" t="s">
        <v>2698</v>
      </c>
      <c r="Q183" s="202" t="s">
        <v>2699</v>
      </c>
      <c r="R183" s="203" t="s">
        <v>2700</v>
      </c>
    </row>
    <row r="184" spans="1:18">
      <c r="A184" s="128">
        <v>1840</v>
      </c>
      <c r="B184" s="131" t="s">
        <v>2701</v>
      </c>
      <c r="C184" s="129">
        <v>1</v>
      </c>
      <c r="D184" s="129">
        <v>35000</v>
      </c>
      <c r="E184" s="129">
        <v>520</v>
      </c>
      <c r="F184" s="132" t="s">
        <v>15</v>
      </c>
      <c r="G184" s="201" t="s">
        <v>2703</v>
      </c>
      <c r="H184" s="202" t="s">
        <v>2626</v>
      </c>
      <c r="I184" s="202"/>
      <c r="J184" s="202"/>
      <c r="K184" s="202"/>
      <c r="L184" s="202"/>
      <c r="M184" s="202"/>
      <c r="N184" s="202" t="s">
        <v>2704</v>
      </c>
      <c r="O184" s="202" t="s">
        <v>2705</v>
      </c>
      <c r="P184" s="202" t="s">
        <v>2706</v>
      </c>
      <c r="Q184" s="202" t="s">
        <v>2707</v>
      </c>
      <c r="R184" s="203" t="s">
        <v>2708</v>
      </c>
    </row>
    <row r="185" spans="1:18">
      <c r="A185" s="128">
        <v>1841</v>
      </c>
      <c r="B185" s="131" t="s">
        <v>2709</v>
      </c>
      <c r="C185" s="129">
        <v>1</v>
      </c>
      <c r="D185" s="129">
        <v>23000</v>
      </c>
      <c r="E185" s="129">
        <v>305</v>
      </c>
      <c r="F185" s="132" t="s">
        <v>11</v>
      </c>
      <c r="G185" s="201" t="s">
        <v>2711</v>
      </c>
      <c r="H185" s="202" t="s">
        <v>2627</v>
      </c>
      <c r="I185" s="202"/>
      <c r="J185" s="202"/>
      <c r="K185" s="202"/>
      <c r="L185" s="202"/>
      <c r="M185" s="202"/>
      <c r="N185" s="202" t="s">
        <v>2712</v>
      </c>
      <c r="O185" s="202" t="s">
        <v>2713</v>
      </c>
      <c r="P185" s="202" t="s">
        <v>2714</v>
      </c>
      <c r="Q185" s="202" t="s">
        <v>2715</v>
      </c>
      <c r="R185" s="203" t="s">
        <v>2716</v>
      </c>
    </row>
    <row r="186" spans="1:18">
      <c r="A186" s="128">
        <v>1842</v>
      </c>
      <c r="B186" s="131" t="s">
        <v>2717</v>
      </c>
      <c r="C186" s="129">
        <v>1</v>
      </c>
      <c r="D186" s="129">
        <v>20999</v>
      </c>
      <c r="E186" s="129">
        <v>291</v>
      </c>
      <c r="F186" s="132" t="s">
        <v>11</v>
      </c>
      <c r="G186" s="201" t="s">
        <v>2719</v>
      </c>
      <c r="H186" s="202" t="s">
        <v>2628</v>
      </c>
      <c r="I186" s="202"/>
      <c r="J186" s="202"/>
      <c r="K186" s="202"/>
      <c r="L186" s="202"/>
      <c r="M186" s="202"/>
      <c r="N186" s="202" t="s">
        <v>2720</v>
      </c>
      <c r="O186" s="202" t="s">
        <v>2721</v>
      </c>
      <c r="P186" s="202" t="s">
        <v>2722</v>
      </c>
      <c r="Q186" s="202" t="s">
        <v>2723</v>
      </c>
      <c r="R186" s="203" t="s">
        <v>2724</v>
      </c>
    </row>
    <row r="187" spans="1:18">
      <c r="A187" s="128">
        <v>1843</v>
      </c>
      <c r="B187" s="131" t="s">
        <v>2725</v>
      </c>
      <c r="C187" s="129">
        <v>1</v>
      </c>
      <c r="D187" s="129">
        <v>50000</v>
      </c>
      <c r="E187" s="129">
        <v>690</v>
      </c>
      <c r="F187" s="132" t="s">
        <v>11</v>
      </c>
      <c r="G187" s="201" t="s">
        <v>2727</v>
      </c>
      <c r="H187" s="202" t="s">
        <v>2629</v>
      </c>
      <c r="I187" s="202"/>
      <c r="J187" s="202"/>
      <c r="K187" s="202"/>
      <c r="L187" s="202"/>
      <c r="M187" s="202"/>
      <c r="N187" s="202" t="s">
        <v>2728</v>
      </c>
      <c r="O187" s="202" t="s">
        <v>2729</v>
      </c>
      <c r="P187" s="202" t="s">
        <v>2730</v>
      </c>
      <c r="Q187" s="202" t="s">
        <v>2731</v>
      </c>
      <c r="R187" s="203" t="s">
        <v>2732</v>
      </c>
    </row>
    <row r="188" spans="1:18">
      <c r="A188" s="128">
        <v>1844</v>
      </c>
      <c r="B188" s="131" t="s">
        <v>2733</v>
      </c>
      <c r="C188" s="129">
        <v>1</v>
      </c>
      <c r="D188" s="129">
        <v>39800</v>
      </c>
      <c r="E188" s="129">
        <v>490</v>
      </c>
      <c r="F188" s="132" t="s">
        <v>11</v>
      </c>
      <c r="G188" s="201" t="s">
        <v>2735</v>
      </c>
      <c r="H188" s="202" t="s">
        <v>2630</v>
      </c>
      <c r="I188" s="202" t="s">
        <v>2744</v>
      </c>
      <c r="J188" s="202"/>
      <c r="K188" s="202"/>
      <c r="L188" s="202"/>
      <c r="M188" s="202"/>
      <c r="N188" s="202" t="s">
        <v>2736</v>
      </c>
      <c r="O188" s="202" t="s">
        <v>2737</v>
      </c>
      <c r="P188" s="202" t="s">
        <v>2738</v>
      </c>
      <c r="Q188" s="202" t="s">
        <v>2739</v>
      </c>
      <c r="R188" s="203" t="s">
        <v>2740</v>
      </c>
    </row>
    <row r="189" spans="1:18">
      <c r="A189" s="128">
        <v>1845</v>
      </c>
      <c r="B189" s="131" t="s">
        <v>2782</v>
      </c>
      <c r="C189" s="129">
        <v>1</v>
      </c>
      <c r="D189" s="129">
        <v>95000</v>
      </c>
      <c r="E189" s="129">
        <v>1008</v>
      </c>
      <c r="F189" s="132" t="s">
        <v>11</v>
      </c>
      <c r="G189" s="201" t="s">
        <v>2783</v>
      </c>
      <c r="H189" s="202" t="s">
        <v>2775</v>
      </c>
      <c r="I189" s="202"/>
      <c r="J189" s="202"/>
      <c r="K189" s="202"/>
      <c r="L189" s="202"/>
      <c r="M189" s="202"/>
      <c r="N189" s="202" t="s">
        <v>2784</v>
      </c>
      <c r="O189" s="202" t="s">
        <v>2785</v>
      </c>
      <c r="P189" s="202" t="s">
        <v>2786</v>
      </c>
      <c r="Q189" s="202" t="s">
        <v>2787</v>
      </c>
      <c r="R189" s="203" t="s">
        <v>2788</v>
      </c>
    </row>
    <row r="190" spans="1:18">
      <c r="A190" s="128">
        <v>1846</v>
      </c>
      <c r="B190" s="131" t="s">
        <v>2789</v>
      </c>
      <c r="C190" s="129">
        <v>1</v>
      </c>
      <c r="D190" s="129">
        <v>45000</v>
      </c>
      <c r="E190" s="129">
        <v>590</v>
      </c>
      <c r="F190" s="132" t="s">
        <v>11</v>
      </c>
      <c r="G190" s="201" t="s">
        <v>2790</v>
      </c>
      <c r="H190" s="202" t="s">
        <v>2865</v>
      </c>
      <c r="I190" s="202" t="s">
        <v>2866</v>
      </c>
      <c r="J190" s="202"/>
      <c r="K190" s="202"/>
      <c r="L190" s="202"/>
      <c r="M190" s="202"/>
      <c r="N190" s="202" t="s">
        <v>2791</v>
      </c>
      <c r="O190" s="202" t="s">
        <v>2792</v>
      </c>
      <c r="P190" s="202" t="s">
        <v>2793</v>
      </c>
      <c r="Q190" s="202" t="s">
        <v>2794</v>
      </c>
      <c r="R190" s="203" t="s">
        <v>2795</v>
      </c>
    </row>
    <row r="191" spans="1:18">
      <c r="A191" s="128">
        <v>1847</v>
      </c>
      <c r="B191" s="131" t="s">
        <v>2867</v>
      </c>
      <c r="C191" s="129">
        <v>1</v>
      </c>
      <c r="D191" s="129">
        <v>95000</v>
      </c>
      <c r="E191" s="129">
        <v>1000</v>
      </c>
      <c r="F191" s="132" t="s">
        <v>11</v>
      </c>
      <c r="G191" s="201" t="s">
        <v>2796</v>
      </c>
      <c r="H191" s="202" t="s">
        <v>2776</v>
      </c>
      <c r="I191" s="202"/>
      <c r="J191" s="202"/>
      <c r="K191" s="202"/>
      <c r="L191" s="202"/>
      <c r="M191" s="202"/>
      <c r="N191" s="202" t="s">
        <v>2797</v>
      </c>
      <c r="O191" s="202" t="s">
        <v>2798</v>
      </c>
      <c r="P191" s="202" t="s">
        <v>2799</v>
      </c>
      <c r="Q191" s="202" t="s">
        <v>2800</v>
      </c>
      <c r="R191" s="203" t="s">
        <v>2801</v>
      </c>
    </row>
    <row r="192" spans="1:18">
      <c r="A192" s="128">
        <v>1848</v>
      </c>
      <c r="B192" s="131" t="s">
        <v>2802</v>
      </c>
      <c r="C192" s="129">
        <v>1</v>
      </c>
      <c r="D192" s="129">
        <v>40000</v>
      </c>
      <c r="E192" s="129">
        <v>479</v>
      </c>
      <c r="F192" s="132" t="s">
        <v>11</v>
      </c>
      <c r="G192" s="201" t="s">
        <v>2803</v>
      </c>
      <c r="H192" s="202" t="s">
        <v>2777</v>
      </c>
      <c r="I192" s="202"/>
      <c r="J192" s="202"/>
      <c r="K192" s="202"/>
      <c r="L192" s="202"/>
      <c r="M192" s="202"/>
      <c r="N192" s="202" t="s">
        <v>2804</v>
      </c>
      <c r="O192" s="202" t="s">
        <v>2805</v>
      </c>
      <c r="P192" s="202" t="s">
        <v>2806</v>
      </c>
      <c r="Q192" s="202" t="s">
        <v>2807</v>
      </c>
      <c r="R192" s="203" t="s">
        <v>2808</v>
      </c>
    </row>
    <row r="193" spans="1:18">
      <c r="A193" s="128">
        <v>1849</v>
      </c>
      <c r="B193" s="131" t="s">
        <v>2809</v>
      </c>
      <c r="C193" s="129">
        <v>1</v>
      </c>
      <c r="D193" s="129">
        <v>10000</v>
      </c>
      <c r="E193" s="129">
        <v>200</v>
      </c>
      <c r="F193" s="132" t="s">
        <v>12</v>
      </c>
      <c r="G193" s="201" t="s">
        <v>2810</v>
      </c>
      <c r="H193" s="202" t="s">
        <v>2869</v>
      </c>
      <c r="I193" s="202"/>
      <c r="J193" s="202"/>
      <c r="K193" s="202"/>
      <c r="L193" s="202"/>
      <c r="M193" s="202"/>
      <c r="N193" s="202" t="s">
        <v>2811</v>
      </c>
      <c r="O193" s="202" t="s">
        <v>2812</v>
      </c>
      <c r="P193" s="202" t="s">
        <v>2813</v>
      </c>
      <c r="Q193" s="202" t="s">
        <v>2814</v>
      </c>
      <c r="R193" s="203" t="s">
        <v>2815</v>
      </c>
    </row>
    <row r="194" spans="1:18">
      <c r="A194" s="128">
        <v>1850</v>
      </c>
      <c r="B194" s="131" t="s">
        <v>2816</v>
      </c>
      <c r="C194" s="129">
        <v>1</v>
      </c>
      <c r="D194" s="129">
        <v>27400</v>
      </c>
      <c r="E194" s="129">
        <v>380</v>
      </c>
      <c r="F194" s="132" t="s">
        <v>16</v>
      </c>
      <c r="G194" s="201" t="s">
        <v>2817</v>
      </c>
      <c r="H194" s="202" t="s">
        <v>2870</v>
      </c>
      <c r="I194" s="202" t="s">
        <v>2778</v>
      </c>
      <c r="J194" s="202"/>
      <c r="K194" s="202"/>
      <c r="L194" s="202"/>
      <c r="M194" s="202"/>
      <c r="N194" s="202" t="s">
        <v>2818</v>
      </c>
      <c r="O194" s="202" t="s">
        <v>2819</v>
      </c>
      <c r="P194" s="202" t="s">
        <v>2820</v>
      </c>
      <c r="Q194" s="202" t="s">
        <v>2821</v>
      </c>
      <c r="R194" s="203" t="s">
        <v>2822</v>
      </c>
    </row>
    <row r="195" spans="1:18">
      <c r="A195" s="128">
        <v>1851</v>
      </c>
      <c r="B195" s="131" t="s">
        <v>2823</v>
      </c>
      <c r="C195" s="129">
        <v>1</v>
      </c>
      <c r="D195" s="129">
        <v>28800</v>
      </c>
      <c r="E195" s="129">
        <v>380</v>
      </c>
      <c r="F195" s="132" t="s">
        <v>12</v>
      </c>
      <c r="G195" s="201" t="s">
        <v>2824</v>
      </c>
      <c r="H195" s="202" t="s">
        <v>2871</v>
      </c>
      <c r="I195" s="202"/>
      <c r="J195" s="202"/>
      <c r="K195" s="202"/>
      <c r="L195" s="202"/>
      <c r="M195" s="202"/>
      <c r="N195" s="202" t="s">
        <v>2825</v>
      </c>
      <c r="O195" s="202" t="s">
        <v>2826</v>
      </c>
      <c r="P195" s="202" t="s">
        <v>2827</v>
      </c>
      <c r="Q195" s="202" t="s">
        <v>2828</v>
      </c>
      <c r="R195" s="203" t="s">
        <v>2829</v>
      </c>
    </row>
    <row r="196" spans="1:18">
      <c r="A196" s="128">
        <v>1852</v>
      </c>
      <c r="B196" s="131" t="s">
        <v>2830</v>
      </c>
      <c r="C196" s="129">
        <v>1</v>
      </c>
      <c r="D196" s="129">
        <v>21800</v>
      </c>
      <c r="E196" s="129">
        <v>419</v>
      </c>
      <c r="F196" s="132" t="s">
        <v>16</v>
      </c>
      <c r="G196" s="201" t="s">
        <v>2831</v>
      </c>
      <c r="H196" s="202" t="s">
        <v>2872</v>
      </c>
      <c r="I196" s="202" t="s">
        <v>2873</v>
      </c>
      <c r="J196" s="202"/>
      <c r="K196" s="202"/>
      <c r="L196" s="202"/>
      <c r="M196" s="202"/>
      <c r="N196" s="202" t="s">
        <v>2832</v>
      </c>
      <c r="O196" s="202" t="s">
        <v>2833</v>
      </c>
      <c r="P196" s="202" t="s">
        <v>2834</v>
      </c>
      <c r="Q196" s="202" t="s">
        <v>2835</v>
      </c>
      <c r="R196" s="203" t="s">
        <v>2836</v>
      </c>
    </row>
    <row r="197" spans="1:18">
      <c r="A197" s="128">
        <v>1853</v>
      </c>
      <c r="B197" s="131" t="s">
        <v>2837</v>
      </c>
      <c r="C197" s="129">
        <v>1</v>
      </c>
      <c r="D197" s="129">
        <v>28299</v>
      </c>
      <c r="E197" s="129">
        <v>399</v>
      </c>
      <c r="F197" s="132" t="s">
        <v>17</v>
      </c>
      <c r="G197" s="201" t="s">
        <v>2838</v>
      </c>
      <c r="H197" s="202" t="s">
        <v>2779</v>
      </c>
      <c r="I197" s="202" t="s">
        <v>2874</v>
      </c>
      <c r="J197" s="202"/>
      <c r="K197" s="202"/>
      <c r="L197" s="202"/>
      <c r="M197" s="202"/>
      <c r="N197" s="202" t="s">
        <v>2839</v>
      </c>
      <c r="O197" s="202" t="s">
        <v>2840</v>
      </c>
      <c r="P197" s="202" t="s">
        <v>2841</v>
      </c>
      <c r="Q197" s="202" t="s">
        <v>2842</v>
      </c>
      <c r="R197" s="203" t="s">
        <v>2843</v>
      </c>
    </row>
    <row r="198" spans="1:18">
      <c r="A198" s="128">
        <v>1854</v>
      </c>
      <c r="B198" s="131" t="s">
        <v>2844</v>
      </c>
      <c r="C198" s="129">
        <v>1</v>
      </c>
      <c r="D198" s="129">
        <v>24555</v>
      </c>
      <c r="E198" s="129">
        <v>380</v>
      </c>
      <c r="F198" s="132" t="s">
        <v>10</v>
      </c>
      <c r="G198" s="201" t="s">
        <v>2845</v>
      </c>
      <c r="H198" s="202" t="s">
        <v>2876</v>
      </c>
      <c r="I198" s="202"/>
      <c r="J198" s="202"/>
      <c r="K198" s="202"/>
      <c r="L198" s="202"/>
      <c r="M198" s="202"/>
      <c r="N198" s="202" t="s">
        <v>2846</v>
      </c>
      <c r="O198" s="202" t="s">
        <v>2847</v>
      </c>
      <c r="P198" s="202" t="s">
        <v>2848</v>
      </c>
      <c r="Q198" s="202" t="s">
        <v>2849</v>
      </c>
      <c r="R198" s="203" t="s">
        <v>2850</v>
      </c>
    </row>
    <row r="199" spans="1:18">
      <c r="A199" s="128">
        <v>1855</v>
      </c>
      <c r="B199" s="131" t="s">
        <v>2851</v>
      </c>
      <c r="C199" s="129">
        <v>1</v>
      </c>
      <c r="D199" s="129">
        <v>28000</v>
      </c>
      <c r="E199" s="129">
        <v>409</v>
      </c>
      <c r="F199" s="132" t="s">
        <v>10</v>
      </c>
      <c r="G199" s="201" t="s">
        <v>2852</v>
      </c>
      <c r="H199" s="202" t="s">
        <v>2780</v>
      </c>
      <c r="I199" s="202"/>
      <c r="J199" s="202"/>
      <c r="K199" s="202"/>
      <c r="L199" s="202"/>
      <c r="M199" s="202"/>
      <c r="N199" s="202" t="s">
        <v>2853</v>
      </c>
      <c r="O199" s="202" t="s">
        <v>2854</v>
      </c>
      <c r="P199" s="202" t="s">
        <v>2855</v>
      </c>
      <c r="Q199" s="202" t="s">
        <v>2856</v>
      </c>
      <c r="R199" s="203" t="s">
        <v>2857</v>
      </c>
    </row>
    <row r="200" spans="1:18">
      <c r="A200" s="128">
        <v>1856</v>
      </c>
      <c r="B200" s="131" t="s">
        <v>2858</v>
      </c>
      <c r="C200" s="129">
        <v>1</v>
      </c>
      <c r="D200" s="129">
        <v>55000</v>
      </c>
      <c r="E200" s="129">
        <v>690</v>
      </c>
      <c r="F200" s="132" t="s">
        <v>16</v>
      </c>
      <c r="G200" s="201" t="s">
        <v>2859</v>
      </c>
      <c r="H200" s="202" t="s">
        <v>2781</v>
      </c>
      <c r="I200" s="202"/>
      <c r="J200" s="202"/>
      <c r="K200" s="202"/>
      <c r="L200" s="202"/>
      <c r="M200" s="202"/>
      <c r="N200" s="202" t="s">
        <v>2860</v>
      </c>
      <c r="O200" s="202" t="s">
        <v>2861</v>
      </c>
      <c r="P200" s="202" t="s">
        <v>2862</v>
      </c>
      <c r="Q200" s="202" t="s">
        <v>2863</v>
      </c>
      <c r="R200" s="203" t="s">
        <v>2864</v>
      </c>
    </row>
    <row r="201" spans="1:18">
      <c r="A201" s="128">
        <v>1857</v>
      </c>
      <c r="B201" s="131" t="s">
        <v>2904</v>
      </c>
      <c r="C201" s="129">
        <v>1</v>
      </c>
      <c r="D201" s="129">
        <v>83900</v>
      </c>
      <c r="E201" s="129">
        <v>899</v>
      </c>
      <c r="F201" s="132" t="s">
        <v>91</v>
      </c>
      <c r="G201" s="201" t="s">
        <v>2953</v>
      </c>
      <c r="H201" s="202" t="s">
        <v>2948</v>
      </c>
      <c r="I201" s="202"/>
      <c r="J201" s="202"/>
      <c r="K201" s="202"/>
      <c r="L201" s="202"/>
      <c r="M201" s="202"/>
      <c r="N201" s="202" t="s">
        <v>2905</v>
      </c>
      <c r="O201" s="202" t="s">
        <v>2906</v>
      </c>
      <c r="P201" s="202" t="s">
        <v>2907</v>
      </c>
      <c r="Q201" s="202" t="s">
        <v>2908</v>
      </c>
      <c r="R201" s="203" t="s">
        <v>2909</v>
      </c>
    </row>
    <row r="202" spans="1:18">
      <c r="A202" s="128">
        <v>1858</v>
      </c>
      <c r="B202" s="131" t="s">
        <v>2910</v>
      </c>
      <c r="C202" s="129">
        <v>1</v>
      </c>
      <c r="D202" s="129">
        <v>11500</v>
      </c>
      <c r="E202" s="129">
        <v>298</v>
      </c>
      <c r="F202" s="132" t="s">
        <v>91</v>
      </c>
      <c r="G202" s="201" t="s">
        <v>2954</v>
      </c>
      <c r="H202" s="202" t="s">
        <v>2960</v>
      </c>
      <c r="I202" s="202" t="s">
        <v>2961</v>
      </c>
      <c r="J202" s="202"/>
      <c r="K202" s="202"/>
      <c r="L202" s="202"/>
      <c r="M202" s="202"/>
      <c r="N202" s="202" t="s">
        <v>2911</v>
      </c>
      <c r="O202" s="202" t="s">
        <v>2912</v>
      </c>
      <c r="P202" s="202" t="s">
        <v>2913</v>
      </c>
      <c r="Q202" s="202" t="s">
        <v>2914</v>
      </c>
      <c r="R202" s="203" t="s">
        <v>2915</v>
      </c>
    </row>
    <row r="203" spans="1:18">
      <c r="A203" s="128">
        <v>1859</v>
      </c>
      <c r="B203" s="131" t="s">
        <v>2916</v>
      </c>
      <c r="C203" s="129">
        <v>1</v>
      </c>
      <c r="D203" s="129">
        <v>69999</v>
      </c>
      <c r="E203" s="129">
        <v>790</v>
      </c>
      <c r="F203" s="132" t="s">
        <v>91</v>
      </c>
      <c r="G203" s="201" t="s">
        <v>2955</v>
      </c>
      <c r="H203" s="202" t="s">
        <v>2962</v>
      </c>
      <c r="I203" s="202" t="s">
        <v>2963</v>
      </c>
      <c r="J203" s="202"/>
      <c r="K203" s="202"/>
      <c r="L203" s="202"/>
      <c r="M203" s="202"/>
      <c r="N203" s="202" t="s">
        <v>2917</v>
      </c>
      <c r="O203" s="202" t="s">
        <v>2918</v>
      </c>
      <c r="P203" s="202" t="s">
        <v>2919</v>
      </c>
      <c r="Q203" s="202" t="s">
        <v>2920</v>
      </c>
      <c r="R203" s="203" t="s">
        <v>2921</v>
      </c>
    </row>
    <row r="204" spans="1:18">
      <c r="A204" s="128">
        <v>1860</v>
      </c>
      <c r="B204" s="131" t="s">
        <v>2922</v>
      </c>
      <c r="C204" s="129">
        <v>1</v>
      </c>
      <c r="D204" s="129">
        <v>19500</v>
      </c>
      <c r="E204" s="129">
        <v>305</v>
      </c>
      <c r="F204" s="132" t="s">
        <v>11</v>
      </c>
      <c r="G204" s="201" t="s">
        <v>2956</v>
      </c>
      <c r="H204" s="202" t="s">
        <v>2949</v>
      </c>
      <c r="I204" s="202" t="s">
        <v>2950</v>
      </c>
      <c r="J204" s="202"/>
      <c r="K204" s="202"/>
      <c r="L204" s="202"/>
      <c r="M204" s="202"/>
      <c r="N204" s="202" t="s">
        <v>2923</v>
      </c>
      <c r="O204" s="202" t="s">
        <v>2924</v>
      </c>
      <c r="P204" s="202" t="s">
        <v>2925</v>
      </c>
      <c r="Q204" s="202" t="s">
        <v>2926</v>
      </c>
      <c r="R204" s="203" t="s">
        <v>2927</v>
      </c>
    </row>
    <row r="205" spans="1:18">
      <c r="A205" s="128">
        <v>1861</v>
      </c>
      <c r="B205" s="131" t="s">
        <v>2928</v>
      </c>
      <c r="C205" s="129">
        <v>1</v>
      </c>
      <c r="D205" s="129">
        <v>29999</v>
      </c>
      <c r="E205" s="129">
        <v>399</v>
      </c>
      <c r="F205" s="132" t="s">
        <v>91</v>
      </c>
      <c r="G205" s="201" t="s">
        <v>2957</v>
      </c>
      <c r="H205" s="202" t="s">
        <v>2901</v>
      </c>
      <c r="I205" s="202"/>
      <c r="J205" s="202"/>
      <c r="K205" s="202"/>
      <c r="L205" s="202"/>
      <c r="M205" s="202"/>
      <c r="N205" s="202" t="s">
        <v>2930</v>
      </c>
      <c r="O205" s="202" t="s">
        <v>2931</v>
      </c>
      <c r="P205" s="202" t="s">
        <v>2932</v>
      </c>
      <c r="Q205" s="202" t="s">
        <v>2933</v>
      </c>
      <c r="R205" s="203" t="s">
        <v>2934</v>
      </c>
    </row>
    <row r="206" spans="1:18">
      <c r="A206" s="128">
        <v>1862</v>
      </c>
      <c r="B206" s="131" t="s">
        <v>2935</v>
      </c>
      <c r="C206" s="129">
        <v>1</v>
      </c>
      <c r="D206" s="129">
        <v>74000</v>
      </c>
      <c r="E206" s="129">
        <v>850</v>
      </c>
      <c r="F206" s="132" t="s">
        <v>9</v>
      </c>
      <c r="G206" s="201" t="s">
        <v>2958</v>
      </c>
      <c r="H206" s="202" t="s">
        <v>2902</v>
      </c>
      <c r="I206" s="202"/>
      <c r="J206" s="202"/>
      <c r="K206" s="202"/>
      <c r="L206" s="202"/>
      <c r="M206" s="202"/>
      <c r="N206" s="202" t="s">
        <v>2937</v>
      </c>
      <c r="O206" s="202" t="s">
        <v>2938</v>
      </c>
      <c r="P206" s="202" t="s">
        <v>2939</v>
      </c>
      <c r="Q206" s="202" t="s">
        <v>2940</v>
      </c>
      <c r="R206" s="203" t="s">
        <v>2941</v>
      </c>
    </row>
    <row r="207" spans="1:18">
      <c r="A207" s="128">
        <v>1863</v>
      </c>
      <c r="B207" s="131" t="s">
        <v>2942</v>
      </c>
      <c r="C207" s="129">
        <v>1</v>
      </c>
      <c r="D207" s="129">
        <v>29200</v>
      </c>
      <c r="E207" s="129">
        <v>342</v>
      </c>
      <c r="F207" s="132" t="s">
        <v>9</v>
      </c>
      <c r="G207" s="201" t="s">
        <v>2959</v>
      </c>
      <c r="H207" s="202" t="s">
        <v>2903</v>
      </c>
      <c r="I207" s="202" t="s">
        <v>2951</v>
      </c>
      <c r="J207" s="202" t="s">
        <v>2952</v>
      </c>
      <c r="K207" s="202"/>
      <c r="L207" s="202"/>
      <c r="M207" s="202"/>
      <c r="N207" s="202" t="s">
        <v>2943</v>
      </c>
      <c r="O207" s="202" t="s">
        <v>2944</v>
      </c>
      <c r="P207" s="202" t="s">
        <v>2945</v>
      </c>
      <c r="Q207" s="202" t="s">
        <v>2946</v>
      </c>
      <c r="R207" s="203" t="s">
        <v>2947</v>
      </c>
    </row>
    <row r="208" spans="1:18">
      <c r="A208" s="128">
        <v>1864</v>
      </c>
      <c r="B208" s="131" t="s">
        <v>2983</v>
      </c>
      <c r="C208" s="129">
        <v>1</v>
      </c>
      <c r="D208" s="129">
        <v>79500</v>
      </c>
      <c r="E208" s="129">
        <v>920</v>
      </c>
      <c r="F208" s="132" t="s">
        <v>16</v>
      </c>
      <c r="G208" s="201" t="s">
        <v>2984</v>
      </c>
      <c r="H208" s="202" t="s">
        <v>3111</v>
      </c>
      <c r="I208" s="202"/>
      <c r="J208" s="202"/>
      <c r="K208" s="202"/>
      <c r="L208" s="202"/>
      <c r="M208" s="202"/>
      <c r="N208" s="202" t="s">
        <v>2985</v>
      </c>
      <c r="O208" s="202" t="s">
        <v>2986</v>
      </c>
      <c r="P208" s="202" t="s">
        <v>2987</v>
      </c>
      <c r="Q208" s="202" t="s">
        <v>2988</v>
      </c>
      <c r="R208" s="203" t="s">
        <v>2989</v>
      </c>
    </row>
    <row r="209" spans="1:18">
      <c r="A209" s="128">
        <v>1865</v>
      </c>
      <c r="B209" s="131" t="s">
        <v>2990</v>
      </c>
      <c r="C209" s="129">
        <v>1</v>
      </c>
      <c r="D209" s="129">
        <v>98299</v>
      </c>
      <c r="E209" s="129">
        <v>1090</v>
      </c>
      <c r="F209" s="132" t="s">
        <v>15</v>
      </c>
      <c r="G209" s="201" t="s">
        <v>2991</v>
      </c>
      <c r="H209" s="202" t="s">
        <v>2976</v>
      </c>
      <c r="I209" s="202"/>
      <c r="J209" s="202"/>
      <c r="K209" s="202"/>
      <c r="L209" s="202"/>
      <c r="M209" s="202"/>
      <c r="N209" s="202" t="s">
        <v>2992</v>
      </c>
      <c r="O209" s="202" t="s">
        <v>2993</v>
      </c>
      <c r="P209" s="202" t="s">
        <v>2994</v>
      </c>
      <c r="Q209" s="202" t="s">
        <v>2995</v>
      </c>
      <c r="R209" s="203" t="s">
        <v>2996</v>
      </c>
    </row>
    <row r="210" spans="1:18">
      <c r="A210" s="128">
        <v>1866</v>
      </c>
      <c r="B210" s="131" t="s">
        <v>2997</v>
      </c>
      <c r="C210" s="129">
        <v>1</v>
      </c>
      <c r="D210" s="129">
        <v>50100</v>
      </c>
      <c r="E210" s="129">
        <v>690</v>
      </c>
      <c r="F210" s="132" t="s">
        <v>15</v>
      </c>
      <c r="G210" s="201" t="s">
        <v>2998</v>
      </c>
      <c r="H210" s="202" t="s">
        <v>3112</v>
      </c>
      <c r="I210" s="202"/>
      <c r="J210" s="202"/>
      <c r="K210" s="202"/>
      <c r="L210" s="202"/>
      <c r="M210" s="202"/>
      <c r="N210" s="202" t="s">
        <v>2999</v>
      </c>
      <c r="O210" s="202" t="s">
        <v>3000</v>
      </c>
      <c r="P210" s="202" t="s">
        <v>3001</v>
      </c>
      <c r="Q210" s="202" t="s">
        <v>3002</v>
      </c>
      <c r="R210" s="203" t="s">
        <v>3003</v>
      </c>
    </row>
    <row r="211" spans="1:18">
      <c r="A211" s="128">
        <v>1867</v>
      </c>
      <c r="B211" s="131" t="s">
        <v>3004</v>
      </c>
      <c r="C211" s="129">
        <v>1</v>
      </c>
      <c r="D211" s="129">
        <v>60000</v>
      </c>
      <c r="E211" s="129">
        <v>792</v>
      </c>
      <c r="F211" s="132" t="s">
        <v>19</v>
      </c>
      <c r="G211" s="201" t="s">
        <v>3005</v>
      </c>
      <c r="H211" s="202" t="s">
        <v>2977</v>
      </c>
      <c r="I211" s="202"/>
      <c r="J211" s="202"/>
      <c r="K211" s="202"/>
      <c r="L211" s="202"/>
      <c r="M211" s="202"/>
      <c r="N211" s="202" t="s">
        <v>3006</v>
      </c>
      <c r="O211" s="202" t="s">
        <v>3007</v>
      </c>
      <c r="P211" s="202" t="s">
        <v>3008</v>
      </c>
      <c r="Q211" s="202" t="s">
        <v>3009</v>
      </c>
      <c r="R211" s="203" t="s">
        <v>3010</v>
      </c>
    </row>
    <row r="212" spans="1:18">
      <c r="A212" s="128">
        <v>1868</v>
      </c>
      <c r="B212" s="131" t="s">
        <v>3011</v>
      </c>
      <c r="C212" s="129">
        <v>1</v>
      </c>
      <c r="D212" s="129">
        <v>44800</v>
      </c>
      <c r="E212" s="129">
        <v>610</v>
      </c>
      <c r="F212" s="132" t="s">
        <v>19</v>
      </c>
      <c r="G212" s="201" t="s">
        <v>3012</v>
      </c>
      <c r="H212" s="202" t="s">
        <v>3113</v>
      </c>
      <c r="I212" s="202"/>
      <c r="J212" s="202"/>
      <c r="K212" s="202"/>
      <c r="L212" s="202"/>
      <c r="M212" s="202"/>
      <c r="N212" s="202" t="s">
        <v>3013</v>
      </c>
      <c r="O212" s="202" t="s">
        <v>3014</v>
      </c>
      <c r="P212" s="202" t="s">
        <v>3015</v>
      </c>
      <c r="Q212" s="202" t="s">
        <v>3016</v>
      </c>
      <c r="R212" s="203" t="s">
        <v>3017</v>
      </c>
    </row>
    <row r="213" spans="1:18">
      <c r="A213" s="128">
        <v>1869</v>
      </c>
      <c r="B213" s="131" t="s">
        <v>3018</v>
      </c>
      <c r="C213" s="129">
        <v>1</v>
      </c>
      <c r="D213" s="129">
        <v>38000</v>
      </c>
      <c r="E213" s="129">
        <v>540</v>
      </c>
      <c r="F213" s="132" t="s">
        <v>15</v>
      </c>
      <c r="G213" s="201" t="s">
        <v>3019</v>
      </c>
      <c r="H213" s="202" t="s">
        <v>3068</v>
      </c>
      <c r="I213" s="202"/>
      <c r="J213" s="202"/>
      <c r="K213" s="202"/>
      <c r="L213" s="202"/>
      <c r="M213" s="202"/>
      <c r="N213" s="202" t="s">
        <v>3020</v>
      </c>
      <c r="O213" s="202" t="s">
        <v>3021</v>
      </c>
      <c r="P213" s="202" t="s">
        <v>3022</v>
      </c>
      <c r="Q213" s="202" t="s">
        <v>3023</v>
      </c>
      <c r="R213" s="203" t="s">
        <v>3024</v>
      </c>
    </row>
    <row r="214" spans="1:18">
      <c r="A214" s="128">
        <v>1870</v>
      </c>
      <c r="B214" s="131" t="s">
        <v>3025</v>
      </c>
      <c r="C214" s="129">
        <v>1</v>
      </c>
      <c r="D214" s="129">
        <v>75000</v>
      </c>
      <c r="E214" s="129">
        <v>890</v>
      </c>
      <c r="F214" s="132" t="s">
        <v>11</v>
      </c>
      <c r="G214" s="201" t="s">
        <v>3026</v>
      </c>
      <c r="H214" s="202" t="s">
        <v>3114</v>
      </c>
      <c r="I214" s="202" t="s">
        <v>3069</v>
      </c>
      <c r="J214" s="202" t="s">
        <v>3070</v>
      </c>
      <c r="K214" s="202"/>
      <c r="L214" s="202"/>
      <c r="M214" s="202"/>
      <c r="N214" s="202" t="s">
        <v>3027</v>
      </c>
      <c r="O214" s="202" t="s">
        <v>3028</v>
      </c>
      <c r="P214" s="202" t="s">
        <v>3029</v>
      </c>
      <c r="Q214" s="202" t="s">
        <v>3030</v>
      </c>
      <c r="R214" s="203" t="s">
        <v>3031</v>
      </c>
    </row>
    <row r="215" spans="1:18">
      <c r="A215" s="128">
        <v>1871</v>
      </c>
      <c r="B215" s="131" t="s">
        <v>3032</v>
      </c>
      <c r="C215" s="129">
        <v>1</v>
      </c>
      <c r="D215" s="129">
        <v>100000</v>
      </c>
      <c r="E215" s="129">
        <v>1090</v>
      </c>
      <c r="F215" s="132" t="s">
        <v>91</v>
      </c>
      <c r="G215" s="201" t="s">
        <v>3033</v>
      </c>
      <c r="H215" s="202" t="s">
        <v>2978</v>
      </c>
      <c r="I215" s="202"/>
      <c r="J215" s="202"/>
      <c r="K215" s="202"/>
      <c r="L215" s="202"/>
      <c r="M215" s="202"/>
      <c r="N215" s="202" t="s">
        <v>3034</v>
      </c>
      <c r="O215" s="202" t="s">
        <v>3035</v>
      </c>
      <c r="P215" s="202" t="s">
        <v>3036</v>
      </c>
      <c r="Q215" s="202" t="s">
        <v>3037</v>
      </c>
      <c r="R215" s="203" t="s">
        <v>3038</v>
      </c>
    </row>
    <row r="216" spans="1:18">
      <c r="A216" s="128">
        <v>1872</v>
      </c>
      <c r="B216" s="131" t="s">
        <v>3039</v>
      </c>
      <c r="C216" s="129">
        <v>1</v>
      </c>
      <c r="D216" s="129">
        <v>82000</v>
      </c>
      <c r="E216" s="129">
        <v>890</v>
      </c>
      <c r="F216" s="132" t="s">
        <v>11</v>
      </c>
      <c r="G216" s="201" t="s">
        <v>3040</v>
      </c>
      <c r="H216" s="202" t="s">
        <v>2979</v>
      </c>
      <c r="I216" s="202"/>
      <c r="J216" s="202"/>
      <c r="K216" s="202"/>
      <c r="L216" s="202"/>
      <c r="M216" s="202"/>
      <c r="N216" s="202" t="s">
        <v>3041</v>
      </c>
      <c r="O216" s="202" t="s">
        <v>3042</v>
      </c>
      <c r="P216" s="202" t="s">
        <v>3043</v>
      </c>
      <c r="Q216" s="202" t="s">
        <v>3044</v>
      </c>
      <c r="R216" s="203" t="s">
        <v>3045</v>
      </c>
    </row>
    <row r="217" spans="1:18">
      <c r="A217" s="128">
        <v>1873</v>
      </c>
      <c r="B217" s="131" t="s">
        <v>3046</v>
      </c>
      <c r="C217" s="129">
        <v>1</v>
      </c>
      <c r="D217" s="129">
        <v>54000</v>
      </c>
      <c r="E217" s="129">
        <v>720</v>
      </c>
      <c r="F217" s="132" t="s">
        <v>9</v>
      </c>
      <c r="G217" s="201" t="s">
        <v>3047</v>
      </c>
      <c r="H217" s="202" t="s">
        <v>2980</v>
      </c>
      <c r="I217" s="202"/>
      <c r="J217" s="202"/>
      <c r="K217" s="202"/>
      <c r="L217" s="202"/>
      <c r="M217" s="202"/>
      <c r="N217" s="202" t="s">
        <v>3048</v>
      </c>
      <c r="O217" s="202" t="s">
        <v>3049</v>
      </c>
      <c r="P217" s="202" t="s">
        <v>3050</v>
      </c>
      <c r="Q217" s="202" t="s">
        <v>3051</v>
      </c>
      <c r="R217" s="203" t="s">
        <v>3052</v>
      </c>
    </row>
    <row r="218" spans="1:18">
      <c r="A218" s="128">
        <v>1874</v>
      </c>
      <c r="B218" s="131" t="s">
        <v>3053</v>
      </c>
      <c r="C218" s="129">
        <v>1</v>
      </c>
      <c r="D218" s="129">
        <v>70000</v>
      </c>
      <c r="E218" s="129">
        <v>800</v>
      </c>
      <c r="F218" s="132" t="s">
        <v>10</v>
      </c>
      <c r="G218" s="201" t="s">
        <v>3054</v>
      </c>
      <c r="H218" s="202" t="s">
        <v>3115</v>
      </c>
      <c r="I218" s="202" t="s">
        <v>2981</v>
      </c>
      <c r="J218" s="202"/>
      <c r="K218" s="202"/>
      <c r="L218" s="202"/>
      <c r="M218" s="202"/>
      <c r="N218" s="202" t="s">
        <v>3055</v>
      </c>
      <c r="O218" s="202" t="s">
        <v>3056</v>
      </c>
      <c r="P218" s="202" t="s">
        <v>3057</v>
      </c>
      <c r="Q218" s="202" t="s">
        <v>3058</v>
      </c>
      <c r="R218" s="203" t="s">
        <v>3059</v>
      </c>
    </row>
    <row r="219" spans="1:18">
      <c r="A219" s="128">
        <v>1875</v>
      </c>
      <c r="B219" s="131" t="s">
        <v>3060</v>
      </c>
      <c r="C219" s="129">
        <v>1</v>
      </c>
      <c r="D219" s="129">
        <v>60000</v>
      </c>
      <c r="E219" s="129">
        <v>720</v>
      </c>
      <c r="F219" s="132" t="s">
        <v>23</v>
      </c>
      <c r="G219" s="201" t="s">
        <v>3062</v>
      </c>
      <c r="H219" s="202" t="s">
        <v>2982</v>
      </c>
      <c r="I219" s="202"/>
      <c r="J219" s="202"/>
      <c r="K219" s="202"/>
      <c r="L219" s="202"/>
      <c r="M219" s="202"/>
      <c r="N219" s="202" t="s">
        <v>3063</v>
      </c>
      <c r="O219" s="202" t="s">
        <v>3064</v>
      </c>
      <c r="P219" s="202" t="s">
        <v>3065</v>
      </c>
      <c r="Q219" s="202" t="s">
        <v>3066</v>
      </c>
      <c r="R219" s="203" t="s">
        <v>3067</v>
      </c>
    </row>
    <row r="220" spans="1:18">
      <c r="A220" s="128">
        <v>1876</v>
      </c>
      <c r="B220" s="131" t="s">
        <v>3186</v>
      </c>
      <c r="C220" s="129">
        <v>1</v>
      </c>
      <c r="D220" s="129">
        <v>11000</v>
      </c>
      <c r="E220" s="129">
        <v>189</v>
      </c>
      <c r="F220" s="132" t="s">
        <v>91</v>
      </c>
      <c r="G220" s="201" t="s">
        <v>3187</v>
      </c>
      <c r="H220" s="202" t="s">
        <v>3250</v>
      </c>
      <c r="I220" s="202"/>
      <c r="J220" s="202"/>
      <c r="K220" s="202"/>
      <c r="L220" s="202"/>
      <c r="M220" s="202"/>
      <c r="N220" s="202" t="s">
        <v>3188</v>
      </c>
      <c r="O220" s="202" t="s">
        <v>3189</v>
      </c>
      <c r="P220" s="202" t="s">
        <v>3190</v>
      </c>
      <c r="Q220" s="202" t="s">
        <v>3191</v>
      </c>
      <c r="R220" s="203" t="s">
        <v>3192</v>
      </c>
    </row>
    <row r="221" spans="1:18">
      <c r="A221" s="128">
        <v>1877</v>
      </c>
      <c r="B221" s="131" t="s">
        <v>3193</v>
      </c>
      <c r="C221" s="129">
        <v>1</v>
      </c>
      <c r="D221" s="129">
        <v>25160</v>
      </c>
      <c r="E221" s="129">
        <v>350</v>
      </c>
      <c r="F221" s="132" t="s">
        <v>91</v>
      </c>
      <c r="G221" s="201" t="s">
        <v>3194</v>
      </c>
      <c r="H221" s="202" t="s">
        <v>3283</v>
      </c>
      <c r="I221" s="202"/>
      <c r="J221" s="202"/>
      <c r="K221" s="202"/>
      <c r="L221" s="202"/>
      <c r="M221" s="202"/>
      <c r="N221" s="202" t="s">
        <v>3195</v>
      </c>
      <c r="O221" s="202" t="s">
        <v>3196</v>
      </c>
      <c r="P221" s="202" t="s">
        <v>3197</v>
      </c>
      <c r="Q221" s="202" t="s">
        <v>3198</v>
      </c>
      <c r="R221" s="203" t="s">
        <v>3199</v>
      </c>
    </row>
    <row r="222" spans="1:18">
      <c r="A222" s="128">
        <v>1878</v>
      </c>
      <c r="B222" s="131" t="s">
        <v>3200</v>
      </c>
      <c r="C222" s="129">
        <v>1</v>
      </c>
      <c r="D222" s="129">
        <v>79999</v>
      </c>
      <c r="E222" s="129">
        <v>970</v>
      </c>
      <c r="F222" s="132" t="s">
        <v>16</v>
      </c>
      <c r="G222" s="201" t="s">
        <v>3201</v>
      </c>
      <c r="H222" s="202" t="s">
        <v>3181</v>
      </c>
      <c r="I222" s="202"/>
      <c r="J222" s="202"/>
      <c r="K222" s="202"/>
      <c r="L222" s="202"/>
      <c r="M222" s="202"/>
      <c r="N222" s="202" t="s">
        <v>3202</v>
      </c>
      <c r="O222" s="202" t="s">
        <v>3203</v>
      </c>
      <c r="P222" s="202" t="s">
        <v>3204</v>
      </c>
      <c r="Q222" s="202" t="s">
        <v>3205</v>
      </c>
      <c r="R222" s="203" t="s">
        <v>3206</v>
      </c>
    </row>
    <row r="223" spans="1:18">
      <c r="A223" s="128">
        <v>1879</v>
      </c>
      <c r="B223" s="131" t="s">
        <v>3207</v>
      </c>
      <c r="C223" s="129">
        <v>1</v>
      </c>
      <c r="D223" s="129">
        <v>98000</v>
      </c>
      <c r="E223" s="129">
        <v>1040</v>
      </c>
      <c r="F223" s="132" t="s">
        <v>91</v>
      </c>
      <c r="G223" s="201" t="s">
        <v>3208</v>
      </c>
      <c r="H223" s="202" t="s">
        <v>3182</v>
      </c>
      <c r="I223" s="202"/>
      <c r="J223" s="202"/>
      <c r="K223" s="202"/>
      <c r="L223" s="202"/>
      <c r="M223" s="202"/>
      <c r="N223" s="202" t="s">
        <v>3209</v>
      </c>
      <c r="O223" s="202" t="s">
        <v>3210</v>
      </c>
      <c r="P223" s="202" t="s">
        <v>3211</v>
      </c>
      <c r="Q223" s="202" t="s">
        <v>3212</v>
      </c>
      <c r="R223" s="203" t="s">
        <v>3213</v>
      </c>
    </row>
    <row r="224" spans="1:18">
      <c r="A224" s="128">
        <v>1880</v>
      </c>
      <c r="B224" s="131" t="s">
        <v>3214</v>
      </c>
      <c r="C224" s="129">
        <v>1</v>
      </c>
      <c r="D224" s="129">
        <v>91500</v>
      </c>
      <c r="E224" s="129">
        <v>990</v>
      </c>
      <c r="F224" s="132" t="s">
        <v>91</v>
      </c>
      <c r="G224" s="201" t="s">
        <v>3215</v>
      </c>
      <c r="H224" s="202" t="s">
        <v>3284</v>
      </c>
      <c r="I224" s="202"/>
      <c r="J224" s="202"/>
      <c r="K224" s="202"/>
      <c r="L224" s="202"/>
      <c r="M224" s="202"/>
      <c r="N224" s="202" t="s">
        <v>3216</v>
      </c>
      <c r="O224" s="202" t="s">
        <v>3217</v>
      </c>
      <c r="P224" s="202" t="s">
        <v>3218</v>
      </c>
      <c r="Q224" s="202" t="s">
        <v>3219</v>
      </c>
      <c r="R224" s="203" t="s">
        <v>3220</v>
      </c>
    </row>
    <row r="225" spans="1:18">
      <c r="A225" s="128">
        <v>1881</v>
      </c>
      <c r="B225" s="131" t="s">
        <v>3221</v>
      </c>
      <c r="C225" s="129">
        <v>1</v>
      </c>
      <c r="D225" s="129">
        <v>45000</v>
      </c>
      <c r="E225" s="129">
        <v>520</v>
      </c>
      <c r="F225" s="132" t="s">
        <v>9</v>
      </c>
      <c r="G225" s="201" t="s">
        <v>3222</v>
      </c>
      <c r="H225" s="202" t="s">
        <v>3183</v>
      </c>
      <c r="I225" s="202"/>
      <c r="J225" s="202"/>
      <c r="K225" s="202"/>
      <c r="L225" s="202"/>
      <c r="M225" s="202"/>
      <c r="N225" s="202" t="s">
        <v>3223</v>
      </c>
      <c r="O225" s="202" t="s">
        <v>3224</v>
      </c>
      <c r="P225" s="202" t="s">
        <v>3225</v>
      </c>
      <c r="Q225" s="202" t="s">
        <v>3226</v>
      </c>
      <c r="R225" s="203" t="s">
        <v>3227</v>
      </c>
    </row>
    <row r="226" spans="1:18">
      <c r="A226" s="128">
        <v>1882</v>
      </c>
      <c r="B226" s="131" t="s">
        <v>3228</v>
      </c>
      <c r="C226" s="129">
        <v>1</v>
      </c>
      <c r="D226" s="129">
        <v>22000</v>
      </c>
      <c r="E226" s="129">
        <v>340</v>
      </c>
      <c r="F226" s="132" t="s">
        <v>15</v>
      </c>
      <c r="G226" s="201" t="s">
        <v>3229</v>
      </c>
      <c r="H226" s="202" t="s">
        <v>3285</v>
      </c>
      <c r="I226" s="202"/>
      <c r="J226" s="202"/>
      <c r="K226" s="202"/>
      <c r="L226" s="202"/>
      <c r="M226" s="202"/>
      <c r="N226" s="202" t="s">
        <v>3230</v>
      </c>
      <c r="O226" s="202" t="s">
        <v>3231</v>
      </c>
      <c r="P226" s="202" t="s">
        <v>3232</v>
      </c>
      <c r="Q226" s="202" t="s">
        <v>3233</v>
      </c>
      <c r="R226" s="203" t="s">
        <v>3234</v>
      </c>
    </row>
    <row r="227" spans="1:18">
      <c r="A227" s="128">
        <v>1883</v>
      </c>
      <c r="B227" s="131" t="s">
        <v>3235</v>
      </c>
      <c r="C227" s="129">
        <v>1</v>
      </c>
      <c r="D227" s="129">
        <v>45555</v>
      </c>
      <c r="E227" s="129">
        <v>550</v>
      </c>
      <c r="F227" s="132" t="s">
        <v>9</v>
      </c>
      <c r="G227" s="201" t="s">
        <v>3236</v>
      </c>
      <c r="H227" s="202" t="s">
        <v>3184</v>
      </c>
      <c r="I227" s="202"/>
      <c r="J227" s="202"/>
      <c r="K227" s="202"/>
      <c r="L227" s="202"/>
      <c r="M227" s="202"/>
      <c r="N227" s="202" t="s">
        <v>3237</v>
      </c>
      <c r="O227" s="202" t="s">
        <v>3238</v>
      </c>
      <c r="P227" s="202" t="s">
        <v>3239</v>
      </c>
      <c r="Q227" s="202" t="s">
        <v>3240</v>
      </c>
      <c r="R227" s="203" t="s">
        <v>3241</v>
      </c>
    </row>
    <row r="228" spans="1:18">
      <c r="A228" s="128">
        <v>1884</v>
      </c>
      <c r="B228" s="131" t="s">
        <v>3242</v>
      </c>
      <c r="C228" s="129">
        <v>1</v>
      </c>
      <c r="D228" s="129">
        <v>38800</v>
      </c>
      <c r="E228" s="129">
        <v>459</v>
      </c>
      <c r="F228" s="132" t="s">
        <v>13</v>
      </c>
      <c r="G228" s="201" t="s">
        <v>3244</v>
      </c>
      <c r="H228" s="202" t="s">
        <v>3185</v>
      </c>
      <c r="I228" s="202"/>
      <c r="J228" s="202"/>
      <c r="K228" s="202"/>
      <c r="L228" s="202"/>
      <c r="M228" s="202"/>
      <c r="N228" s="202" t="s">
        <v>3245</v>
      </c>
      <c r="O228" s="202" t="s">
        <v>3246</v>
      </c>
      <c r="P228" s="202" t="s">
        <v>3247</v>
      </c>
      <c r="Q228" s="202" t="s">
        <v>3248</v>
      </c>
      <c r="R228" s="203" t="s">
        <v>3249</v>
      </c>
    </row>
    <row r="229" spans="1:18">
      <c r="A229" s="128">
        <v>1885</v>
      </c>
      <c r="B229" s="131" t="s">
        <v>3307</v>
      </c>
      <c r="C229" s="129">
        <v>1</v>
      </c>
      <c r="D229" s="129">
        <v>89000</v>
      </c>
      <c r="E229" s="129">
        <v>1100</v>
      </c>
      <c r="F229" s="132" t="s">
        <v>16</v>
      </c>
      <c r="G229" s="201" t="s">
        <v>3309</v>
      </c>
      <c r="H229" s="202" t="s">
        <v>3362</v>
      </c>
      <c r="I229" s="202"/>
      <c r="J229" s="202"/>
      <c r="K229" s="202"/>
      <c r="L229" s="202"/>
      <c r="M229" s="202"/>
      <c r="N229" s="202" t="s">
        <v>3310</v>
      </c>
      <c r="O229" s="202" t="s">
        <v>3311</v>
      </c>
      <c r="P229" s="202" t="s">
        <v>3312</v>
      </c>
      <c r="Q229" s="202" t="s">
        <v>3313</v>
      </c>
      <c r="R229" s="203" t="s">
        <v>3314</v>
      </c>
    </row>
    <row r="230" spans="1:18">
      <c r="A230" s="128">
        <v>1886</v>
      </c>
      <c r="B230" s="131" t="s">
        <v>3315</v>
      </c>
      <c r="C230" s="129">
        <v>1</v>
      </c>
      <c r="D230" s="129">
        <v>44990</v>
      </c>
      <c r="E230" s="129">
        <v>499</v>
      </c>
      <c r="F230" s="132" t="s">
        <v>9</v>
      </c>
      <c r="G230" s="201" t="s">
        <v>3317</v>
      </c>
      <c r="H230" s="202" t="s">
        <v>3303</v>
      </c>
      <c r="I230" s="202"/>
      <c r="J230" s="202"/>
      <c r="K230" s="202"/>
      <c r="L230" s="202"/>
      <c r="M230" s="202"/>
      <c r="N230" s="202" t="s">
        <v>3318</v>
      </c>
      <c r="O230" s="202" t="s">
        <v>3319</v>
      </c>
      <c r="P230" s="202" t="s">
        <v>3320</v>
      </c>
      <c r="Q230" s="202" t="s">
        <v>3321</v>
      </c>
      <c r="R230" s="203" t="s">
        <v>3322</v>
      </c>
    </row>
    <row r="231" spans="1:18">
      <c r="A231" s="128">
        <v>1887</v>
      </c>
      <c r="B231" s="131" t="s">
        <v>3323</v>
      </c>
      <c r="C231" s="129">
        <v>1</v>
      </c>
      <c r="D231" s="129">
        <v>40000</v>
      </c>
      <c r="E231" s="129">
        <v>480</v>
      </c>
      <c r="F231" s="132" t="s">
        <v>11</v>
      </c>
      <c r="G231" s="201" t="s">
        <v>3325</v>
      </c>
      <c r="H231" s="202" t="s">
        <v>3304</v>
      </c>
      <c r="I231" s="202"/>
      <c r="J231" s="202"/>
      <c r="K231" s="202"/>
      <c r="L231" s="202"/>
      <c r="M231" s="202"/>
      <c r="N231" s="202" t="s">
        <v>3326</v>
      </c>
      <c r="O231" s="202" t="s">
        <v>3327</v>
      </c>
      <c r="P231" s="202" t="s">
        <v>3328</v>
      </c>
      <c r="Q231" s="202" t="s">
        <v>3329</v>
      </c>
      <c r="R231" s="203" t="s">
        <v>3330</v>
      </c>
    </row>
    <row r="232" spans="1:18">
      <c r="A232" s="128">
        <v>1888</v>
      </c>
      <c r="B232" s="131" t="s">
        <v>3331</v>
      </c>
      <c r="C232" s="129">
        <v>1</v>
      </c>
      <c r="D232" s="129">
        <v>37500</v>
      </c>
      <c r="E232" s="129">
        <v>490</v>
      </c>
      <c r="F232" s="132" t="s">
        <v>15</v>
      </c>
      <c r="G232" s="201" t="s">
        <v>3333</v>
      </c>
      <c r="H232" s="202" t="s">
        <v>3305</v>
      </c>
      <c r="I232" s="202"/>
      <c r="J232" s="202"/>
      <c r="K232" s="202"/>
      <c r="L232" s="202"/>
      <c r="M232" s="202"/>
      <c r="N232" s="202" t="s">
        <v>3334</v>
      </c>
      <c r="O232" s="202" t="s">
        <v>3335</v>
      </c>
      <c r="P232" s="202" t="s">
        <v>3336</v>
      </c>
      <c r="Q232" s="202" t="s">
        <v>3337</v>
      </c>
      <c r="R232" s="203" t="s">
        <v>3338</v>
      </c>
    </row>
    <row r="233" spans="1:18">
      <c r="A233" s="128">
        <v>1889</v>
      </c>
      <c r="B233" s="131" t="s">
        <v>3339</v>
      </c>
      <c r="C233" s="129">
        <v>1</v>
      </c>
      <c r="D233" s="129">
        <v>28999</v>
      </c>
      <c r="E233" s="129">
        <v>369</v>
      </c>
      <c r="F233" s="132" t="s">
        <v>9</v>
      </c>
      <c r="G233" s="201" t="s">
        <v>3341</v>
      </c>
      <c r="H233" s="202" t="s">
        <v>3363</v>
      </c>
      <c r="I233" s="202"/>
      <c r="J233" s="202"/>
      <c r="K233" s="202"/>
      <c r="L233" s="202"/>
      <c r="M233" s="202"/>
      <c r="N233" s="202" t="s">
        <v>3342</v>
      </c>
      <c r="O233" s="202" t="s">
        <v>3343</v>
      </c>
      <c r="P233" s="202" t="s">
        <v>3344</v>
      </c>
      <c r="Q233" s="202" t="s">
        <v>3345</v>
      </c>
      <c r="R233" s="203" t="s">
        <v>3346</v>
      </c>
    </row>
    <row r="234" spans="1:18">
      <c r="A234" s="128">
        <v>1890</v>
      </c>
      <c r="B234" s="131" t="s">
        <v>3347</v>
      </c>
      <c r="C234" s="129">
        <v>1</v>
      </c>
      <c r="D234" s="129">
        <v>13500</v>
      </c>
      <c r="E234" s="129">
        <v>177</v>
      </c>
      <c r="F234" s="132" t="s">
        <v>91</v>
      </c>
      <c r="G234" s="201" t="s">
        <v>3364</v>
      </c>
      <c r="H234" s="202" t="s">
        <v>3365</v>
      </c>
      <c r="I234" s="202"/>
      <c r="J234" s="202"/>
      <c r="K234" s="202"/>
      <c r="L234" s="202"/>
      <c r="M234" s="202"/>
      <c r="N234" s="202" t="s">
        <v>3349</v>
      </c>
      <c r="O234" s="202" t="s">
        <v>3350</v>
      </c>
      <c r="P234" s="202" t="s">
        <v>3351</v>
      </c>
      <c r="Q234" s="202" t="s">
        <v>3352</v>
      </c>
      <c r="R234" s="203" t="s">
        <v>3353</v>
      </c>
    </row>
    <row r="235" spans="1:18">
      <c r="A235" s="128">
        <v>1891</v>
      </c>
      <c r="B235" s="131" t="s">
        <v>3354</v>
      </c>
      <c r="C235" s="129">
        <v>1</v>
      </c>
      <c r="D235" s="129">
        <v>32980</v>
      </c>
      <c r="E235" s="129">
        <v>430</v>
      </c>
      <c r="F235" s="132" t="s">
        <v>9</v>
      </c>
      <c r="G235" s="201" t="s">
        <v>3356</v>
      </c>
      <c r="H235" s="202" t="s">
        <v>3306</v>
      </c>
      <c r="I235" s="202"/>
      <c r="J235" s="202"/>
      <c r="K235" s="202"/>
      <c r="L235" s="202"/>
      <c r="M235" s="202"/>
      <c r="N235" s="202" t="s">
        <v>3357</v>
      </c>
      <c r="O235" s="202" t="s">
        <v>3358</v>
      </c>
      <c r="P235" s="202" t="s">
        <v>3359</v>
      </c>
      <c r="Q235" s="202" t="s">
        <v>3360</v>
      </c>
      <c r="R235" s="203" t="s">
        <v>3361</v>
      </c>
    </row>
    <row r="236" spans="1:18">
      <c r="A236" s="128">
        <v>1892</v>
      </c>
      <c r="B236" s="131"/>
      <c r="C236" s="129"/>
      <c r="D236" s="129"/>
      <c r="E236" s="129"/>
      <c r="F236" s="132"/>
      <c r="G236" s="201"/>
      <c r="H236" s="202"/>
      <c r="I236" s="202"/>
      <c r="J236" s="202"/>
      <c r="K236" s="202"/>
      <c r="L236" s="202"/>
      <c r="M236" s="202"/>
      <c r="N236" s="202"/>
      <c r="O236" s="202"/>
      <c r="P236" s="202"/>
      <c r="Q236" s="202"/>
      <c r="R236" s="203"/>
    </row>
    <row r="237" spans="1:18">
      <c r="A237" s="128">
        <v>1893</v>
      </c>
      <c r="B237" s="131"/>
      <c r="C237" s="129"/>
      <c r="D237" s="129"/>
      <c r="E237" s="129"/>
      <c r="F237" s="132"/>
      <c r="G237" s="201"/>
      <c r="H237" s="202"/>
      <c r="I237" s="202"/>
      <c r="J237" s="202"/>
      <c r="K237" s="202"/>
      <c r="L237" s="202"/>
      <c r="M237" s="202"/>
      <c r="N237" s="202"/>
      <c r="O237" s="202"/>
      <c r="P237" s="202"/>
      <c r="Q237" s="202"/>
      <c r="R237" s="203"/>
    </row>
    <row r="238" spans="1:18">
      <c r="A238" s="128">
        <v>1894</v>
      </c>
      <c r="B238" s="131"/>
      <c r="C238" s="129"/>
      <c r="D238" s="129"/>
      <c r="E238" s="129"/>
      <c r="F238" s="132"/>
      <c r="G238" s="201"/>
      <c r="H238" s="202"/>
      <c r="I238" s="202"/>
      <c r="J238" s="202"/>
      <c r="K238" s="202"/>
      <c r="L238" s="202"/>
      <c r="M238" s="202"/>
      <c r="N238" s="202"/>
      <c r="O238" s="202"/>
      <c r="P238" s="202"/>
      <c r="Q238" s="202"/>
      <c r="R238" s="203"/>
    </row>
    <row r="239" spans="1:18">
      <c r="A239" s="128">
        <v>1895</v>
      </c>
      <c r="B239" s="131"/>
      <c r="C239" s="129"/>
      <c r="D239" s="129"/>
      <c r="E239" s="129"/>
      <c r="F239" s="132"/>
      <c r="G239" s="201"/>
      <c r="H239" s="202"/>
      <c r="I239" s="202"/>
      <c r="J239" s="202"/>
      <c r="K239" s="202"/>
      <c r="L239" s="202"/>
      <c r="M239" s="202"/>
      <c r="N239" s="202"/>
      <c r="O239" s="202"/>
      <c r="P239" s="202"/>
      <c r="Q239" s="202"/>
      <c r="R239" s="203"/>
    </row>
    <row r="240" spans="1:18">
      <c r="A240" s="128">
        <v>1896</v>
      </c>
      <c r="B240" s="131"/>
      <c r="C240" s="129"/>
      <c r="D240" s="129"/>
      <c r="E240" s="129"/>
      <c r="F240" s="132"/>
      <c r="G240" s="201"/>
      <c r="H240" s="202"/>
      <c r="I240" s="202"/>
      <c r="J240" s="202"/>
      <c r="K240" s="202"/>
      <c r="L240" s="202"/>
      <c r="M240" s="202"/>
      <c r="N240" s="202"/>
      <c r="O240" s="202"/>
      <c r="P240" s="202"/>
      <c r="Q240" s="202"/>
      <c r="R240" s="203"/>
    </row>
    <row r="241" spans="1:18">
      <c r="A241" s="128">
        <v>1897</v>
      </c>
      <c r="B241" s="131"/>
      <c r="C241" s="129"/>
      <c r="D241" s="129"/>
      <c r="E241" s="129"/>
      <c r="F241" s="132"/>
      <c r="G241" s="201"/>
      <c r="H241" s="202"/>
      <c r="I241" s="202"/>
      <c r="J241" s="202"/>
      <c r="K241" s="202"/>
      <c r="L241" s="202"/>
      <c r="M241" s="202"/>
      <c r="N241" s="202"/>
      <c r="O241" s="202"/>
      <c r="P241" s="202"/>
      <c r="Q241" s="202"/>
      <c r="R241" s="203"/>
    </row>
    <row r="242" spans="1:18">
      <c r="A242" s="128">
        <v>1898</v>
      </c>
      <c r="B242" s="131"/>
      <c r="C242" s="129"/>
      <c r="D242" s="129"/>
      <c r="E242" s="129"/>
      <c r="F242" s="132"/>
      <c r="G242" s="201"/>
      <c r="H242" s="202"/>
      <c r="I242" s="202"/>
      <c r="J242" s="202"/>
      <c r="K242" s="202"/>
      <c r="L242" s="202"/>
      <c r="M242" s="202"/>
      <c r="N242" s="202"/>
      <c r="O242" s="202"/>
      <c r="P242" s="202"/>
      <c r="Q242" s="202"/>
      <c r="R242" s="203"/>
    </row>
    <row r="243" spans="1:18">
      <c r="A243" s="128">
        <v>1899</v>
      </c>
      <c r="B243" s="131"/>
      <c r="C243" s="129"/>
      <c r="D243" s="129"/>
      <c r="E243" s="129"/>
      <c r="F243" s="132"/>
      <c r="G243" s="201"/>
      <c r="H243" s="202"/>
      <c r="I243" s="202"/>
      <c r="J243" s="202"/>
      <c r="K243" s="202"/>
      <c r="L243" s="202"/>
      <c r="M243" s="202"/>
      <c r="N243" s="202"/>
      <c r="O243" s="202"/>
      <c r="P243" s="202"/>
      <c r="Q243" s="202"/>
      <c r="R243" s="203"/>
    </row>
    <row r="244" spans="1:18">
      <c r="A244" s="128">
        <v>1900</v>
      </c>
      <c r="B244" s="131"/>
      <c r="C244" s="129"/>
      <c r="D244" s="129"/>
      <c r="E244" s="129"/>
      <c r="F244" s="132"/>
      <c r="G244" s="201"/>
      <c r="H244" s="202"/>
      <c r="I244" s="202"/>
      <c r="J244" s="202"/>
      <c r="K244" s="202"/>
      <c r="L244" s="202"/>
      <c r="M244" s="202"/>
      <c r="N244" s="202"/>
      <c r="O244" s="202"/>
      <c r="P244" s="202"/>
      <c r="Q244" s="202"/>
      <c r="R244" s="203"/>
    </row>
    <row r="245" spans="1:18">
      <c r="A245" s="128">
        <v>1901</v>
      </c>
      <c r="B245" s="131"/>
      <c r="C245" s="129"/>
      <c r="D245" s="129"/>
      <c r="E245" s="129"/>
      <c r="F245" s="132"/>
      <c r="G245" s="201"/>
      <c r="H245" s="202"/>
      <c r="I245" s="202"/>
      <c r="J245" s="202"/>
      <c r="K245" s="202"/>
      <c r="L245" s="202"/>
      <c r="M245" s="202"/>
      <c r="N245" s="202"/>
      <c r="O245" s="202"/>
      <c r="P245" s="202"/>
      <c r="Q245" s="202"/>
      <c r="R245" s="203"/>
    </row>
    <row r="246" spans="1:18">
      <c r="A246" s="128">
        <v>1902</v>
      </c>
      <c r="B246" s="131"/>
      <c r="C246" s="129"/>
      <c r="D246" s="129"/>
      <c r="E246" s="129"/>
      <c r="F246" s="132"/>
      <c r="G246" s="201"/>
      <c r="H246" s="202"/>
      <c r="I246" s="202"/>
      <c r="J246" s="202"/>
      <c r="K246" s="202"/>
      <c r="L246" s="202"/>
      <c r="M246" s="202"/>
      <c r="N246" s="202"/>
      <c r="O246" s="202"/>
      <c r="P246" s="202"/>
      <c r="Q246" s="202"/>
      <c r="R246" s="203"/>
    </row>
    <row r="247" spans="1:18">
      <c r="A247" s="128">
        <v>1903</v>
      </c>
      <c r="B247" s="131"/>
      <c r="C247" s="129"/>
      <c r="D247" s="129"/>
      <c r="E247" s="129"/>
      <c r="F247" s="132"/>
      <c r="G247" s="201"/>
      <c r="H247" s="202"/>
      <c r="I247" s="202"/>
      <c r="J247" s="202"/>
      <c r="K247" s="202"/>
      <c r="L247" s="202"/>
      <c r="M247" s="202"/>
      <c r="N247" s="202"/>
      <c r="O247" s="202"/>
      <c r="P247" s="202"/>
      <c r="Q247" s="202"/>
      <c r="R247" s="203"/>
    </row>
    <row r="248" spans="1:18">
      <c r="A248" s="128">
        <v>1904</v>
      </c>
      <c r="B248" s="131"/>
      <c r="C248" s="129"/>
      <c r="D248" s="129"/>
      <c r="E248" s="129"/>
      <c r="F248" s="132"/>
      <c r="G248" s="201"/>
      <c r="H248" s="202"/>
      <c r="I248" s="202"/>
      <c r="J248" s="202"/>
      <c r="K248" s="202"/>
      <c r="L248" s="202"/>
      <c r="M248" s="202"/>
      <c r="N248" s="202"/>
      <c r="O248" s="202"/>
      <c r="P248" s="202"/>
      <c r="Q248" s="202"/>
      <c r="R248" s="203"/>
    </row>
    <row r="249" spans="1:18">
      <c r="A249" s="128">
        <v>1905</v>
      </c>
      <c r="B249" s="131"/>
      <c r="C249" s="129"/>
      <c r="D249" s="129"/>
      <c r="E249" s="129"/>
      <c r="F249" s="132"/>
      <c r="G249" s="201"/>
      <c r="H249" s="202"/>
      <c r="I249" s="202"/>
      <c r="J249" s="202"/>
      <c r="K249" s="202"/>
      <c r="L249" s="202"/>
      <c r="M249" s="202"/>
      <c r="N249" s="202"/>
      <c r="O249" s="202"/>
      <c r="P249" s="202"/>
      <c r="Q249" s="202"/>
      <c r="R249" s="203"/>
    </row>
    <row r="250" spans="1:18">
      <c r="A250" s="128">
        <v>1906</v>
      </c>
      <c r="B250" s="131"/>
      <c r="C250" s="129"/>
      <c r="D250" s="129"/>
      <c r="E250" s="129"/>
      <c r="F250" s="132"/>
      <c r="G250" s="201"/>
      <c r="H250" s="202"/>
      <c r="I250" s="202"/>
      <c r="J250" s="202"/>
      <c r="K250" s="202"/>
      <c r="L250" s="202"/>
      <c r="M250" s="202"/>
      <c r="N250" s="202"/>
      <c r="O250" s="202"/>
      <c r="P250" s="202"/>
      <c r="Q250" s="202"/>
      <c r="R250" s="203"/>
    </row>
    <row r="251" spans="1:18">
      <c r="A251" s="128">
        <v>1907</v>
      </c>
      <c r="B251" s="131"/>
      <c r="C251" s="129"/>
      <c r="D251" s="129"/>
      <c r="E251" s="129"/>
      <c r="F251" s="132"/>
      <c r="G251" s="201"/>
      <c r="H251" s="202"/>
      <c r="I251" s="202"/>
      <c r="J251" s="202"/>
      <c r="K251" s="202"/>
      <c r="L251" s="202"/>
      <c r="M251" s="202"/>
      <c r="N251" s="202"/>
      <c r="O251" s="202"/>
      <c r="P251" s="202"/>
      <c r="Q251" s="202"/>
      <c r="R251" s="203"/>
    </row>
    <row r="252" spans="1:18">
      <c r="A252" s="128">
        <v>1908</v>
      </c>
      <c r="B252" s="131"/>
      <c r="C252" s="129"/>
      <c r="D252" s="129"/>
      <c r="E252" s="129"/>
      <c r="F252" s="132"/>
      <c r="G252" s="201"/>
      <c r="H252" s="202"/>
      <c r="I252" s="202"/>
      <c r="J252" s="202"/>
      <c r="K252" s="202"/>
      <c r="L252" s="202"/>
      <c r="M252" s="202"/>
      <c r="N252" s="202"/>
      <c r="O252" s="202"/>
      <c r="P252" s="202"/>
      <c r="Q252" s="202"/>
      <c r="R252" s="203"/>
    </row>
    <row r="253" spans="1:18">
      <c r="A253" s="128">
        <v>1909</v>
      </c>
      <c r="B253" s="131"/>
      <c r="C253" s="129"/>
      <c r="D253" s="129"/>
      <c r="E253" s="129"/>
      <c r="F253" s="132"/>
      <c r="G253" s="201"/>
      <c r="H253" s="202"/>
      <c r="I253" s="202"/>
      <c r="J253" s="202"/>
      <c r="K253" s="202"/>
      <c r="L253" s="202"/>
      <c r="M253" s="202"/>
      <c r="N253" s="202"/>
      <c r="O253" s="202"/>
      <c r="P253" s="202"/>
      <c r="Q253" s="202"/>
      <c r="R253" s="203"/>
    </row>
    <row r="254" spans="1:18">
      <c r="A254" s="128">
        <v>1910</v>
      </c>
      <c r="B254" s="131"/>
      <c r="C254" s="129"/>
      <c r="D254" s="129"/>
      <c r="E254" s="129"/>
      <c r="F254" s="132"/>
      <c r="G254" s="201"/>
      <c r="H254" s="202"/>
      <c r="I254" s="202"/>
      <c r="J254" s="202"/>
      <c r="K254" s="202"/>
      <c r="L254" s="202"/>
      <c r="M254" s="202"/>
      <c r="N254" s="202"/>
      <c r="O254" s="202"/>
      <c r="P254" s="202"/>
      <c r="Q254" s="202"/>
      <c r="R254" s="203"/>
    </row>
    <row r="255" spans="1:18">
      <c r="A255" s="128">
        <v>1911</v>
      </c>
      <c r="B255" s="131"/>
      <c r="C255" s="129"/>
      <c r="D255" s="129"/>
      <c r="E255" s="129"/>
      <c r="F255" s="132"/>
      <c r="G255" s="201"/>
      <c r="H255" s="202"/>
      <c r="I255" s="202"/>
      <c r="J255" s="202"/>
      <c r="K255" s="202"/>
      <c r="L255" s="202"/>
      <c r="M255" s="202"/>
      <c r="N255" s="202"/>
      <c r="O255" s="202"/>
      <c r="P255" s="202"/>
      <c r="Q255" s="202"/>
      <c r="R255" s="203"/>
    </row>
    <row r="256" spans="1:18">
      <c r="A256" s="128">
        <v>1912</v>
      </c>
      <c r="B256" s="131"/>
      <c r="C256" s="129"/>
      <c r="D256" s="129"/>
      <c r="E256" s="129"/>
      <c r="F256" s="132"/>
      <c r="G256" s="201"/>
      <c r="H256" s="202"/>
      <c r="I256" s="202"/>
      <c r="J256" s="202"/>
      <c r="K256" s="202"/>
      <c r="L256" s="202"/>
      <c r="M256" s="202"/>
      <c r="N256" s="202"/>
      <c r="O256" s="202"/>
      <c r="P256" s="202"/>
      <c r="Q256" s="202"/>
      <c r="R256" s="203"/>
    </row>
    <row r="257" spans="1:18">
      <c r="A257" s="128">
        <v>1913</v>
      </c>
      <c r="B257" s="131"/>
      <c r="C257" s="129"/>
      <c r="D257" s="129"/>
      <c r="E257" s="129"/>
      <c r="F257" s="132"/>
      <c r="G257" s="201"/>
      <c r="H257" s="202"/>
      <c r="I257" s="202"/>
      <c r="J257" s="202"/>
      <c r="K257" s="202"/>
      <c r="L257" s="202"/>
      <c r="M257" s="202"/>
      <c r="N257" s="202"/>
      <c r="O257" s="202"/>
      <c r="P257" s="202"/>
      <c r="Q257" s="202"/>
      <c r="R257" s="203"/>
    </row>
    <row r="258" spans="1:18">
      <c r="A258" s="128">
        <v>1914</v>
      </c>
      <c r="B258" s="131"/>
      <c r="C258" s="129"/>
      <c r="D258" s="129"/>
      <c r="E258" s="129"/>
      <c r="F258" s="132"/>
      <c r="G258" s="201"/>
      <c r="H258" s="202"/>
      <c r="I258" s="202"/>
      <c r="J258" s="202"/>
      <c r="K258" s="202"/>
      <c r="L258" s="202"/>
      <c r="M258" s="202"/>
      <c r="N258" s="202"/>
      <c r="O258" s="202"/>
      <c r="P258" s="202"/>
      <c r="Q258" s="202"/>
      <c r="R258" s="203"/>
    </row>
    <row r="259" spans="1:18">
      <c r="A259" s="128">
        <v>1915</v>
      </c>
      <c r="B259" s="131"/>
      <c r="C259" s="129"/>
      <c r="D259" s="129"/>
      <c r="E259" s="129"/>
      <c r="F259" s="132"/>
      <c r="G259" s="201"/>
      <c r="H259" s="202"/>
      <c r="I259" s="202"/>
      <c r="J259" s="202"/>
      <c r="K259" s="202"/>
      <c r="L259" s="202"/>
      <c r="M259" s="202"/>
      <c r="N259" s="202"/>
      <c r="O259" s="202"/>
      <c r="P259" s="202"/>
      <c r="Q259" s="202"/>
      <c r="R259" s="203"/>
    </row>
    <row r="260" spans="1:18">
      <c r="A260" s="128">
        <v>1916</v>
      </c>
      <c r="B260" s="131"/>
      <c r="C260" s="129"/>
      <c r="D260" s="129"/>
      <c r="E260" s="129"/>
      <c r="F260" s="132"/>
      <c r="G260" s="201"/>
      <c r="H260" s="202"/>
      <c r="I260" s="202"/>
      <c r="J260" s="202"/>
      <c r="K260" s="202"/>
      <c r="L260" s="202"/>
      <c r="M260" s="202"/>
      <c r="N260" s="202"/>
      <c r="O260" s="202"/>
      <c r="P260" s="202"/>
      <c r="Q260" s="202"/>
      <c r="R260" s="203"/>
    </row>
    <row r="261" spans="1:18">
      <c r="A261" s="128">
        <v>1917</v>
      </c>
      <c r="B261" s="131"/>
      <c r="C261" s="129"/>
      <c r="D261" s="129"/>
      <c r="E261" s="129"/>
      <c r="F261" s="132"/>
      <c r="G261" s="201"/>
      <c r="H261" s="202"/>
      <c r="I261" s="202"/>
      <c r="J261" s="202"/>
      <c r="K261" s="202"/>
      <c r="L261" s="202"/>
      <c r="M261" s="202"/>
      <c r="N261" s="202"/>
      <c r="O261" s="202"/>
      <c r="P261" s="202"/>
      <c r="Q261" s="202"/>
      <c r="R261" s="203"/>
    </row>
    <row r="262" spans="1:18">
      <c r="A262" s="128">
        <v>1918</v>
      </c>
      <c r="B262" s="131"/>
      <c r="C262" s="129"/>
      <c r="D262" s="129"/>
      <c r="E262" s="129"/>
      <c r="F262" s="132"/>
      <c r="G262" s="201"/>
      <c r="H262" s="202"/>
      <c r="I262" s="202"/>
      <c r="J262" s="202"/>
      <c r="K262" s="202"/>
      <c r="L262" s="202"/>
      <c r="M262" s="202"/>
      <c r="N262" s="202"/>
      <c r="O262" s="202"/>
      <c r="P262" s="202"/>
      <c r="Q262" s="202"/>
      <c r="R262" s="203"/>
    </row>
    <row r="263" spans="1:18">
      <c r="A263" s="128">
        <v>1919</v>
      </c>
      <c r="B263" s="131"/>
      <c r="C263" s="129"/>
      <c r="D263" s="129"/>
      <c r="E263" s="129"/>
      <c r="F263" s="132"/>
      <c r="G263" s="201"/>
      <c r="H263" s="202"/>
      <c r="I263" s="202"/>
      <c r="J263" s="202"/>
      <c r="K263" s="202"/>
      <c r="L263" s="202"/>
      <c r="M263" s="202"/>
      <c r="N263" s="202"/>
      <c r="O263" s="202"/>
      <c r="P263" s="202"/>
      <c r="Q263" s="202"/>
      <c r="R263" s="203"/>
    </row>
    <row r="264" spans="1:18">
      <c r="A264" s="128">
        <v>1920</v>
      </c>
      <c r="B264" s="131"/>
      <c r="C264" s="129"/>
      <c r="D264" s="129"/>
      <c r="E264" s="129"/>
      <c r="F264" s="132"/>
      <c r="G264" s="201"/>
      <c r="H264" s="202"/>
      <c r="I264" s="202"/>
      <c r="J264" s="202"/>
      <c r="K264" s="202"/>
      <c r="L264" s="202"/>
      <c r="M264" s="202"/>
      <c r="N264" s="202"/>
      <c r="O264" s="202"/>
      <c r="P264" s="202"/>
      <c r="Q264" s="202"/>
      <c r="R264" s="203"/>
    </row>
    <row r="265" spans="1:18">
      <c r="A265" s="128">
        <v>1921</v>
      </c>
      <c r="B265" s="131"/>
      <c r="C265" s="129"/>
      <c r="D265" s="129"/>
      <c r="E265" s="129"/>
      <c r="F265" s="132"/>
      <c r="G265" s="201"/>
      <c r="H265" s="202"/>
      <c r="I265" s="202"/>
      <c r="J265" s="202"/>
      <c r="K265" s="202"/>
      <c r="L265" s="202"/>
      <c r="M265" s="202"/>
      <c r="N265" s="202"/>
      <c r="O265" s="202"/>
      <c r="P265" s="202"/>
      <c r="Q265" s="202"/>
      <c r="R265" s="203"/>
    </row>
    <row r="266" spans="1:18">
      <c r="A266" s="128">
        <v>1922</v>
      </c>
      <c r="B266" s="131"/>
      <c r="C266" s="129"/>
      <c r="D266" s="129"/>
      <c r="E266" s="129"/>
      <c r="F266" s="132"/>
      <c r="G266" s="201"/>
      <c r="H266" s="202"/>
      <c r="I266" s="202"/>
      <c r="J266" s="202"/>
      <c r="K266" s="202"/>
      <c r="L266" s="202"/>
      <c r="M266" s="202"/>
      <c r="N266" s="202"/>
      <c r="O266" s="202"/>
      <c r="P266" s="202"/>
      <c r="Q266" s="202"/>
      <c r="R266" s="203"/>
    </row>
    <row r="267" spans="1:18">
      <c r="A267" s="128">
        <v>1923</v>
      </c>
      <c r="B267" s="131"/>
      <c r="C267" s="129"/>
      <c r="D267" s="129"/>
      <c r="E267" s="129"/>
      <c r="F267" s="132"/>
      <c r="G267" s="201"/>
      <c r="H267" s="202"/>
      <c r="I267" s="202"/>
      <c r="J267" s="202"/>
      <c r="K267" s="202"/>
      <c r="L267" s="202"/>
      <c r="M267" s="202"/>
      <c r="N267" s="202"/>
      <c r="O267" s="202"/>
      <c r="P267" s="202"/>
      <c r="Q267" s="202"/>
      <c r="R267" s="203"/>
    </row>
    <row r="268" spans="1:18">
      <c r="A268" s="128">
        <v>1924</v>
      </c>
      <c r="B268" s="131"/>
      <c r="C268" s="129"/>
      <c r="D268" s="129"/>
      <c r="E268" s="129"/>
      <c r="F268" s="132"/>
      <c r="G268" s="201"/>
      <c r="H268" s="202"/>
      <c r="I268" s="202"/>
      <c r="J268" s="202"/>
      <c r="K268" s="202"/>
      <c r="L268" s="202"/>
      <c r="M268" s="202"/>
      <c r="N268" s="202"/>
      <c r="O268" s="202"/>
      <c r="P268" s="202"/>
      <c r="Q268" s="202"/>
      <c r="R268" s="203"/>
    </row>
    <row r="269" spans="1:18">
      <c r="A269" s="128">
        <v>1925</v>
      </c>
      <c r="B269" s="131"/>
      <c r="C269" s="129"/>
      <c r="D269" s="129"/>
      <c r="E269" s="129"/>
      <c r="F269" s="132"/>
      <c r="G269" s="201"/>
      <c r="H269" s="202"/>
      <c r="I269" s="202"/>
      <c r="J269" s="202"/>
      <c r="K269" s="202"/>
      <c r="L269" s="202"/>
      <c r="M269" s="202"/>
      <c r="N269" s="202"/>
      <c r="O269" s="202"/>
      <c r="P269" s="202"/>
      <c r="Q269" s="202"/>
      <c r="R269" s="203"/>
    </row>
    <row r="270" spans="1:18">
      <c r="A270" s="128">
        <v>1926</v>
      </c>
      <c r="B270" s="131"/>
      <c r="C270" s="129"/>
      <c r="D270" s="129"/>
      <c r="E270" s="129"/>
      <c r="F270" s="132"/>
      <c r="G270" s="201"/>
      <c r="H270" s="202"/>
      <c r="I270" s="202"/>
      <c r="J270" s="202"/>
      <c r="K270" s="202"/>
      <c r="L270" s="202"/>
      <c r="M270" s="202"/>
      <c r="N270" s="202"/>
      <c r="O270" s="202"/>
      <c r="P270" s="202"/>
      <c r="Q270" s="202"/>
      <c r="R270" s="203"/>
    </row>
    <row r="271" spans="1:18">
      <c r="A271" s="128">
        <v>1927</v>
      </c>
      <c r="B271" s="131"/>
      <c r="C271" s="129"/>
      <c r="D271" s="129"/>
      <c r="E271" s="129"/>
      <c r="F271" s="132"/>
      <c r="G271" s="201"/>
      <c r="H271" s="202"/>
      <c r="I271" s="202"/>
      <c r="J271" s="202"/>
      <c r="K271" s="202"/>
      <c r="L271" s="202"/>
      <c r="M271" s="202"/>
      <c r="N271" s="202"/>
      <c r="O271" s="202"/>
      <c r="P271" s="202"/>
      <c r="Q271" s="202"/>
      <c r="R271" s="203"/>
    </row>
    <row r="272" spans="1:18">
      <c r="A272" s="128">
        <v>1928</v>
      </c>
      <c r="B272" s="131"/>
      <c r="C272" s="129"/>
      <c r="D272" s="129"/>
      <c r="E272" s="129"/>
      <c r="F272" s="132"/>
      <c r="G272" s="201"/>
      <c r="H272" s="202"/>
      <c r="I272" s="202"/>
      <c r="J272" s="202"/>
      <c r="K272" s="202"/>
      <c r="L272" s="202"/>
      <c r="M272" s="202"/>
      <c r="N272" s="202"/>
      <c r="O272" s="202"/>
      <c r="P272" s="202"/>
      <c r="Q272" s="202"/>
      <c r="R272" s="203"/>
    </row>
    <row r="273" spans="1:18">
      <c r="A273" s="128">
        <v>1929</v>
      </c>
      <c r="B273" s="131"/>
      <c r="C273" s="129"/>
      <c r="D273" s="129"/>
      <c r="E273" s="129"/>
      <c r="F273" s="132"/>
      <c r="G273" s="201"/>
      <c r="H273" s="202"/>
      <c r="I273" s="202"/>
      <c r="J273" s="202"/>
      <c r="K273" s="202"/>
      <c r="L273" s="202"/>
      <c r="M273" s="202"/>
      <c r="N273" s="202"/>
      <c r="O273" s="202"/>
      <c r="P273" s="202"/>
      <c r="Q273" s="202"/>
      <c r="R273" s="203"/>
    </row>
    <row r="274" spans="1:18">
      <c r="A274" s="128">
        <v>1930</v>
      </c>
      <c r="B274" s="131"/>
      <c r="C274" s="129"/>
      <c r="D274" s="129"/>
      <c r="E274" s="129"/>
      <c r="F274" s="132"/>
      <c r="G274" s="201"/>
      <c r="H274" s="202"/>
      <c r="I274" s="202"/>
      <c r="J274" s="202"/>
      <c r="K274" s="202"/>
      <c r="L274" s="202"/>
      <c r="M274" s="202"/>
      <c r="N274" s="202"/>
      <c r="O274" s="202"/>
      <c r="P274" s="202"/>
      <c r="Q274" s="202"/>
      <c r="R274" s="203"/>
    </row>
    <row r="275" spans="1:18">
      <c r="A275" s="128">
        <v>1931</v>
      </c>
      <c r="B275" s="131"/>
      <c r="C275" s="129"/>
      <c r="D275" s="129"/>
      <c r="E275" s="129"/>
      <c r="F275" s="132"/>
      <c r="G275" s="201"/>
      <c r="H275" s="202"/>
      <c r="I275" s="202"/>
      <c r="J275" s="202"/>
      <c r="K275" s="202"/>
      <c r="L275" s="202"/>
      <c r="M275" s="202"/>
      <c r="N275" s="202"/>
      <c r="O275" s="202"/>
      <c r="P275" s="202"/>
      <c r="Q275" s="202"/>
      <c r="R275" s="203"/>
    </row>
    <row r="276" spans="1:18">
      <c r="A276" s="128">
        <v>1932</v>
      </c>
      <c r="B276" s="131"/>
      <c r="C276" s="129"/>
      <c r="D276" s="129"/>
      <c r="E276" s="129"/>
      <c r="F276" s="132"/>
      <c r="G276" s="201"/>
      <c r="H276" s="202"/>
      <c r="I276" s="202"/>
      <c r="J276" s="202"/>
      <c r="K276" s="202"/>
      <c r="L276" s="202"/>
      <c r="M276" s="202"/>
      <c r="N276" s="202"/>
      <c r="O276" s="202"/>
      <c r="P276" s="202"/>
      <c r="Q276" s="202"/>
      <c r="R276" s="203"/>
    </row>
    <row r="277" spans="1:18">
      <c r="A277" s="128">
        <v>1933</v>
      </c>
      <c r="B277" s="131"/>
      <c r="C277" s="129"/>
      <c r="D277" s="129"/>
      <c r="E277" s="129"/>
      <c r="F277" s="132"/>
      <c r="G277" s="201"/>
      <c r="H277" s="202"/>
      <c r="I277" s="202"/>
      <c r="J277" s="202"/>
      <c r="K277" s="202"/>
      <c r="L277" s="202"/>
      <c r="M277" s="202"/>
      <c r="N277" s="202"/>
      <c r="O277" s="202"/>
      <c r="P277" s="202"/>
      <c r="Q277" s="202"/>
      <c r="R277" s="203"/>
    </row>
    <row r="278" spans="1:18">
      <c r="A278" s="128">
        <v>1934</v>
      </c>
      <c r="B278" s="131"/>
      <c r="C278" s="129"/>
      <c r="D278" s="129"/>
      <c r="E278" s="129"/>
      <c r="F278" s="132"/>
      <c r="G278" s="201"/>
      <c r="H278" s="202"/>
      <c r="I278" s="202"/>
      <c r="J278" s="202"/>
      <c r="K278" s="202"/>
      <c r="L278" s="202"/>
      <c r="M278" s="202"/>
      <c r="N278" s="202"/>
      <c r="O278" s="202"/>
      <c r="P278" s="202"/>
      <c r="Q278" s="202"/>
      <c r="R278" s="203"/>
    </row>
    <row r="279" spans="1:18">
      <c r="A279" s="128">
        <v>1935</v>
      </c>
      <c r="B279" s="131"/>
      <c r="C279" s="129"/>
      <c r="D279" s="129"/>
      <c r="E279" s="129"/>
      <c r="F279" s="132"/>
      <c r="G279" s="201"/>
      <c r="H279" s="202"/>
      <c r="I279" s="202"/>
      <c r="J279" s="202"/>
      <c r="K279" s="202"/>
      <c r="L279" s="202"/>
      <c r="M279" s="202"/>
      <c r="N279" s="202"/>
      <c r="O279" s="202"/>
      <c r="P279" s="202"/>
      <c r="Q279" s="202"/>
      <c r="R279" s="203"/>
    </row>
    <row r="280" spans="1:18">
      <c r="A280" s="128">
        <v>1936</v>
      </c>
      <c r="B280" s="131"/>
      <c r="C280" s="129"/>
      <c r="D280" s="129"/>
      <c r="E280" s="129"/>
      <c r="F280" s="132"/>
      <c r="G280" s="201"/>
      <c r="H280" s="202"/>
      <c r="I280" s="202"/>
      <c r="J280" s="202"/>
      <c r="K280" s="202"/>
      <c r="L280" s="202"/>
      <c r="M280" s="202"/>
      <c r="N280" s="202"/>
      <c r="O280" s="202"/>
      <c r="P280" s="202"/>
      <c r="Q280" s="202"/>
      <c r="R280" s="203"/>
    </row>
    <row r="281" spans="1:18">
      <c r="A281" s="128">
        <v>1937</v>
      </c>
      <c r="B281" s="131"/>
      <c r="C281" s="129"/>
      <c r="D281" s="129"/>
      <c r="E281" s="129"/>
      <c r="F281" s="132"/>
      <c r="G281" s="201"/>
      <c r="H281" s="202"/>
      <c r="I281" s="202"/>
      <c r="J281" s="202"/>
      <c r="K281" s="202"/>
      <c r="L281" s="202"/>
      <c r="M281" s="202"/>
      <c r="N281" s="202"/>
      <c r="O281" s="202"/>
      <c r="P281" s="202"/>
      <c r="Q281" s="202"/>
      <c r="R281" s="203"/>
    </row>
    <row r="282" spans="1:18">
      <c r="A282" s="128">
        <v>1938</v>
      </c>
      <c r="B282" s="131"/>
      <c r="C282" s="129"/>
      <c r="D282" s="129"/>
      <c r="E282" s="129"/>
      <c r="F282" s="132"/>
      <c r="G282" s="201"/>
      <c r="H282" s="202"/>
      <c r="I282" s="202"/>
      <c r="J282" s="202"/>
      <c r="K282" s="202"/>
      <c r="L282" s="202"/>
      <c r="M282" s="202"/>
      <c r="N282" s="202"/>
      <c r="O282" s="202"/>
      <c r="P282" s="202"/>
      <c r="Q282" s="202"/>
      <c r="R282" s="203"/>
    </row>
    <row r="283" spans="1:18">
      <c r="A283" s="128">
        <v>1939</v>
      </c>
      <c r="B283" s="131"/>
      <c r="C283" s="129"/>
      <c r="D283" s="129"/>
      <c r="E283" s="129"/>
      <c r="F283" s="132"/>
      <c r="G283" s="201"/>
      <c r="H283" s="202"/>
      <c r="I283" s="202"/>
      <c r="J283" s="202"/>
      <c r="K283" s="202"/>
      <c r="L283" s="202"/>
      <c r="M283" s="202"/>
      <c r="N283" s="202"/>
      <c r="O283" s="202"/>
      <c r="P283" s="202"/>
      <c r="Q283" s="202"/>
      <c r="R283" s="203"/>
    </row>
    <row r="284" spans="1:18">
      <c r="A284" s="128">
        <v>1940</v>
      </c>
      <c r="B284" s="131"/>
      <c r="C284" s="129"/>
      <c r="D284" s="129"/>
      <c r="E284" s="129"/>
      <c r="F284" s="132"/>
      <c r="G284" s="201"/>
      <c r="H284" s="202"/>
      <c r="I284" s="202"/>
      <c r="J284" s="202"/>
      <c r="K284" s="202"/>
      <c r="L284" s="202"/>
      <c r="M284" s="202"/>
      <c r="N284" s="202"/>
      <c r="O284" s="202"/>
      <c r="P284" s="202"/>
      <c r="Q284" s="202"/>
      <c r="R284" s="203"/>
    </row>
    <row r="285" spans="1:18">
      <c r="A285" s="128">
        <v>1941</v>
      </c>
      <c r="B285" s="131"/>
      <c r="C285" s="129"/>
      <c r="D285" s="129"/>
      <c r="E285" s="129"/>
      <c r="F285" s="132"/>
      <c r="G285" s="201"/>
      <c r="H285" s="202"/>
      <c r="I285" s="202"/>
      <c r="J285" s="202"/>
      <c r="K285" s="202"/>
      <c r="L285" s="202"/>
      <c r="M285" s="202"/>
      <c r="N285" s="202"/>
      <c r="O285" s="202"/>
      <c r="P285" s="202"/>
      <c r="Q285" s="202"/>
      <c r="R285" s="203"/>
    </row>
    <row r="286" spans="1:18">
      <c r="A286" s="128">
        <v>1942</v>
      </c>
      <c r="B286" s="131"/>
      <c r="C286" s="129"/>
      <c r="D286" s="129"/>
      <c r="E286" s="129"/>
      <c r="F286" s="132"/>
      <c r="G286" s="201"/>
      <c r="H286" s="202"/>
      <c r="I286" s="202"/>
      <c r="J286" s="202"/>
      <c r="K286" s="202"/>
      <c r="L286" s="202"/>
      <c r="M286" s="202"/>
      <c r="N286" s="202"/>
      <c r="O286" s="202"/>
      <c r="P286" s="202"/>
      <c r="Q286" s="202"/>
      <c r="R286" s="203"/>
    </row>
    <row r="287" spans="1:18">
      <c r="A287" s="128">
        <v>1943</v>
      </c>
      <c r="B287" s="131"/>
      <c r="C287" s="129"/>
      <c r="D287" s="129"/>
      <c r="E287" s="129"/>
      <c r="F287" s="132"/>
      <c r="G287" s="201"/>
      <c r="H287" s="202"/>
      <c r="I287" s="202"/>
      <c r="J287" s="202"/>
      <c r="K287" s="202"/>
      <c r="L287" s="202"/>
      <c r="M287" s="202"/>
      <c r="N287" s="202"/>
      <c r="O287" s="202"/>
      <c r="P287" s="202"/>
      <c r="Q287" s="202"/>
      <c r="R287" s="203"/>
    </row>
    <row r="288" spans="1:18">
      <c r="A288" s="128">
        <v>1944</v>
      </c>
      <c r="B288" s="131"/>
      <c r="C288" s="129"/>
      <c r="D288" s="129"/>
      <c r="E288" s="129"/>
      <c r="F288" s="132"/>
      <c r="G288" s="201"/>
      <c r="H288" s="202"/>
      <c r="I288" s="202"/>
      <c r="J288" s="202"/>
      <c r="K288" s="202"/>
      <c r="L288" s="202"/>
      <c r="M288" s="202"/>
      <c r="N288" s="202"/>
      <c r="O288" s="202"/>
      <c r="P288" s="202"/>
      <c r="Q288" s="202"/>
      <c r="R288" s="203"/>
    </row>
    <row r="289" spans="1:18">
      <c r="A289" s="128">
        <v>1945</v>
      </c>
      <c r="B289" s="131"/>
      <c r="C289" s="129"/>
      <c r="D289" s="129"/>
      <c r="E289" s="129"/>
      <c r="F289" s="132"/>
      <c r="G289" s="201"/>
      <c r="H289" s="202"/>
      <c r="I289" s="202"/>
      <c r="J289" s="202"/>
      <c r="K289" s="202"/>
      <c r="L289" s="202"/>
      <c r="M289" s="202"/>
      <c r="N289" s="202"/>
      <c r="O289" s="202"/>
      <c r="P289" s="202"/>
      <c r="Q289" s="202"/>
      <c r="R289" s="203"/>
    </row>
    <row r="290" spans="1:18">
      <c r="A290" s="128">
        <v>1946</v>
      </c>
      <c r="B290" s="131"/>
      <c r="C290" s="129"/>
      <c r="D290" s="129"/>
      <c r="E290" s="129"/>
      <c r="F290" s="132"/>
      <c r="G290" s="201"/>
      <c r="H290" s="202"/>
      <c r="I290" s="202"/>
      <c r="J290" s="202"/>
      <c r="K290" s="202"/>
      <c r="L290" s="202"/>
      <c r="M290" s="202"/>
      <c r="N290" s="202"/>
      <c r="O290" s="202"/>
      <c r="P290" s="202"/>
      <c r="Q290" s="202"/>
      <c r="R290" s="203"/>
    </row>
    <row r="291" spans="1:18">
      <c r="A291" s="128">
        <v>1947</v>
      </c>
      <c r="B291" s="131"/>
      <c r="C291" s="129"/>
      <c r="D291" s="129"/>
      <c r="E291" s="129"/>
      <c r="F291" s="132"/>
      <c r="G291" s="201"/>
      <c r="H291" s="202"/>
      <c r="I291" s="202"/>
      <c r="J291" s="202"/>
      <c r="K291" s="202"/>
      <c r="L291" s="202"/>
      <c r="M291" s="202"/>
      <c r="N291" s="202"/>
      <c r="O291" s="202"/>
      <c r="P291" s="202"/>
      <c r="Q291" s="202"/>
      <c r="R291" s="203"/>
    </row>
    <row r="292" spans="1:18">
      <c r="A292" s="128">
        <v>1948</v>
      </c>
      <c r="B292" s="131"/>
      <c r="C292" s="129"/>
      <c r="D292" s="129"/>
      <c r="E292" s="129"/>
      <c r="F292" s="132"/>
      <c r="G292" s="201"/>
      <c r="H292" s="202"/>
      <c r="I292" s="202"/>
      <c r="J292" s="202"/>
      <c r="K292" s="202"/>
      <c r="L292" s="202"/>
      <c r="M292" s="202"/>
      <c r="N292" s="202"/>
      <c r="O292" s="202"/>
      <c r="P292" s="202"/>
      <c r="Q292" s="202"/>
      <c r="R292" s="203"/>
    </row>
    <row r="293" spans="1:18">
      <c r="A293" s="128">
        <v>1949</v>
      </c>
      <c r="B293" s="131"/>
      <c r="C293" s="129"/>
      <c r="D293" s="129"/>
      <c r="E293" s="129"/>
      <c r="F293" s="132"/>
      <c r="G293" s="201"/>
      <c r="H293" s="202"/>
      <c r="I293" s="202"/>
      <c r="J293" s="202"/>
      <c r="K293" s="202"/>
      <c r="L293" s="202"/>
      <c r="M293" s="202"/>
      <c r="N293" s="202"/>
      <c r="O293" s="202"/>
      <c r="P293" s="202"/>
      <c r="Q293" s="202"/>
      <c r="R293" s="203"/>
    </row>
    <row r="294" spans="1:18">
      <c r="A294" s="128">
        <v>1950</v>
      </c>
      <c r="B294" s="131"/>
      <c r="C294" s="129"/>
      <c r="D294" s="129"/>
      <c r="E294" s="129"/>
      <c r="F294" s="132"/>
      <c r="G294" s="201"/>
      <c r="H294" s="202"/>
      <c r="I294" s="202"/>
      <c r="J294" s="202"/>
      <c r="K294" s="202"/>
      <c r="L294" s="202"/>
      <c r="M294" s="202"/>
      <c r="N294" s="202"/>
      <c r="O294" s="202"/>
      <c r="P294" s="202"/>
      <c r="Q294" s="202"/>
      <c r="R294" s="203"/>
    </row>
    <row r="295" spans="1:18">
      <c r="A295" s="128">
        <v>1951</v>
      </c>
      <c r="B295" s="131"/>
      <c r="C295" s="129"/>
      <c r="D295" s="129"/>
      <c r="E295" s="129"/>
      <c r="F295" s="132"/>
      <c r="G295" s="201"/>
      <c r="H295" s="202"/>
      <c r="I295" s="202"/>
      <c r="J295" s="202"/>
      <c r="K295" s="202"/>
      <c r="L295" s="202"/>
      <c r="M295" s="202"/>
      <c r="N295" s="202"/>
      <c r="O295" s="202"/>
      <c r="P295" s="202"/>
      <c r="Q295" s="202"/>
      <c r="R295" s="203"/>
    </row>
    <row r="296" spans="1:18">
      <c r="A296" s="128">
        <v>1952</v>
      </c>
      <c r="B296" s="131"/>
      <c r="C296" s="129"/>
      <c r="D296" s="129"/>
      <c r="E296" s="129"/>
      <c r="F296" s="132"/>
      <c r="G296" s="201"/>
      <c r="H296" s="202"/>
      <c r="I296" s="202"/>
      <c r="J296" s="202"/>
      <c r="K296" s="202"/>
      <c r="L296" s="202"/>
      <c r="M296" s="202"/>
      <c r="N296" s="202"/>
      <c r="O296" s="202"/>
      <c r="P296" s="202"/>
      <c r="Q296" s="202"/>
      <c r="R296" s="203"/>
    </row>
    <row r="297" spans="1:18">
      <c r="A297" s="128">
        <v>1953</v>
      </c>
      <c r="B297" s="131"/>
      <c r="C297" s="129"/>
      <c r="D297" s="129"/>
      <c r="E297" s="129"/>
      <c r="F297" s="132"/>
      <c r="G297" s="201"/>
      <c r="H297" s="202"/>
      <c r="I297" s="202"/>
      <c r="J297" s="202"/>
      <c r="K297" s="202"/>
      <c r="L297" s="202"/>
      <c r="M297" s="202"/>
      <c r="N297" s="202"/>
      <c r="O297" s="202"/>
      <c r="P297" s="202"/>
      <c r="Q297" s="202"/>
      <c r="R297" s="203"/>
    </row>
    <row r="298" spans="1:18">
      <c r="A298" s="128">
        <v>1954</v>
      </c>
      <c r="B298" s="131"/>
      <c r="C298" s="129"/>
      <c r="D298" s="129"/>
      <c r="E298" s="129"/>
      <c r="F298" s="132"/>
      <c r="G298" s="201"/>
      <c r="H298" s="202"/>
      <c r="I298" s="202"/>
      <c r="J298" s="202"/>
      <c r="K298" s="202"/>
      <c r="L298" s="202"/>
      <c r="M298" s="202"/>
      <c r="N298" s="202"/>
      <c r="O298" s="202"/>
      <c r="P298" s="202"/>
      <c r="Q298" s="202"/>
      <c r="R298" s="203"/>
    </row>
    <row r="299" spans="1:18">
      <c r="A299" s="128">
        <v>1955</v>
      </c>
      <c r="B299" s="131"/>
      <c r="C299" s="129"/>
      <c r="D299" s="129"/>
      <c r="E299" s="129"/>
      <c r="F299" s="132"/>
      <c r="G299" s="201"/>
      <c r="H299" s="202"/>
      <c r="I299" s="202"/>
      <c r="J299" s="202"/>
      <c r="K299" s="202"/>
      <c r="L299" s="202"/>
      <c r="M299" s="202"/>
      <c r="N299" s="202"/>
      <c r="O299" s="202"/>
      <c r="P299" s="202"/>
      <c r="Q299" s="202"/>
      <c r="R299" s="203"/>
    </row>
    <row r="300" spans="1:18">
      <c r="A300" s="128">
        <v>1956</v>
      </c>
      <c r="B300" s="131"/>
      <c r="C300" s="129"/>
      <c r="D300" s="129"/>
      <c r="E300" s="129"/>
      <c r="F300" s="132"/>
      <c r="G300" s="201"/>
      <c r="H300" s="202"/>
      <c r="I300" s="202"/>
      <c r="J300" s="202"/>
      <c r="K300" s="202"/>
      <c r="L300" s="202"/>
      <c r="M300" s="202"/>
      <c r="N300" s="202"/>
      <c r="O300" s="202"/>
      <c r="P300" s="202"/>
      <c r="Q300" s="202"/>
      <c r="R300" s="203"/>
    </row>
    <row r="301" spans="1:18">
      <c r="A301" s="128">
        <v>1957</v>
      </c>
      <c r="B301" s="131"/>
      <c r="C301" s="129"/>
      <c r="D301" s="129"/>
      <c r="E301" s="129"/>
      <c r="F301" s="132"/>
      <c r="G301" s="201"/>
      <c r="H301" s="202"/>
      <c r="I301" s="202"/>
      <c r="J301" s="202"/>
      <c r="K301" s="202"/>
      <c r="L301" s="202"/>
      <c r="M301" s="202"/>
      <c r="N301" s="202"/>
      <c r="O301" s="202"/>
      <c r="P301" s="202"/>
      <c r="Q301" s="202"/>
      <c r="R301" s="203"/>
    </row>
    <row r="302" spans="1:18">
      <c r="A302" s="128">
        <v>1958</v>
      </c>
      <c r="B302" s="131"/>
      <c r="C302" s="129"/>
      <c r="D302" s="129"/>
      <c r="E302" s="129"/>
      <c r="F302" s="132"/>
      <c r="G302" s="201"/>
      <c r="H302" s="202"/>
      <c r="I302" s="202"/>
      <c r="J302" s="202"/>
      <c r="K302" s="202"/>
      <c r="L302" s="202"/>
      <c r="M302" s="202"/>
      <c r="N302" s="202"/>
      <c r="O302" s="202"/>
      <c r="P302" s="202"/>
      <c r="Q302" s="202"/>
      <c r="R302" s="203"/>
    </row>
    <row r="303" spans="1:18">
      <c r="A303" s="128">
        <v>1959</v>
      </c>
      <c r="B303" s="131"/>
      <c r="C303" s="129"/>
      <c r="D303" s="129"/>
      <c r="E303" s="129"/>
      <c r="F303" s="132"/>
      <c r="G303" s="201"/>
      <c r="H303" s="202"/>
      <c r="I303" s="202"/>
      <c r="J303" s="202"/>
      <c r="K303" s="202"/>
      <c r="L303" s="202"/>
      <c r="M303" s="202"/>
      <c r="N303" s="202"/>
      <c r="O303" s="202"/>
      <c r="P303" s="202"/>
      <c r="Q303" s="202"/>
      <c r="R303" s="203"/>
    </row>
    <row r="304" spans="1:18">
      <c r="A304" s="128">
        <v>1960</v>
      </c>
      <c r="B304" s="131"/>
      <c r="C304" s="129"/>
      <c r="D304" s="129"/>
      <c r="E304" s="129"/>
      <c r="F304" s="132"/>
      <c r="G304" s="201"/>
      <c r="H304" s="202"/>
      <c r="I304" s="202"/>
      <c r="J304" s="202"/>
      <c r="K304" s="202"/>
      <c r="L304" s="202"/>
      <c r="M304" s="202"/>
      <c r="N304" s="202"/>
      <c r="O304" s="202"/>
      <c r="P304" s="202"/>
      <c r="Q304" s="202"/>
      <c r="R304" s="203"/>
    </row>
    <row r="305" spans="1:18">
      <c r="A305" s="128">
        <v>1961</v>
      </c>
      <c r="B305" s="131"/>
      <c r="C305" s="129"/>
      <c r="D305" s="129"/>
      <c r="E305" s="129"/>
      <c r="F305" s="132"/>
      <c r="G305" s="201"/>
      <c r="H305" s="202"/>
      <c r="I305" s="202"/>
      <c r="J305" s="202"/>
      <c r="K305" s="202"/>
      <c r="L305" s="202"/>
      <c r="M305" s="202"/>
      <c r="N305" s="202"/>
      <c r="O305" s="202"/>
      <c r="P305" s="202"/>
      <c r="Q305" s="202"/>
      <c r="R305" s="203"/>
    </row>
    <row r="306" spans="1:18">
      <c r="A306" s="128">
        <v>1962</v>
      </c>
      <c r="B306" s="131"/>
      <c r="C306" s="129"/>
      <c r="D306" s="129"/>
      <c r="E306" s="129"/>
      <c r="F306" s="132"/>
      <c r="G306" s="201"/>
      <c r="H306" s="202"/>
      <c r="I306" s="202"/>
      <c r="J306" s="202"/>
      <c r="K306" s="202"/>
      <c r="L306" s="202"/>
      <c r="M306" s="202"/>
      <c r="N306" s="202"/>
      <c r="O306" s="202"/>
      <c r="P306" s="202"/>
      <c r="Q306" s="202"/>
      <c r="R306" s="203"/>
    </row>
    <row r="307" spans="1:18">
      <c r="A307" s="128">
        <v>1963</v>
      </c>
      <c r="B307" s="131"/>
      <c r="C307" s="129"/>
      <c r="D307" s="129"/>
      <c r="E307" s="129"/>
      <c r="F307" s="132"/>
      <c r="G307" s="201"/>
      <c r="H307" s="202"/>
      <c r="I307" s="202"/>
      <c r="J307" s="202"/>
      <c r="K307" s="202"/>
      <c r="L307" s="202"/>
      <c r="M307" s="202"/>
      <c r="N307" s="202"/>
      <c r="O307" s="202"/>
      <c r="P307" s="202"/>
      <c r="Q307" s="202"/>
      <c r="R307" s="203"/>
    </row>
    <row r="308" spans="1:18">
      <c r="A308" s="128">
        <v>1964</v>
      </c>
      <c r="B308" s="131"/>
      <c r="C308" s="129"/>
      <c r="D308" s="129"/>
      <c r="E308" s="129"/>
      <c r="F308" s="132"/>
      <c r="G308" s="201"/>
      <c r="H308" s="202"/>
      <c r="I308" s="202"/>
      <c r="J308" s="202"/>
      <c r="K308" s="202"/>
      <c r="L308" s="202"/>
      <c r="M308" s="202"/>
      <c r="N308" s="202"/>
      <c r="O308" s="202"/>
      <c r="P308" s="202"/>
      <c r="Q308" s="202"/>
      <c r="R308" s="203"/>
    </row>
    <row r="309" spans="1:18">
      <c r="A309" s="128">
        <v>1965</v>
      </c>
      <c r="B309" s="131"/>
      <c r="C309" s="129"/>
      <c r="D309" s="129"/>
      <c r="E309" s="129"/>
      <c r="F309" s="132"/>
      <c r="G309" s="201"/>
      <c r="H309" s="202"/>
      <c r="I309" s="202"/>
      <c r="J309" s="202"/>
      <c r="K309" s="202"/>
      <c r="L309" s="202"/>
      <c r="M309" s="202"/>
      <c r="N309" s="202"/>
      <c r="O309" s="202"/>
      <c r="P309" s="202"/>
      <c r="Q309" s="202"/>
      <c r="R309" s="203"/>
    </row>
    <row r="310" spans="1:18">
      <c r="A310" s="128">
        <v>1966</v>
      </c>
      <c r="B310" s="131"/>
      <c r="C310" s="129"/>
      <c r="D310" s="129"/>
      <c r="E310" s="129"/>
      <c r="F310" s="132"/>
      <c r="G310" s="201"/>
      <c r="H310" s="202"/>
      <c r="I310" s="202"/>
      <c r="J310" s="202"/>
      <c r="K310" s="202"/>
      <c r="L310" s="202"/>
      <c r="M310" s="202"/>
      <c r="N310" s="202"/>
      <c r="O310" s="202"/>
      <c r="P310" s="202"/>
      <c r="Q310" s="202"/>
      <c r="R310" s="203"/>
    </row>
    <row r="311" spans="1:18">
      <c r="A311" s="128">
        <v>1967</v>
      </c>
      <c r="B311" s="131"/>
      <c r="C311" s="129"/>
      <c r="D311" s="129"/>
      <c r="E311" s="129"/>
      <c r="F311" s="132"/>
      <c r="G311" s="201"/>
      <c r="H311" s="202"/>
      <c r="I311" s="202"/>
      <c r="J311" s="202"/>
      <c r="K311" s="202"/>
      <c r="L311" s="202"/>
      <c r="M311" s="202"/>
      <c r="N311" s="202"/>
      <c r="O311" s="202"/>
      <c r="P311" s="202"/>
      <c r="Q311" s="202"/>
      <c r="R311" s="203"/>
    </row>
    <row r="312" spans="1:18">
      <c r="A312" s="128">
        <v>1968</v>
      </c>
      <c r="B312" s="131"/>
      <c r="C312" s="129"/>
      <c r="D312" s="129"/>
      <c r="E312" s="129"/>
      <c r="F312" s="132"/>
      <c r="G312" s="201"/>
      <c r="H312" s="202"/>
      <c r="I312" s="202"/>
      <c r="J312" s="202"/>
      <c r="K312" s="202"/>
      <c r="L312" s="202"/>
      <c r="M312" s="202"/>
      <c r="N312" s="202"/>
      <c r="O312" s="202"/>
      <c r="P312" s="202"/>
      <c r="Q312" s="202"/>
      <c r="R312" s="203"/>
    </row>
    <row r="313" spans="1:18">
      <c r="A313" s="128">
        <v>1969</v>
      </c>
      <c r="B313" s="131"/>
      <c r="C313" s="129"/>
      <c r="D313" s="129"/>
      <c r="E313" s="129"/>
      <c r="F313" s="132"/>
      <c r="G313" s="201"/>
      <c r="H313" s="202"/>
      <c r="I313" s="202"/>
      <c r="J313" s="202"/>
      <c r="K313" s="202"/>
      <c r="L313" s="202"/>
      <c r="M313" s="202"/>
      <c r="N313" s="202"/>
      <c r="O313" s="202"/>
      <c r="P313" s="202"/>
      <c r="Q313" s="202"/>
      <c r="R313" s="203"/>
    </row>
    <row r="314" spans="1:18">
      <c r="A314" s="128">
        <v>1970</v>
      </c>
      <c r="B314" s="131"/>
      <c r="C314" s="129"/>
      <c r="D314" s="129"/>
      <c r="E314" s="129"/>
      <c r="F314" s="132"/>
      <c r="G314" s="201"/>
      <c r="H314" s="202"/>
      <c r="I314" s="202"/>
      <c r="J314" s="202"/>
      <c r="K314" s="202"/>
      <c r="L314" s="202"/>
      <c r="M314" s="202"/>
      <c r="N314" s="202"/>
      <c r="O314" s="202"/>
      <c r="P314" s="202"/>
      <c r="Q314" s="202"/>
      <c r="R314" s="203"/>
    </row>
    <row r="315" spans="1:18">
      <c r="A315" s="128">
        <v>1971</v>
      </c>
      <c r="B315" s="131"/>
      <c r="C315" s="129"/>
      <c r="D315" s="129"/>
      <c r="E315" s="129"/>
      <c r="F315" s="132"/>
      <c r="G315" s="201"/>
      <c r="H315" s="202"/>
      <c r="I315" s="202"/>
      <c r="J315" s="202"/>
      <c r="K315" s="202"/>
      <c r="L315" s="202"/>
      <c r="M315" s="202"/>
      <c r="N315" s="202"/>
      <c r="O315" s="202"/>
      <c r="P315" s="202"/>
      <c r="Q315" s="202"/>
      <c r="R315" s="203"/>
    </row>
    <row r="316" spans="1:18">
      <c r="A316" s="128">
        <v>1972</v>
      </c>
      <c r="B316" s="131"/>
      <c r="C316" s="129"/>
      <c r="D316" s="129"/>
      <c r="E316" s="129"/>
      <c r="F316" s="132"/>
      <c r="G316" s="201"/>
      <c r="H316" s="202"/>
      <c r="I316" s="202"/>
      <c r="J316" s="202"/>
      <c r="K316" s="202"/>
      <c r="L316" s="202"/>
      <c r="M316" s="202"/>
      <c r="N316" s="202"/>
      <c r="O316" s="202"/>
      <c r="P316" s="202"/>
      <c r="Q316" s="202"/>
      <c r="R316" s="203"/>
    </row>
    <row r="317" spans="1:18">
      <c r="A317" s="128">
        <v>1973</v>
      </c>
      <c r="B317" s="131"/>
      <c r="C317" s="129"/>
      <c r="D317" s="129"/>
      <c r="E317" s="129"/>
      <c r="F317" s="132"/>
      <c r="G317" s="201"/>
      <c r="H317" s="202"/>
      <c r="I317" s="202"/>
      <c r="J317" s="202"/>
      <c r="K317" s="202"/>
      <c r="L317" s="202"/>
      <c r="M317" s="202"/>
      <c r="N317" s="202"/>
      <c r="O317" s="202"/>
      <c r="P317" s="202"/>
      <c r="Q317" s="202"/>
      <c r="R317" s="203"/>
    </row>
    <row r="318" spans="1:18">
      <c r="A318" s="128">
        <v>1974</v>
      </c>
      <c r="B318" s="131"/>
      <c r="C318" s="129"/>
      <c r="D318" s="129"/>
      <c r="E318" s="129"/>
      <c r="F318" s="132"/>
      <c r="G318" s="201"/>
      <c r="H318" s="202"/>
      <c r="I318" s="202"/>
      <c r="J318" s="202"/>
      <c r="K318" s="202"/>
      <c r="L318" s="202"/>
      <c r="M318" s="202"/>
      <c r="N318" s="202"/>
      <c r="O318" s="202"/>
      <c r="P318" s="202"/>
      <c r="Q318" s="202"/>
      <c r="R318" s="203"/>
    </row>
    <row r="319" spans="1:18">
      <c r="A319" s="128">
        <v>1975</v>
      </c>
      <c r="B319" s="131"/>
      <c r="C319" s="129"/>
      <c r="D319" s="129"/>
      <c r="E319" s="129"/>
      <c r="F319" s="132"/>
      <c r="G319" s="201"/>
      <c r="H319" s="202"/>
      <c r="I319" s="202"/>
      <c r="J319" s="202"/>
      <c r="K319" s="202"/>
      <c r="L319" s="202"/>
      <c r="M319" s="202"/>
      <c r="N319" s="202"/>
      <c r="O319" s="202"/>
      <c r="P319" s="202"/>
      <c r="Q319" s="202"/>
      <c r="R319" s="203"/>
    </row>
    <row r="320" spans="1:18">
      <c r="A320" s="128">
        <v>1976</v>
      </c>
      <c r="B320" s="131"/>
      <c r="C320" s="129"/>
      <c r="D320" s="129"/>
      <c r="E320" s="129"/>
      <c r="F320" s="132"/>
      <c r="G320" s="201"/>
      <c r="H320" s="202"/>
      <c r="I320" s="202"/>
      <c r="J320" s="202"/>
      <c r="K320" s="202"/>
      <c r="L320" s="202"/>
      <c r="M320" s="202"/>
      <c r="N320" s="202"/>
      <c r="O320" s="202"/>
      <c r="P320" s="202"/>
      <c r="Q320" s="202"/>
      <c r="R320" s="203"/>
    </row>
    <row r="321" spans="1:18">
      <c r="A321" s="128">
        <v>1977</v>
      </c>
      <c r="B321" s="131"/>
      <c r="C321" s="129"/>
      <c r="D321" s="129"/>
      <c r="E321" s="129"/>
      <c r="F321" s="132"/>
      <c r="G321" s="201"/>
      <c r="H321" s="202"/>
      <c r="I321" s="202"/>
      <c r="J321" s="202"/>
      <c r="K321" s="202"/>
      <c r="L321" s="202"/>
      <c r="M321" s="202"/>
      <c r="N321" s="202"/>
      <c r="O321" s="202"/>
      <c r="P321" s="202"/>
      <c r="Q321" s="202"/>
      <c r="R321" s="203"/>
    </row>
    <row r="322" spans="1:18">
      <c r="A322" s="128">
        <v>1978</v>
      </c>
      <c r="B322" s="131"/>
      <c r="C322" s="129"/>
      <c r="D322" s="129"/>
      <c r="E322" s="129"/>
      <c r="F322" s="132"/>
      <c r="G322" s="201"/>
      <c r="H322" s="202"/>
      <c r="I322" s="202"/>
      <c r="J322" s="202"/>
      <c r="K322" s="202"/>
      <c r="L322" s="202"/>
      <c r="M322" s="202"/>
      <c r="N322" s="202"/>
      <c r="O322" s="202"/>
      <c r="P322" s="202"/>
      <c r="Q322" s="202"/>
      <c r="R322" s="203"/>
    </row>
    <row r="323" spans="1:18">
      <c r="A323" s="128">
        <v>1979</v>
      </c>
      <c r="B323" s="131"/>
      <c r="C323" s="129"/>
      <c r="D323" s="129"/>
      <c r="E323" s="129"/>
      <c r="F323" s="132"/>
      <c r="G323" s="201"/>
      <c r="H323" s="202"/>
      <c r="I323" s="202"/>
      <c r="J323" s="202"/>
      <c r="K323" s="202"/>
      <c r="L323" s="202"/>
      <c r="M323" s="202"/>
      <c r="N323" s="202"/>
      <c r="O323" s="202"/>
      <c r="P323" s="202"/>
      <c r="Q323" s="202"/>
      <c r="R323" s="203"/>
    </row>
    <row r="324" spans="1:18">
      <c r="A324" s="128">
        <v>1980</v>
      </c>
      <c r="B324" s="131"/>
      <c r="C324" s="129"/>
      <c r="D324" s="129"/>
      <c r="E324" s="129"/>
      <c r="F324" s="132"/>
      <c r="G324" s="201"/>
      <c r="H324" s="202"/>
      <c r="I324" s="202"/>
      <c r="J324" s="202"/>
      <c r="K324" s="202"/>
      <c r="L324" s="202"/>
      <c r="M324" s="202"/>
      <c r="N324" s="202"/>
      <c r="O324" s="202"/>
      <c r="P324" s="202"/>
      <c r="Q324" s="202"/>
      <c r="R324" s="203"/>
    </row>
    <row r="325" spans="1:18">
      <c r="A325" s="128">
        <v>1981</v>
      </c>
      <c r="B325" s="131"/>
      <c r="C325" s="129"/>
      <c r="D325" s="129"/>
      <c r="E325" s="129"/>
      <c r="F325" s="132"/>
      <c r="G325" s="201"/>
      <c r="H325" s="202"/>
      <c r="I325" s="202"/>
      <c r="J325" s="202"/>
      <c r="K325" s="202"/>
      <c r="L325" s="202"/>
      <c r="M325" s="202"/>
      <c r="N325" s="202"/>
      <c r="O325" s="202"/>
      <c r="P325" s="202"/>
      <c r="Q325" s="202"/>
      <c r="R325" s="203"/>
    </row>
    <row r="326" spans="1:18">
      <c r="A326" s="128">
        <v>1982</v>
      </c>
      <c r="B326" s="131"/>
      <c r="C326" s="129"/>
      <c r="D326" s="129"/>
      <c r="E326" s="129"/>
      <c r="F326" s="132"/>
      <c r="G326" s="201"/>
      <c r="H326" s="202"/>
      <c r="I326" s="202"/>
      <c r="J326" s="202"/>
      <c r="K326" s="202"/>
      <c r="L326" s="202"/>
      <c r="M326" s="202"/>
      <c r="N326" s="202"/>
      <c r="O326" s="202"/>
      <c r="P326" s="202"/>
      <c r="Q326" s="202"/>
      <c r="R326" s="203"/>
    </row>
    <row r="327" spans="1:18">
      <c r="A327" s="128">
        <v>1983</v>
      </c>
      <c r="B327" s="131"/>
      <c r="C327" s="129"/>
      <c r="D327" s="129"/>
      <c r="E327" s="129"/>
      <c r="F327" s="132"/>
      <c r="G327" s="201"/>
      <c r="H327" s="202"/>
      <c r="I327" s="202"/>
      <c r="J327" s="202"/>
      <c r="K327" s="202"/>
      <c r="L327" s="202"/>
      <c r="M327" s="202"/>
      <c r="N327" s="202"/>
      <c r="O327" s="202"/>
      <c r="P327" s="202"/>
      <c r="Q327" s="202"/>
      <c r="R327" s="203"/>
    </row>
    <row r="328" spans="1:18">
      <c r="A328" s="128">
        <v>1984</v>
      </c>
      <c r="B328" s="131"/>
      <c r="C328" s="129"/>
      <c r="D328" s="129"/>
      <c r="E328" s="129"/>
      <c r="F328" s="132"/>
      <c r="G328" s="201"/>
      <c r="H328" s="202"/>
      <c r="I328" s="202"/>
      <c r="J328" s="202"/>
      <c r="K328" s="202"/>
      <c r="L328" s="202"/>
      <c r="M328" s="202"/>
      <c r="N328" s="202"/>
      <c r="O328" s="202"/>
      <c r="P328" s="202"/>
      <c r="Q328" s="202"/>
      <c r="R328" s="203"/>
    </row>
    <row r="329" spans="1:18">
      <c r="A329" s="128">
        <v>1985</v>
      </c>
      <c r="B329" s="131"/>
      <c r="C329" s="129"/>
      <c r="D329" s="129"/>
      <c r="E329" s="129"/>
      <c r="F329" s="132"/>
      <c r="G329" s="201"/>
      <c r="H329" s="202"/>
      <c r="I329" s="202"/>
      <c r="J329" s="202"/>
      <c r="K329" s="202"/>
      <c r="L329" s="202"/>
      <c r="M329" s="202"/>
      <c r="N329" s="202"/>
      <c r="O329" s="202"/>
      <c r="P329" s="202"/>
      <c r="Q329" s="202"/>
      <c r="R329" s="203"/>
    </row>
    <row r="330" spans="1:18">
      <c r="A330" s="128">
        <v>1986</v>
      </c>
      <c r="B330" s="131"/>
      <c r="C330" s="129"/>
      <c r="D330" s="129"/>
      <c r="E330" s="129"/>
      <c r="F330" s="132"/>
      <c r="G330" s="201"/>
      <c r="H330" s="202"/>
      <c r="I330" s="202"/>
      <c r="J330" s="202"/>
      <c r="K330" s="202"/>
      <c r="L330" s="202"/>
      <c r="M330" s="202"/>
      <c r="N330" s="202"/>
      <c r="O330" s="202"/>
      <c r="P330" s="202"/>
      <c r="Q330" s="202"/>
      <c r="R330" s="203"/>
    </row>
    <row r="331" spans="1:18">
      <c r="A331" s="128">
        <v>1987</v>
      </c>
      <c r="B331" s="131"/>
      <c r="C331" s="129"/>
      <c r="D331" s="129"/>
      <c r="E331" s="129"/>
      <c r="F331" s="132"/>
      <c r="G331" s="201"/>
      <c r="H331" s="202"/>
      <c r="I331" s="202"/>
      <c r="J331" s="202"/>
      <c r="K331" s="202"/>
      <c r="L331" s="202"/>
      <c r="M331" s="202"/>
      <c r="N331" s="202"/>
      <c r="O331" s="202"/>
      <c r="P331" s="202"/>
      <c r="Q331" s="202"/>
      <c r="R331" s="203"/>
    </row>
    <row r="332" spans="1:18">
      <c r="A332" s="128">
        <v>1988</v>
      </c>
      <c r="B332" s="131"/>
      <c r="C332" s="129"/>
      <c r="D332" s="129"/>
      <c r="E332" s="129"/>
      <c r="F332" s="132"/>
      <c r="G332" s="201"/>
      <c r="H332" s="202"/>
      <c r="I332" s="202"/>
      <c r="J332" s="202"/>
      <c r="K332" s="202"/>
      <c r="L332" s="202"/>
      <c r="M332" s="202"/>
      <c r="N332" s="202"/>
      <c r="O332" s="202"/>
      <c r="P332" s="202"/>
      <c r="Q332" s="202"/>
      <c r="R332" s="203"/>
    </row>
    <row r="333" spans="1:18">
      <c r="A333" s="128">
        <v>1989</v>
      </c>
      <c r="B333" s="131"/>
      <c r="C333" s="129"/>
      <c r="D333" s="129"/>
      <c r="E333" s="129"/>
      <c r="F333" s="132"/>
      <c r="G333" s="201"/>
      <c r="H333" s="202"/>
      <c r="I333" s="202"/>
      <c r="J333" s="202"/>
      <c r="K333" s="202"/>
      <c r="L333" s="202"/>
      <c r="M333" s="202"/>
      <c r="N333" s="202"/>
      <c r="O333" s="202"/>
      <c r="P333" s="202"/>
      <c r="Q333" s="202"/>
      <c r="R333" s="203"/>
    </row>
    <row r="334" spans="1:18">
      <c r="A334" s="128">
        <v>1990</v>
      </c>
      <c r="B334" s="131"/>
      <c r="C334" s="129"/>
      <c r="D334" s="129"/>
      <c r="E334" s="129"/>
      <c r="F334" s="132"/>
      <c r="G334" s="201"/>
      <c r="H334" s="202"/>
      <c r="I334" s="202"/>
      <c r="J334" s="202"/>
      <c r="K334" s="202"/>
      <c r="L334" s="202"/>
      <c r="M334" s="202"/>
      <c r="N334" s="202"/>
      <c r="O334" s="202"/>
      <c r="P334" s="202"/>
      <c r="Q334" s="202"/>
      <c r="R334" s="203"/>
    </row>
    <row r="335" spans="1:18">
      <c r="A335" s="128">
        <v>1991</v>
      </c>
      <c r="B335" s="131"/>
      <c r="C335" s="129"/>
      <c r="D335" s="129"/>
      <c r="E335" s="129"/>
      <c r="F335" s="132"/>
      <c r="G335" s="201"/>
      <c r="H335" s="202"/>
      <c r="I335" s="202"/>
      <c r="J335" s="202"/>
      <c r="K335" s="202"/>
      <c r="L335" s="202"/>
      <c r="M335" s="202"/>
      <c r="N335" s="202"/>
      <c r="O335" s="202"/>
      <c r="P335" s="202"/>
      <c r="Q335" s="202"/>
      <c r="R335" s="203"/>
    </row>
    <row r="336" spans="1:18">
      <c r="A336" s="128">
        <v>1992</v>
      </c>
      <c r="B336" s="131"/>
      <c r="C336" s="129"/>
      <c r="D336" s="129"/>
      <c r="E336" s="129"/>
      <c r="F336" s="132"/>
      <c r="G336" s="201"/>
      <c r="H336" s="202"/>
      <c r="I336" s="202"/>
      <c r="J336" s="202"/>
      <c r="K336" s="202"/>
      <c r="L336" s="202"/>
      <c r="M336" s="202"/>
      <c r="N336" s="202"/>
      <c r="O336" s="202"/>
      <c r="P336" s="202"/>
      <c r="Q336" s="202"/>
      <c r="R336" s="203"/>
    </row>
    <row r="337" spans="1:18">
      <c r="A337" s="128">
        <v>1993</v>
      </c>
      <c r="B337" s="131"/>
      <c r="C337" s="129"/>
      <c r="D337" s="129"/>
      <c r="E337" s="129"/>
      <c r="F337" s="132"/>
      <c r="G337" s="201"/>
      <c r="H337" s="202"/>
      <c r="I337" s="202"/>
      <c r="J337" s="202"/>
      <c r="K337" s="202"/>
      <c r="L337" s="202"/>
      <c r="M337" s="202"/>
      <c r="N337" s="202"/>
      <c r="O337" s="202"/>
      <c r="P337" s="202"/>
      <c r="Q337" s="202"/>
      <c r="R337" s="203"/>
    </row>
    <row r="338" spans="1:18">
      <c r="A338" s="128">
        <v>1994</v>
      </c>
      <c r="B338" s="131"/>
      <c r="C338" s="129"/>
      <c r="D338" s="129"/>
      <c r="E338" s="129"/>
      <c r="F338" s="132"/>
      <c r="G338" s="201"/>
      <c r="H338" s="202"/>
      <c r="I338" s="202"/>
      <c r="J338" s="202"/>
      <c r="K338" s="202"/>
      <c r="L338" s="202"/>
      <c r="M338" s="202"/>
      <c r="N338" s="202"/>
      <c r="O338" s="202"/>
      <c r="P338" s="202"/>
      <c r="Q338" s="202"/>
      <c r="R338" s="203"/>
    </row>
    <row r="339" spans="1:18">
      <c r="A339" s="128">
        <v>1995</v>
      </c>
      <c r="B339" s="131"/>
      <c r="C339" s="129"/>
      <c r="D339" s="129"/>
      <c r="E339" s="129"/>
      <c r="F339" s="132"/>
      <c r="G339" s="201"/>
      <c r="H339" s="202"/>
      <c r="I339" s="202"/>
      <c r="J339" s="202"/>
      <c r="K339" s="202"/>
      <c r="L339" s="202"/>
      <c r="M339" s="202"/>
      <c r="N339" s="202"/>
      <c r="O339" s="202"/>
      <c r="P339" s="202"/>
      <c r="Q339" s="202"/>
      <c r="R339" s="203"/>
    </row>
    <row r="340" spans="1:18">
      <c r="A340" s="128">
        <v>1996</v>
      </c>
      <c r="B340" s="131"/>
      <c r="C340" s="129"/>
      <c r="D340" s="129"/>
      <c r="E340" s="129"/>
      <c r="F340" s="132"/>
      <c r="G340" s="201"/>
      <c r="H340" s="202"/>
      <c r="I340" s="202"/>
      <c r="J340" s="202"/>
      <c r="K340" s="202"/>
      <c r="L340" s="202"/>
      <c r="M340" s="202"/>
      <c r="N340" s="202"/>
      <c r="O340" s="202"/>
      <c r="P340" s="202"/>
      <c r="Q340" s="202"/>
      <c r="R340" s="203"/>
    </row>
    <row r="341" spans="1:18">
      <c r="A341" s="128">
        <v>1997</v>
      </c>
      <c r="B341" s="131"/>
      <c r="C341" s="129"/>
      <c r="D341" s="129"/>
      <c r="E341" s="129"/>
      <c r="F341" s="132"/>
      <c r="G341" s="201"/>
      <c r="H341" s="202"/>
      <c r="I341" s="202"/>
      <c r="J341" s="202"/>
      <c r="K341" s="202"/>
      <c r="L341" s="202"/>
      <c r="M341" s="202"/>
      <c r="N341" s="202"/>
      <c r="O341" s="202"/>
      <c r="P341" s="202"/>
      <c r="Q341" s="202"/>
      <c r="R341" s="203"/>
    </row>
    <row r="342" spans="1:18">
      <c r="A342" s="128">
        <v>1998</v>
      </c>
      <c r="B342" s="131"/>
      <c r="C342" s="129"/>
      <c r="D342" s="129"/>
      <c r="E342" s="129"/>
      <c r="F342" s="132"/>
      <c r="G342" s="201"/>
      <c r="H342" s="202"/>
      <c r="I342" s="202"/>
      <c r="J342" s="202"/>
      <c r="K342" s="202"/>
      <c r="L342" s="202"/>
      <c r="M342" s="202"/>
      <c r="N342" s="202"/>
      <c r="O342" s="202"/>
      <c r="P342" s="202"/>
      <c r="Q342" s="202"/>
      <c r="R342" s="203"/>
    </row>
    <row r="343" spans="1:18">
      <c r="A343" s="128">
        <v>1999</v>
      </c>
      <c r="B343" s="131"/>
      <c r="C343" s="129"/>
      <c r="D343" s="129"/>
      <c r="E343" s="129"/>
      <c r="F343" s="132"/>
      <c r="G343" s="201"/>
      <c r="H343" s="202"/>
      <c r="I343" s="202"/>
      <c r="J343" s="202"/>
      <c r="K343" s="202"/>
      <c r="L343" s="202"/>
      <c r="M343" s="202"/>
      <c r="N343" s="202"/>
      <c r="O343" s="202"/>
      <c r="P343" s="202"/>
      <c r="Q343" s="202"/>
      <c r="R343" s="203"/>
    </row>
    <row r="344" spans="1:18">
      <c r="A344" s="128">
        <v>2000</v>
      </c>
      <c r="B344" s="131"/>
      <c r="C344" s="129"/>
      <c r="D344" s="129"/>
      <c r="E344" s="129"/>
      <c r="F344" s="132"/>
      <c r="G344" s="201"/>
      <c r="H344" s="202"/>
      <c r="I344" s="202"/>
      <c r="J344" s="202"/>
      <c r="K344" s="202"/>
      <c r="L344" s="202"/>
      <c r="M344" s="202"/>
      <c r="N344" s="202"/>
      <c r="O344" s="202"/>
      <c r="P344" s="202"/>
      <c r="Q344" s="202"/>
      <c r="R344" s="203"/>
    </row>
    <row r="345" spans="1:18">
      <c r="A345" s="128">
        <v>2001</v>
      </c>
      <c r="B345" s="131"/>
      <c r="C345" s="129"/>
      <c r="D345" s="129"/>
      <c r="E345" s="129"/>
      <c r="F345" s="132"/>
      <c r="G345" s="201"/>
      <c r="H345" s="202"/>
      <c r="I345" s="202"/>
      <c r="J345" s="202"/>
      <c r="K345" s="202"/>
      <c r="L345" s="202"/>
      <c r="M345" s="202"/>
      <c r="N345" s="202"/>
      <c r="O345" s="202"/>
      <c r="P345" s="202"/>
      <c r="Q345" s="202"/>
      <c r="R345" s="203"/>
    </row>
    <row r="346" spans="1:18">
      <c r="A346" s="128">
        <v>2002</v>
      </c>
      <c r="B346" s="131"/>
      <c r="C346" s="129"/>
      <c r="D346" s="129"/>
      <c r="E346" s="129"/>
      <c r="F346" s="132"/>
      <c r="G346" s="201"/>
      <c r="H346" s="202"/>
      <c r="I346" s="202"/>
      <c r="J346" s="202"/>
      <c r="K346" s="202"/>
      <c r="L346" s="202"/>
      <c r="M346" s="202"/>
      <c r="N346" s="202"/>
      <c r="O346" s="202"/>
      <c r="P346" s="202"/>
      <c r="Q346" s="202"/>
      <c r="R346" s="203"/>
    </row>
    <row r="347" spans="1:18">
      <c r="A347" s="128">
        <v>2003</v>
      </c>
      <c r="B347" s="131"/>
      <c r="C347" s="129"/>
      <c r="D347" s="129"/>
      <c r="E347" s="129"/>
      <c r="F347" s="132"/>
      <c r="G347" s="201"/>
      <c r="H347" s="202"/>
      <c r="I347" s="202"/>
      <c r="J347" s="202"/>
      <c r="K347" s="202"/>
      <c r="L347" s="202"/>
      <c r="M347" s="202"/>
      <c r="N347" s="202"/>
      <c r="O347" s="202"/>
      <c r="P347" s="202"/>
      <c r="Q347" s="202"/>
      <c r="R347" s="203"/>
    </row>
    <row r="348" spans="1:18">
      <c r="A348" s="128">
        <v>2004</v>
      </c>
      <c r="B348" s="131"/>
      <c r="C348" s="129"/>
      <c r="D348" s="129"/>
      <c r="E348" s="129"/>
      <c r="F348" s="132"/>
      <c r="G348" s="201"/>
      <c r="H348" s="202"/>
      <c r="I348" s="202"/>
      <c r="J348" s="202"/>
      <c r="K348" s="202"/>
      <c r="L348" s="202"/>
      <c r="M348" s="202"/>
      <c r="N348" s="202"/>
      <c r="O348" s="202"/>
      <c r="P348" s="202"/>
      <c r="Q348" s="202"/>
      <c r="R348" s="203"/>
    </row>
    <row r="349" spans="1:18">
      <c r="A349" s="128">
        <v>2005</v>
      </c>
      <c r="B349" s="131"/>
      <c r="C349" s="129"/>
      <c r="D349" s="129"/>
      <c r="E349" s="129"/>
      <c r="F349" s="132"/>
      <c r="G349" s="201"/>
      <c r="H349" s="202"/>
      <c r="I349" s="202"/>
      <c r="J349" s="202"/>
      <c r="K349" s="202"/>
      <c r="L349" s="202"/>
      <c r="M349" s="202"/>
      <c r="N349" s="202"/>
      <c r="O349" s="202"/>
      <c r="P349" s="202"/>
      <c r="Q349" s="202"/>
      <c r="R349" s="203"/>
    </row>
    <row r="350" spans="1:18">
      <c r="A350" s="128">
        <v>2006</v>
      </c>
      <c r="B350" s="131"/>
      <c r="C350" s="129"/>
      <c r="D350" s="129"/>
      <c r="E350" s="129"/>
      <c r="F350" s="132"/>
      <c r="G350" s="201"/>
      <c r="H350" s="202"/>
      <c r="I350" s="202"/>
      <c r="J350" s="202"/>
      <c r="K350" s="202"/>
      <c r="L350" s="202"/>
      <c r="M350" s="202"/>
      <c r="N350" s="202"/>
      <c r="O350" s="202"/>
      <c r="P350" s="202"/>
      <c r="Q350" s="202"/>
      <c r="R350" s="203"/>
    </row>
    <row r="351" spans="1:18">
      <c r="A351" s="128">
        <v>2007</v>
      </c>
      <c r="B351" s="131"/>
      <c r="C351" s="129"/>
      <c r="D351" s="129"/>
      <c r="E351" s="129"/>
      <c r="F351" s="132"/>
      <c r="G351" s="201"/>
      <c r="H351" s="202"/>
      <c r="I351" s="202"/>
      <c r="J351" s="202"/>
      <c r="K351" s="202"/>
      <c r="L351" s="202"/>
      <c r="M351" s="202"/>
      <c r="N351" s="202"/>
      <c r="O351" s="202"/>
      <c r="P351" s="202"/>
      <c r="Q351" s="202"/>
      <c r="R351" s="203"/>
    </row>
    <row r="352" spans="1:18">
      <c r="A352" s="128">
        <v>2008</v>
      </c>
      <c r="B352" s="131"/>
      <c r="C352" s="129"/>
      <c r="D352" s="129"/>
      <c r="E352" s="129"/>
      <c r="F352" s="132"/>
      <c r="G352" s="201"/>
      <c r="H352" s="202"/>
      <c r="I352" s="202"/>
      <c r="J352" s="202"/>
      <c r="K352" s="202"/>
      <c r="L352" s="202"/>
      <c r="M352" s="202"/>
      <c r="N352" s="202"/>
      <c r="O352" s="202"/>
      <c r="P352" s="202"/>
      <c r="Q352" s="202"/>
      <c r="R352" s="203"/>
    </row>
    <row r="353" spans="1:18">
      <c r="A353" s="128">
        <v>2009</v>
      </c>
      <c r="B353" s="131"/>
      <c r="C353" s="129"/>
      <c r="D353" s="129"/>
      <c r="E353" s="129"/>
      <c r="F353" s="132"/>
      <c r="G353" s="201"/>
      <c r="H353" s="202"/>
      <c r="I353" s="202"/>
      <c r="J353" s="202"/>
      <c r="K353" s="202"/>
      <c r="L353" s="202"/>
      <c r="M353" s="202"/>
      <c r="N353" s="202"/>
      <c r="O353" s="202"/>
      <c r="P353" s="202"/>
      <c r="Q353" s="202"/>
      <c r="R353" s="203"/>
    </row>
    <row r="354" spans="1:18">
      <c r="A354" s="128">
        <v>2010</v>
      </c>
      <c r="B354" s="131"/>
      <c r="C354" s="129"/>
      <c r="D354" s="129"/>
      <c r="E354" s="129"/>
      <c r="F354" s="132"/>
      <c r="G354" s="201"/>
      <c r="H354" s="202"/>
      <c r="I354" s="202"/>
      <c r="J354" s="202"/>
      <c r="K354" s="202"/>
      <c r="L354" s="202"/>
      <c r="M354" s="202"/>
      <c r="N354" s="202"/>
      <c r="O354" s="202"/>
      <c r="P354" s="202"/>
      <c r="Q354" s="202"/>
      <c r="R354" s="203"/>
    </row>
    <row r="355" spans="1:18">
      <c r="A355" s="128">
        <v>2011</v>
      </c>
      <c r="B355" s="131"/>
      <c r="C355" s="129"/>
      <c r="D355" s="129"/>
      <c r="E355" s="129"/>
      <c r="F355" s="132"/>
      <c r="G355" s="201"/>
      <c r="H355" s="202"/>
      <c r="I355" s="202"/>
      <c r="J355" s="202"/>
      <c r="K355" s="202"/>
      <c r="L355" s="202"/>
      <c r="M355" s="202"/>
      <c r="N355" s="202"/>
      <c r="O355" s="202"/>
      <c r="P355" s="202"/>
      <c r="Q355" s="202"/>
      <c r="R355" s="203"/>
    </row>
    <row r="356" spans="1:18">
      <c r="A356" s="128">
        <v>2012</v>
      </c>
      <c r="B356" s="131"/>
      <c r="C356" s="129"/>
      <c r="D356" s="129"/>
      <c r="E356" s="129"/>
      <c r="F356" s="132"/>
      <c r="G356" s="201"/>
      <c r="H356" s="202"/>
      <c r="I356" s="202"/>
      <c r="J356" s="202"/>
      <c r="K356" s="202"/>
      <c r="L356" s="202"/>
      <c r="M356" s="202"/>
      <c r="N356" s="202"/>
      <c r="O356" s="202"/>
      <c r="P356" s="202"/>
      <c r="Q356" s="202"/>
      <c r="R356" s="203"/>
    </row>
    <row r="357" spans="1:18">
      <c r="A357" s="128">
        <v>2013</v>
      </c>
      <c r="B357" s="131"/>
      <c r="C357" s="129"/>
      <c r="D357" s="129"/>
      <c r="E357" s="129"/>
      <c r="F357" s="132"/>
      <c r="G357" s="201"/>
      <c r="H357" s="202"/>
      <c r="I357" s="202"/>
      <c r="J357" s="202"/>
      <c r="K357" s="202"/>
      <c r="L357" s="202"/>
      <c r="M357" s="202"/>
      <c r="N357" s="202"/>
      <c r="O357" s="202"/>
      <c r="P357" s="202"/>
      <c r="Q357" s="202"/>
      <c r="R357" s="203"/>
    </row>
    <row r="358" spans="1:18">
      <c r="A358" s="128">
        <v>2014</v>
      </c>
      <c r="B358" s="131"/>
      <c r="C358" s="129"/>
      <c r="D358" s="129"/>
      <c r="E358" s="129"/>
      <c r="F358" s="132"/>
      <c r="G358" s="201"/>
      <c r="H358" s="202"/>
      <c r="I358" s="202"/>
      <c r="J358" s="202"/>
      <c r="K358" s="202"/>
      <c r="L358" s="202"/>
      <c r="M358" s="202"/>
      <c r="N358" s="202"/>
      <c r="O358" s="202"/>
      <c r="P358" s="202"/>
      <c r="Q358" s="202"/>
      <c r="R358" s="203"/>
    </row>
    <row r="359" spans="1:18">
      <c r="A359" s="128">
        <v>2015</v>
      </c>
      <c r="B359" s="131"/>
      <c r="C359" s="129"/>
      <c r="D359" s="129"/>
      <c r="E359" s="129"/>
      <c r="F359" s="132"/>
      <c r="G359" s="201"/>
      <c r="H359" s="202"/>
      <c r="I359" s="202"/>
      <c r="J359" s="202"/>
      <c r="K359" s="202"/>
      <c r="L359" s="202"/>
      <c r="M359" s="202"/>
      <c r="N359" s="202"/>
      <c r="O359" s="202"/>
      <c r="P359" s="202"/>
      <c r="Q359" s="202"/>
      <c r="R359" s="203"/>
    </row>
    <row r="360" spans="1:18">
      <c r="A360" s="128">
        <v>2016</v>
      </c>
      <c r="B360" s="131"/>
      <c r="C360" s="129"/>
      <c r="D360" s="129"/>
      <c r="E360" s="129"/>
      <c r="F360" s="132"/>
      <c r="G360" s="201"/>
      <c r="H360" s="202"/>
      <c r="I360" s="202"/>
      <c r="J360" s="202"/>
      <c r="K360" s="202"/>
      <c r="L360" s="202"/>
      <c r="M360" s="202"/>
      <c r="N360" s="202"/>
      <c r="O360" s="202"/>
      <c r="P360" s="202"/>
      <c r="Q360" s="202"/>
      <c r="R360" s="203"/>
    </row>
    <row r="361" spans="1:18">
      <c r="A361" s="128">
        <v>2017</v>
      </c>
      <c r="B361" s="131"/>
      <c r="C361" s="129"/>
      <c r="D361" s="129"/>
      <c r="E361" s="129"/>
      <c r="F361" s="132"/>
      <c r="G361" s="201"/>
      <c r="H361" s="202"/>
      <c r="I361" s="202"/>
      <c r="J361" s="202"/>
      <c r="K361" s="202"/>
      <c r="L361" s="202"/>
      <c r="M361" s="202"/>
      <c r="N361" s="202"/>
      <c r="O361" s="202"/>
      <c r="P361" s="202"/>
      <c r="Q361" s="202"/>
      <c r="R361" s="203"/>
    </row>
    <row r="362" spans="1:18">
      <c r="A362" s="128">
        <v>2018</v>
      </c>
      <c r="B362" s="131"/>
      <c r="C362" s="129"/>
      <c r="D362" s="129"/>
      <c r="E362" s="129"/>
      <c r="F362" s="132"/>
      <c r="G362" s="201"/>
      <c r="H362" s="202"/>
      <c r="I362" s="202"/>
      <c r="J362" s="202"/>
      <c r="K362" s="202"/>
      <c r="L362" s="202"/>
      <c r="M362" s="202"/>
      <c r="N362" s="202"/>
      <c r="O362" s="202"/>
      <c r="P362" s="202"/>
      <c r="Q362" s="202"/>
      <c r="R362" s="203"/>
    </row>
    <row r="363" spans="1:18">
      <c r="A363" s="128">
        <v>2019</v>
      </c>
      <c r="B363" s="131"/>
      <c r="C363" s="129"/>
      <c r="D363" s="129"/>
      <c r="E363" s="129"/>
      <c r="F363" s="132"/>
      <c r="G363" s="201"/>
      <c r="H363" s="202"/>
      <c r="I363" s="202"/>
      <c r="J363" s="202"/>
      <c r="K363" s="202"/>
      <c r="L363" s="202"/>
      <c r="M363" s="202"/>
      <c r="N363" s="202"/>
      <c r="O363" s="202"/>
      <c r="P363" s="202"/>
      <c r="Q363" s="202"/>
      <c r="R363" s="203"/>
    </row>
    <row r="364" spans="1:18">
      <c r="A364" s="128">
        <v>2020</v>
      </c>
      <c r="B364" s="131"/>
      <c r="C364" s="129"/>
      <c r="D364" s="129"/>
      <c r="E364" s="129"/>
      <c r="F364" s="132"/>
      <c r="G364" s="201"/>
      <c r="H364" s="202"/>
      <c r="I364" s="202"/>
      <c r="J364" s="202"/>
      <c r="K364" s="202"/>
      <c r="L364" s="202"/>
      <c r="M364" s="202"/>
      <c r="N364" s="202"/>
      <c r="O364" s="202"/>
      <c r="P364" s="202"/>
      <c r="Q364" s="202"/>
      <c r="R364" s="203"/>
    </row>
    <row r="365" spans="1:18">
      <c r="A365" s="128">
        <v>2021</v>
      </c>
      <c r="B365" s="131"/>
      <c r="C365" s="129"/>
      <c r="D365" s="129"/>
      <c r="E365" s="129"/>
      <c r="F365" s="132"/>
      <c r="G365" s="201"/>
      <c r="H365" s="202"/>
      <c r="I365" s="202"/>
      <c r="J365" s="202"/>
      <c r="K365" s="202"/>
      <c r="L365" s="202"/>
      <c r="M365" s="202"/>
      <c r="N365" s="202"/>
      <c r="O365" s="202"/>
      <c r="P365" s="202"/>
      <c r="Q365" s="202"/>
      <c r="R365" s="203"/>
    </row>
    <row r="366" spans="1:18">
      <c r="A366" s="128">
        <v>2022</v>
      </c>
      <c r="B366" s="131"/>
      <c r="C366" s="129"/>
      <c r="D366" s="129"/>
      <c r="E366" s="129"/>
      <c r="F366" s="132"/>
      <c r="G366" s="201"/>
      <c r="H366" s="202"/>
      <c r="I366" s="202"/>
      <c r="J366" s="202"/>
      <c r="K366" s="202"/>
      <c r="L366" s="202"/>
      <c r="M366" s="202"/>
      <c r="N366" s="202"/>
      <c r="O366" s="202"/>
      <c r="P366" s="202"/>
      <c r="Q366" s="202"/>
      <c r="R366" s="203"/>
    </row>
    <row r="367" spans="1:18">
      <c r="A367" s="128">
        <v>2023</v>
      </c>
      <c r="B367" s="131"/>
      <c r="C367" s="129"/>
      <c r="D367" s="129"/>
      <c r="E367" s="129"/>
      <c r="F367" s="132"/>
      <c r="G367" s="201"/>
      <c r="H367" s="202"/>
      <c r="I367" s="202"/>
      <c r="J367" s="202"/>
      <c r="K367" s="202"/>
      <c r="L367" s="202"/>
      <c r="M367" s="202"/>
      <c r="N367" s="202"/>
      <c r="O367" s="202"/>
      <c r="P367" s="202"/>
      <c r="Q367" s="202"/>
      <c r="R367" s="203"/>
    </row>
    <row r="368" spans="1:18">
      <c r="A368" s="128">
        <v>2024</v>
      </c>
      <c r="B368" s="131"/>
      <c r="C368" s="129"/>
      <c r="D368" s="129"/>
      <c r="E368" s="129"/>
      <c r="F368" s="132"/>
      <c r="G368" s="201"/>
      <c r="H368" s="202"/>
      <c r="I368" s="202"/>
      <c r="J368" s="202"/>
      <c r="K368" s="202"/>
      <c r="L368" s="202"/>
      <c r="M368" s="202"/>
      <c r="N368" s="202"/>
      <c r="O368" s="202"/>
      <c r="P368" s="202"/>
      <c r="Q368" s="202"/>
      <c r="R368" s="203"/>
    </row>
    <row r="369" spans="1:18">
      <c r="A369" s="128">
        <v>2025</v>
      </c>
      <c r="B369" s="131"/>
      <c r="C369" s="129"/>
      <c r="D369" s="129"/>
      <c r="E369" s="129"/>
      <c r="F369" s="132"/>
      <c r="G369" s="201"/>
      <c r="H369" s="202"/>
      <c r="I369" s="202"/>
      <c r="J369" s="202"/>
      <c r="K369" s="202"/>
      <c r="L369" s="202"/>
      <c r="M369" s="202"/>
      <c r="N369" s="202"/>
      <c r="O369" s="202"/>
      <c r="P369" s="202"/>
      <c r="Q369" s="202"/>
      <c r="R369" s="203"/>
    </row>
    <row r="370" spans="1:18">
      <c r="A370" s="128">
        <v>2026</v>
      </c>
      <c r="B370" s="131"/>
      <c r="C370" s="129"/>
      <c r="D370" s="129"/>
      <c r="E370" s="129"/>
      <c r="F370" s="132"/>
      <c r="G370" s="201"/>
      <c r="H370" s="202"/>
      <c r="I370" s="202"/>
      <c r="J370" s="202"/>
      <c r="K370" s="202"/>
      <c r="L370" s="202"/>
      <c r="M370" s="202"/>
      <c r="N370" s="202"/>
      <c r="O370" s="202"/>
      <c r="P370" s="202"/>
      <c r="Q370" s="202"/>
      <c r="R370" s="203"/>
    </row>
    <row r="371" spans="1:18">
      <c r="A371" s="128">
        <v>2027</v>
      </c>
      <c r="B371" s="131"/>
      <c r="C371" s="129"/>
      <c r="D371" s="129"/>
      <c r="E371" s="129"/>
      <c r="F371" s="132"/>
      <c r="G371" s="201"/>
      <c r="H371" s="202"/>
      <c r="I371" s="202"/>
      <c r="J371" s="202"/>
      <c r="K371" s="202"/>
      <c r="L371" s="202"/>
      <c r="M371" s="202"/>
      <c r="N371" s="202"/>
      <c r="O371" s="202"/>
      <c r="P371" s="202"/>
      <c r="Q371" s="202"/>
      <c r="R371" s="203"/>
    </row>
    <row r="372" spans="1:18">
      <c r="A372" s="128">
        <v>2028</v>
      </c>
      <c r="B372" s="131"/>
      <c r="C372" s="129"/>
      <c r="D372" s="129"/>
      <c r="E372" s="129"/>
      <c r="F372" s="132"/>
      <c r="G372" s="201"/>
      <c r="H372" s="202"/>
      <c r="I372" s="202"/>
      <c r="J372" s="202"/>
      <c r="K372" s="202"/>
      <c r="L372" s="202"/>
      <c r="M372" s="202"/>
      <c r="N372" s="202"/>
      <c r="O372" s="202"/>
      <c r="P372" s="202"/>
      <c r="Q372" s="202"/>
      <c r="R372" s="203"/>
    </row>
    <row r="373" spans="1:18">
      <c r="A373" s="128">
        <v>2029</v>
      </c>
      <c r="B373" s="131"/>
      <c r="C373" s="129"/>
      <c r="D373" s="129"/>
      <c r="E373" s="129"/>
      <c r="F373" s="132"/>
      <c r="G373" s="201"/>
      <c r="H373" s="202"/>
      <c r="I373" s="202"/>
      <c r="J373" s="202"/>
      <c r="K373" s="202"/>
      <c r="L373" s="202"/>
      <c r="M373" s="202"/>
      <c r="N373" s="202"/>
      <c r="O373" s="202"/>
      <c r="P373" s="202"/>
      <c r="Q373" s="202"/>
      <c r="R373" s="203"/>
    </row>
    <row r="374" spans="1:18">
      <c r="A374" s="128">
        <v>2030</v>
      </c>
      <c r="B374" s="131"/>
      <c r="C374" s="129"/>
      <c r="D374" s="129"/>
      <c r="E374" s="129"/>
      <c r="F374" s="132"/>
      <c r="G374" s="201"/>
      <c r="H374" s="202"/>
      <c r="I374" s="202"/>
      <c r="J374" s="202"/>
      <c r="K374" s="202"/>
      <c r="L374" s="202"/>
      <c r="M374" s="202"/>
      <c r="N374" s="202"/>
      <c r="O374" s="202"/>
      <c r="P374" s="202"/>
      <c r="Q374" s="202"/>
      <c r="R374" s="203"/>
    </row>
    <row r="375" spans="1:18">
      <c r="A375" s="128">
        <v>2031</v>
      </c>
      <c r="B375" s="131"/>
      <c r="C375" s="129"/>
      <c r="D375" s="129"/>
      <c r="E375" s="129"/>
      <c r="F375" s="132"/>
      <c r="G375" s="201"/>
      <c r="H375" s="202"/>
      <c r="I375" s="202"/>
      <c r="J375" s="202"/>
      <c r="K375" s="202"/>
      <c r="L375" s="202"/>
      <c r="M375" s="202"/>
      <c r="N375" s="202"/>
      <c r="O375" s="202"/>
      <c r="P375" s="202"/>
      <c r="Q375" s="202"/>
      <c r="R375" s="203"/>
    </row>
    <row r="376" spans="1:18">
      <c r="A376" s="128">
        <v>2032</v>
      </c>
      <c r="B376" s="131"/>
      <c r="C376" s="129"/>
      <c r="D376" s="129"/>
      <c r="E376" s="129"/>
      <c r="F376" s="132"/>
      <c r="G376" s="201"/>
      <c r="H376" s="202"/>
      <c r="I376" s="202"/>
      <c r="J376" s="202"/>
      <c r="K376" s="202"/>
      <c r="L376" s="202"/>
      <c r="M376" s="202"/>
      <c r="N376" s="202"/>
      <c r="O376" s="202"/>
      <c r="P376" s="202"/>
      <c r="Q376" s="202"/>
      <c r="R376" s="203"/>
    </row>
    <row r="377" spans="1:18">
      <c r="A377" s="128">
        <v>2033</v>
      </c>
      <c r="B377" s="131"/>
      <c r="C377" s="129"/>
      <c r="D377" s="129"/>
      <c r="E377" s="129"/>
      <c r="F377" s="132"/>
      <c r="G377" s="201"/>
      <c r="H377" s="202"/>
      <c r="I377" s="202"/>
      <c r="J377" s="202"/>
      <c r="K377" s="202"/>
      <c r="L377" s="202"/>
      <c r="M377" s="202"/>
      <c r="N377" s="202"/>
      <c r="O377" s="202"/>
      <c r="P377" s="202"/>
      <c r="Q377" s="202"/>
      <c r="R377" s="203"/>
    </row>
    <row r="378" spans="1:18">
      <c r="A378" s="128">
        <v>2034</v>
      </c>
      <c r="B378" s="131"/>
      <c r="C378" s="129"/>
      <c r="D378" s="129"/>
      <c r="E378" s="129"/>
      <c r="F378" s="132"/>
      <c r="G378" s="201"/>
      <c r="H378" s="202"/>
      <c r="I378" s="202"/>
      <c r="J378" s="202"/>
      <c r="K378" s="202"/>
      <c r="L378" s="202"/>
      <c r="M378" s="202"/>
      <c r="N378" s="202"/>
      <c r="O378" s="202"/>
      <c r="P378" s="202"/>
      <c r="Q378" s="202"/>
      <c r="R378" s="203"/>
    </row>
    <row r="379" spans="1:18">
      <c r="A379" s="128">
        <v>2035</v>
      </c>
      <c r="B379" s="131"/>
      <c r="C379" s="129"/>
      <c r="D379" s="129"/>
      <c r="E379" s="129"/>
      <c r="F379" s="132"/>
      <c r="G379" s="201"/>
      <c r="H379" s="202"/>
      <c r="I379" s="202"/>
      <c r="J379" s="202"/>
      <c r="K379" s="202"/>
      <c r="L379" s="202"/>
      <c r="M379" s="202"/>
      <c r="N379" s="202"/>
      <c r="O379" s="202"/>
      <c r="P379" s="202"/>
      <c r="Q379" s="202"/>
      <c r="R379" s="203"/>
    </row>
    <row r="380" spans="1:18">
      <c r="A380" s="128">
        <v>2036</v>
      </c>
      <c r="B380" s="131"/>
      <c r="C380" s="129"/>
      <c r="D380" s="129"/>
      <c r="E380" s="129"/>
      <c r="F380" s="132"/>
      <c r="G380" s="201"/>
      <c r="H380" s="202"/>
      <c r="I380" s="202"/>
      <c r="J380" s="202"/>
      <c r="K380" s="202"/>
      <c r="L380" s="202"/>
      <c r="M380" s="202"/>
      <c r="N380" s="202"/>
      <c r="O380" s="202"/>
      <c r="P380" s="202"/>
      <c r="Q380" s="202"/>
      <c r="R380" s="203"/>
    </row>
    <row r="381" spans="1:18">
      <c r="A381" s="128">
        <v>2037</v>
      </c>
      <c r="B381" s="131"/>
      <c r="C381" s="129"/>
      <c r="D381" s="129"/>
      <c r="E381" s="129"/>
      <c r="F381" s="132"/>
      <c r="G381" s="201"/>
      <c r="H381" s="202"/>
      <c r="I381" s="202"/>
      <c r="J381" s="202"/>
      <c r="K381" s="202"/>
      <c r="L381" s="202"/>
      <c r="M381" s="202"/>
      <c r="N381" s="202"/>
      <c r="O381" s="202"/>
      <c r="P381" s="202"/>
      <c r="Q381" s="202"/>
      <c r="R381" s="203"/>
    </row>
    <row r="382" spans="1:18">
      <c r="A382" s="128">
        <v>2038</v>
      </c>
      <c r="B382" s="131"/>
      <c r="C382" s="129"/>
      <c r="D382" s="129"/>
      <c r="E382" s="129"/>
      <c r="F382" s="132"/>
      <c r="G382" s="201"/>
      <c r="H382" s="202"/>
      <c r="I382" s="202"/>
      <c r="J382" s="202"/>
      <c r="K382" s="202"/>
      <c r="L382" s="202"/>
      <c r="M382" s="202"/>
      <c r="N382" s="202"/>
      <c r="O382" s="202"/>
      <c r="P382" s="202"/>
      <c r="Q382" s="202"/>
      <c r="R382" s="203"/>
    </row>
    <row r="383" spans="1:18">
      <c r="A383" s="128">
        <v>2039</v>
      </c>
      <c r="B383" s="131"/>
      <c r="C383" s="129"/>
      <c r="D383" s="129"/>
      <c r="E383" s="129"/>
      <c r="F383" s="132"/>
      <c r="G383" s="201"/>
      <c r="H383" s="202"/>
      <c r="I383" s="202"/>
      <c r="J383" s="202"/>
      <c r="K383" s="202"/>
      <c r="L383" s="202"/>
      <c r="M383" s="202"/>
      <c r="N383" s="202"/>
      <c r="O383" s="202"/>
      <c r="P383" s="202"/>
      <c r="Q383" s="202"/>
      <c r="R383" s="203"/>
    </row>
    <row r="384" spans="1:18">
      <c r="A384" s="128">
        <v>2040</v>
      </c>
      <c r="B384" s="131"/>
      <c r="C384" s="129"/>
      <c r="D384" s="129"/>
      <c r="E384" s="129"/>
      <c r="F384" s="132"/>
      <c r="G384" s="201"/>
      <c r="H384" s="202"/>
      <c r="I384" s="202"/>
      <c r="J384" s="202"/>
      <c r="K384" s="202"/>
      <c r="L384" s="202"/>
      <c r="M384" s="202"/>
      <c r="N384" s="202"/>
      <c r="O384" s="202"/>
      <c r="P384" s="202"/>
      <c r="Q384" s="202"/>
      <c r="R384" s="203"/>
    </row>
    <row r="385" spans="1:18">
      <c r="A385" s="128">
        <v>2041</v>
      </c>
      <c r="B385" s="131"/>
      <c r="C385" s="129"/>
      <c r="D385" s="129"/>
      <c r="E385" s="129"/>
      <c r="F385" s="132"/>
      <c r="G385" s="201"/>
      <c r="H385" s="202"/>
      <c r="I385" s="202"/>
      <c r="J385" s="202"/>
      <c r="K385" s="202"/>
      <c r="L385" s="202"/>
      <c r="M385" s="202"/>
      <c r="N385" s="202"/>
      <c r="O385" s="202"/>
      <c r="P385" s="202"/>
      <c r="Q385" s="202"/>
      <c r="R385" s="203"/>
    </row>
    <row r="386" spans="1:18">
      <c r="A386" s="128">
        <v>2042</v>
      </c>
      <c r="B386" s="131"/>
      <c r="C386" s="129"/>
      <c r="D386" s="129"/>
      <c r="E386" s="129"/>
      <c r="F386" s="132"/>
      <c r="G386" s="201"/>
      <c r="H386" s="202"/>
      <c r="I386" s="202"/>
      <c r="J386" s="202"/>
      <c r="K386" s="202"/>
      <c r="L386" s="202"/>
      <c r="M386" s="202"/>
      <c r="N386" s="202"/>
      <c r="O386" s="202"/>
      <c r="P386" s="202"/>
      <c r="Q386" s="202"/>
      <c r="R386" s="203"/>
    </row>
    <row r="387" spans="1:18">
      <c r="A387" s="128">
        <v>2043</v>
      </c>
      <c r="B387" s="131"/>
      <c r="C387" s="129"/>
      <c r="D387" s="129"/>
      <c r="E387" s="129"/>
      <c r="F387" s="132"/>
      <c r="G387" s="201"/>
      <c r="H387" s="202"/>
      <c r="I387" s="202"/>
      <c r="J387" s="202"/>
      <c r="K387" s="202"/>
      <c r="L387" s="202"/>
      <c r="M387" s="202"/>
      <c r="N387" s="202"/>
      <c r="O387" s="202"/>
      <c r="P387" s="202"/>
      <c r="Q387" s="202"/>
      <c r="R387" s="203"/>
    </row>
    <row r="388" spans="1:18">
      <c r="A388" s="128">
        <v>2044</v>
      </c>
      <c r="B388" s="131"/>
      <c r="C388" s="129"/>
      <c r="D388" s="129"/>
      <c r="E388" s="129"/>
      <c r="F388" s="132"/>
      <c r="G388" s="201"/>
      <c r="H388" s="202"/>
      <c r="I388" s="202"/>
      <c r="J388" s="202"/>
      <c r="K388" s="202"/>
      <c r="L388" s="202"/>
      <c r="M388" s="202"/>
      <c r="N388" s="202"/>
      <c r="O388" s="202"/>
      <c r="P388" s="202"/>
      <c r="Q388" s="202"/>
      <c r="R388" s="203"/>
    </row>
    <row r="389" spans="1:18">
      <c r="A389" s="128">
        <v>2045</v>
      </c>
      <c r="B389" s="131"/>
      <c r="C389" s="129"/>
      <c r="D389" s="129"/>
      <c r="E389" s="129"/>
      <c r="F389" s="132"/>
      <c r="G389" s="201"/>
      <c r="H389" s="202"/>
      <c r="I389" s="202"/>
      <c r="J389" s="202"/>
      <c r="K389" s="202"/>
      <c r="L389" s="202"/>
      <c r="M389" s="202"/>
      <c r="N389" s="202"/>
      <c r="O389" s="202"/>
      <c r="P389" s="202"/>
      <c r="Q389" s="202"/>
      <c r="R389" s="203"/>
    </row>
    <row r="390" spans="1:18">
      <c r="A390" s="128">
        <v>2046</v>
      </c>
      <c r="B390" s="131"/>
      <c r="C390" s="129"/>
      <c r="D390" s="129"/>
      <c r="E390" s="129"/>
      <c r="F390" s="132"/>
      <c r="G390" s="201"/>
      <c r="H390" s="202"/>
      <c r="I390" s="202"/>
      <c r="J390" s="202"/>
      <c r="K390" s="202"/>
      <c r="L390" s="202"/>
      <c r="M390" s="202"/>
      <c r="N390" s="202"/>
      <c r="O390" s="202"/>
      <c r="P390" s="202"/>
      <c r="Q390" s="202"/>
      <c r="R390" s="203"/>
    </row>
    <row r="391" spans="1:18">
      <c r="A391" s="128"/>
      <c r="B391" s="131"/>
      <c r="C391" s="129"/>
      <c r="D391" s="129"/>
      <c r="E391" s="129"/>
      <c r="F391" s="132"/>
      <c r="G391" s="201"/>
      <c r="H391" s="202"/>
      <c r="I391" s="202"/>
      <c r="J391" s="202"/>
      <c r="K391" s="202"/>
      <c r="L391" s="202"/>
      <c r="M391" s="202"/>
      <c r="N391" s="202"/>
      <c r="O391" s="202"/>
      <c r="P391" s="202"/>
      <c r="Q391" s="202"/>
      <c r="R391" s="203"/>
    </row>
    <row r="392" spans="1:18">
      <c r="A392" s="128"/>
      <c r="B392" s="131"/>
      <c r="C392" s="129"/>
      <c r="D392" s="129"/>
      <c r="E392" s="129"/>
      <c r="F392" s="132"/>
      <c r="G392" s="201"/>
      <c r="H392" s="202"/>
      <c r="I392" s="202"/>
      <c r="J392" s="202"/>
      <c r="K392" s="202"/>
      <c r="L392" s="202"/>
      <c r="M392" s="202"/>
      <c r="N392" s="202"/>
      <c r="O392" s="202"/>
      <c r="P392" s="202"/>
      <c r="Q392" s="202"/>
      <c r="R392" s="203"/>
    </row>
    <row r="393" spans="1:18">
      <c r="A393" s="128"/>
      <c r="B393" s="131"/>
      <c r="C393" s="129"/>
      <c r="D393" s="129"/>
      <c r="E393" s="129"/>
      <c r="F393" s="132"/>
      <c r="G393" s="201"/>
      <c r="H393" s="202"/>
      <c r="I393" s="202"/>
      <c r="J393" s="202"/>
      <c r="K393" s="202"/>
      <c r="L393" s="202"/>
      <c r="M393" s="202"/>
      <c r="N393" s="202"/>
      <c r="O393" s="202"/>
      <c r="P393" s="202"/>
      <c r="Q393" s="202"/>
      <c r="R393" s="203"/>
    </row>
    <row r="394" spans="1:18">
      <c r="A394" s="128"/>
      <c r="B394" s="131"/>
      <c r="C394" s="129"/>
      <c r="D394" s="129"/>
      <c r="E394" s="129"/>
      <c r="F394" s="132"/>
      <c r="G394" s="201"/>
      <c r="H394" s="202"/>
      <c r="I394" s="202"/>
      <c r="J394" s="202"/>
      <c r="K394" s="202"/>
      <c r="L394" s="202"/>
      <c r="M394" s="202"/>
      <c r="N394" s="202"/>
      <c r="O394" s="202"/>
      <c r="P394" s="202"/>
      <c r="Q394" s="202"/>
      <c r="R394" s="203"/>
    </row>
    <row r="395" spans="1:18">
      <c r="A395" s="128"/>
      <c r="B395" s="131"/>
      <c r="C395" s="129"/>
      <c r="D395" s="129"/>
      <c r="E395" s="129"/>
      <c r="F395" s="132"/>
      <c r="G395" s="201"/>
      <c r="H395" s="202"/>
      <c r="I395" s="202"/>
      <c r="J395" s="202"/>
      <c r="K395" s="202"/>
      <c r="L395" s="202"/>
      <c r="M395" s="202"/>
      <c r="N395" s="202"/>
      <c r="O395" s="202"/>
      <c r="P395" s="202"/>
      <c r="Q395" s="202"/>
      <c r="R395" s="203"/>
    </row>
    <row r="396" spans="1:18">
      <c r="A396" s="128"/>
      <c r="B396" s="131"/>
      <c r="C396" s="129"/>
      <c r="D396" s="129"/>
      <c r="E396" s="129"/>
      <c r="F396" s="132"/>
      <c r="G396" s="201"/>
      <c r="H396" s="202"/>
      <c r="I396" s="202"/>
      <c r="J396" s="202"/>
      <c r="K396" s="202"/>
      <c r="L396" s="202"/>
      <c r="M396" s="202"/>
      <c r="N396" s="202"/>
      <c r="O396" s="202"/>
      <c r="P396" s="202"/>
      <c r="Q396" s="202"/>
      <c r="R396" s="203"/>
    </row>
    <row r="397" spans="1:18">
      <c r="A397" s="128"/>
      <c r="B397" s="131"/>
      <c r="C397" s="129"/>
      <c r="D397" s="129"/>
      <c r="E397" s="129"/>
      <c r="F397" s="132"/>
      <c r="G397" s="201"/>
      <c r="H397" s="202"/>
      <c r="I397" s="202"/>
      <c r="J397" s="202"/>
      <c r="K397" s="202"/>
      <c r="L397" s="202"/>
      <c r="M397" s="202"/>
      <c r="N397" s="202"/>
      <c r="O397" s="202"/>
      <c r="P397" s="202"/>
      <c r="Q397" s="202"/>
      <c r="R397" s="203"/>
    </row>
    <row r="398" spans="1:18">
      <c r="A398" s="128"/>
      <c r="B398" s="131"/>
      <c r="C398" s="129"/>
      <c r="D398" s="129"/>
      <c r="E398" s="129"/>
      <c r="F398" s="132"/>
      <c r="G398" s="201"/>
      <c r="H398" s="202"/>
      <c r="I398" s="202"/>
      <c r="J398" s="202"/>
      <c r="K398" s="202"/>
      <c r="L398" s="202"/>
      <c r="M398" s="202"/>
      <c r="N398" s="202"/>
      <c r="O398" s="202"/>
      <c r="P398" s="202"/>
      <c r="Q398" s="202"/>
      <c r="R398" s="203"/>
    </row>
    <row r="399" spans="1:18">
      <c r="A399" s="128"/>
      <c r="B399" s="131"/>
      <c r="C399" s="129"/>
      <c r="D399" s="129"/>
      <c r="E399" s="129"/>
      <c r="F399" s="132"/>
      <c r="G399" s="201"/>
      <c r="H399" s="202"/>
      <c r="I399" s="202"/>
      <c r="J399" s="202"/>
      <c r="K399" s="202"/>
      <c r="L399" s="202"/>
      <c r="M399" s="202"/>
      <c r="N399" s="202"/>
      <c r="O399" s="202"/>
      <c r="P399" s="202"/>
      <c r="Q399" s="202"/>
      <c r="R399" s="203"/>
    </row>
    <row r="400" spans="1:18">
      <c r="A400" s="128"/>
      <c r="B400" s="131"/>
      <c r="C400" s="129"/>
      <c r="D400" s="129"/>
      <c r="E400" s="129"/>
      <c r="F400" s="132"/>
      <c r="G400" s="201"/>
      <c r="H400" s="202"/>
      <c r="I400" s="202"/>
      <c r="J400" s="202"/>
      <c r="K400" s="202"/>
      <c r="L400" s="202"/>
      <c r="M400" s="202"/>
      <c r="N400" s="202"/>
      <c r="O400" s="202"/>
      <c r="P400" s="202"/>
      <c r="Q400" s="202"/>
      <c r="R400" s="203"/>
    </row>
    <row r="401" spans="1:18">
      <c r="A401" s="128"/>
      <c r="B401" s="131"/>
      <c r="C401" s="129"/>
      <c r="D401" s="129"/>
      <c r="E401" s="129"/>
      <c r="F401" s="132"/>
      <c r="G401" s="201"/>
      <c r="H401" s="202"/>
      <c r="I401" s="202"/>
      <c r="J401" s="202"/>
      <c r="K401" s="202"/>
      <c r="L401" s="202"/>
      <c r="M401" s="202"/>
      <c r="N401" s="202"/>
      <c r="O401" s="202"/>
      <c r="P401" s="202"/>
      <c r="Q401" s="202"/>
      <c r="R401" s="203"/>
    </row>
    <row r="402" spans="1:18">
      <c r="A402" s="128"/>
      <c r="B402" s="131"/>
      <c r="C402" s="129"/>
      <c r="D402" s="129"/>
      <c r="E402" s="129"/>
      <c r="F402" s="132"/>
      <c r="G402" s="201"/>
      <c r="H402" s="202"/>
      <c r="I402" s="202"/>
      <c r="J402" s="202"/>
      <c r="K402" s="202"/>
      <c r="L402" s="202"/>
      <c r="M402" s="202"/>
      <c r="N402" s="202"/>
      <c r="O402" s="202"/>
      <c r="P402" s="202"/>
      <c r="Q402" s="202"/>
      <c r="R402" s="203"/>
    </row>
    <row r="403" spans="1:18">
      <c r="A403" s="128"/>
      <c r="B403" s="131"/>
      <c r="C403" s="129"/>
      <c r="D403" s="129"/>
      <c r="E403" s="129"/>
      <c r="F403" s="132"/>
      <c r="G403" s="201"/>
      <c r="H403" s="202"/>
      <c r="I403" s="202"/>
      <c r="J403" s="202"/>
      <c r="K403" s="202"/>
      <c r="L403" s="202"/>
      <c r="M403" s="202"/>
      <c r="N403" s="202"/>
      <c r="O403" s="202"/>
      <c r="P403" s="202"/>
      <c r="Q403" s="202"/>
      <c r="R403" s="203"/>
    </row>
    <row r="404" spans="1:18">
      <c r="A404" s="128"/>
      <c r="B404" s="131"/>
      <c r="C404" s="129"/>
      <c r="D404" s="129"/>
      <c r="E404" s="129"/>
      <c r="F404" s="132"/>
      <c r="G404" s="201"/>
      <c r="H404" s="202"/>
      <c r="I404" s="202"/>
      <c r="J404" s="202"/>
      <c r="K404" s="202"/>
      <c r="L404" s="202"/>
      <c r="M404" s="202"/>
      <c r="N404" s="202"/>
      <c r="O404" s="202"/>
      <c r="P404" s="202"/>
      <c r="Q404" s="202"/>
      <c r="R404" s="203"/>
    </row>
    <row r="405" spans="1:18">
      <c r="A405" s="128"/>
      <c r="B405" s="131"/>
      <c r="C405" s="129"/>
      <c r="D405" s="129"/>
      <c r="E405" s="129"/>
      <c r="F405" s="132"/>
      <c r="G405" s="201"/>
      <c r="H405" s="202"/>
      <c r="I405" s="202"/>
      <c r="J405" s="202"/>
      <c r="K405" s="202"/>
      <c r="L405" s="202"/>
      <c r="M405" s="202"/>
      <c r="N405" s="202"/>
      <c r="O405" s="202"/>
      <c r="P405" s="202"/>
      <c r="Q405" s="202"/>
      <c r="R405" s="203"/>
    </row>
    <row r="406" spans="1:18">
      <c r="A406" s="128"/>
      <c r="B406" s="131"/>
      <c r="C406" s="129"/>
      <c r="D406" s="129"/>
      <c r="E406" s="129"/>
      <c r="F406" s="132"/>
      <c r="G406" s="201"/>
      <c r="H406" s="202"/>
      <c r="I406" s="202"/>
      <c r="J406" s="202"/>
      <c r="K406" s="202"/>
      <c r="L406" s="202"/>
      <c r="M406" s="202"/>
      <c r="N406" s="202"/>
      <c r="O406" s="202"/>
      <c r="P406" s="202"/>
      <c r="Q406" s="202"/>
      <c r="R406" s="203"/>
    </row>
    <row r="407" spans="1:18">
      <c r="A407" s="128"/>
      <c r="B407" s="131"/>
      <c r="C407" s="129"/>
      <c r="D407" s="129"/>
      <c r="E407" s="129"/>
      <c r="F407" s="132"/>
      <c r="G407" s="201"/>
      <c r="H407" s="202"/>
      <c r="I407" s="202"/>
      <c r="J407" s="202"/>
      <c r="K407" s="202"/>
      <c r="L407" s="202"/>
      <c r="M407" s="202"/>
      <c r="N407" s="202"/>
      <c r="O407" s="202"/>
      <c r="P407" s="202"/>
      <c r="Q407" s="202"/>
      <c r="R407" s="203"/>
    </row>
    <row r="408" spans="1:18">
      <c r="A408" s="128"/>
      <c r="B408" s="131"/>
      <c r="C408" s="129"/>
      <c r="D408" s="129"/>
      <c r="E408" s="129"/>
      <c r="F408" s="132"/>
      <c r="G408" s="201"/>
      <c r="H408" s="202"/>
      <c r="I408" s="202"/>
      <c r="J408" s="202"/>
      <c r="K408" s="202"/>
      <c r="L408" s="202"/>
      <c r="M408" s="202"/>
      <c r="N408" s="202"/>
      <c r="O408" s="202"/>
      <c r="P408" s="202"/>
      <c r="Q408" s="202"/>
      <c r="R408" s="203"/>
    </row>
    <row r="409" spans="1:18">
      <c r="A409" s="128"/>
      <c r="B409" s="131"/>
      <c r="C409" s="129"/>
      <c r="D409" s="129"/>
      <c r="E409" s="129"/>
      <c r="F409" s="132"/>
      <c r="G409" s="201"/>
      <c r="H409" s="202"/>
      <c r="I409" s="202"/>
      <c r="J409" s="202"/>
      <c r="K409" s="202"/>
      <c r="L409" s="202"/>
      <c r="M409" s="202"/>
      <c r="N409" s="202"/>
      <c r="O409" s="202"/>
      <c r="P409" s="202"/>
      <c r="Q409" s="202"/>
      <c r="R409" s="203"/>
    </row>
    <row r="410" spans="1:18">
      <c r="A410" s="128"/>
      <c r="B410" s="131"/>
      <c r="C410" s="129"/>
      <c r="D410" s="129"/>
      <c r="E410" s="129"/>
      <c r="F410" s="132"/>
      <c r="G410" s="201"/>
      <c r="H410" s="202"/>
      <c r="I410" s="202"/>
      <c r="J410" s="202"/>
      <c r="K410" s="202"/>
      <c r="L410" s="202"/>
      <c r="M410" s="202"/>
      <c r="N410" s="202"/>
      <c r="O410" s="202"/>
      <c r="P410" s="202"/>
      <c r="Q410" s="202"/>
      <c r="R410" s="203"/>
    </row>
    <row r="411" spans="1:18">
      <c r="A411" s="128"/>
      <c r="B411" s="131"/>
      <c r="C411" s="129"/>
      <c r="D411" s="129"/>
      <c r="E411" s="129"/>
      <c r="F411" s="132"/>
      <c r="G411" s="201"/>
      <c r="H411" s="202"/>
      <c r="I411" s="202"/>
      <c r="J411" s="202"/>
      <c r="K411" s="202"/>
      <c r="L411" s="202"/>
      <c r="M411" s="202"/>
      <c r="N411" s="202"/>
      <c r="O411" s="202"/>
      <c r="P411" s="202"/>
      <c r="Q411" s="202"/>
      <c r="R411" s="203"/>
    </row>
    <row r="412" spans="1:18">
      <c r="A412" s="128"/>
      <c r="B412" s="131"/>
      <c r="C412" s="129"/>
      <c r="D412" s="129"/>
      <c r="E412" s="129"/>
      <c r="F412" s="132"/>
      <c r="G412" s="201"/>
      <c r="H412" s="202"/>
      <c r="I412" s="202"/>
      <c r="J412" s="202"/>
      <c r="K412" s="202"/>
      <c r="L412" s="202"/>
      <c r="M412" s="202"/>
      <c r="N412" s="202"/>
      <c r="O412" s="202"/>
      <c r="P412" s="202"/>
      <c r="Q412" s="202"/>
      <c r="R412" s="203"/>
    </row>
    <row r="413" spans="1:18">
      <c r="A413" s="128"/>
      <c r="B413" s="131"/>
      <c r="C413" s="129"/>
      <c r="D413" s="129"/>
      <c r="E413" s="129"/>
      <c r="F413" s="132"/>
      <c r="G413" s="201"/>
      <c r="H413" s="202"/>
      <c r="I413" s="202"/>
      <c r="J413" s="202"/>
      <c r="K413" s="202"/>
      <c r="L413" s="202"/>
      <c r="M413" s="202"/>
      <c r="N413" s="202"/>
      <c r="O413" s="202"/>
      <c r="P413" s="202"/>
      <c r="Q413" s="202"/>
      <c r="R413" s="203"/>
    </row>
    <row r="414" spans="1:18">
      <c r="A414" s="128"/>
      <c r="B414" s="131"/>
      <c r="C414" s="129"/>
      <c r="D414" s="129"/>
      <c r="E414" s="129"/>
      <c r="F414" s="132"/>
      <c r="G414" s="201"/>
      <c r="H414" s="202"/>
      <c r="I414" s="202"/>
      <c r="J414" s="202"/>
      <c r="K414" s="202"/>
      <c r="L414" s="202"/>
      <c r="M414" s="202"/>
      <c r="N414" s="202"/>
      <c r="O414" s="202"/>
      <c r="P414" s="202"/>
      <c r="Q414" s="202"/>
      <c r="R414" s="203"/>
    </row>
    <row r="415" spans="1:18">
      <c r="A415" s="128"/>
      <c r="B415" s="131"/>
      <c r="C415" s="129"/>
      <c r="D415" s="129"/>
      <c r="E415" s="129"/>
      <c r="F415" s="132"/>
      <c r="G415" s="201"/>
      <c r="H415" s="202"/>
      <c r="I415" s="202"/>
      <c r="J415" s="202"/>
      <c r="K415" s="202"/>
      <c r="L415" s="202"/>
      <c r="M415" s="202"/>
      <c r="N415" s="202"/>
      <c r="O415" s="202"/>
      <c r="P415" s="202"/>
      <c r="Q415" s="202"/>
      <c r="R415" s="203"/>
    </row>
    <row r="416" spans="1:18">
      <c r="A416" s="128"/>
      <c r="B416" s="131"/>
      <c r="C416" s="129"/>
      <c r="D416" s="129"/>
      <c r="E416" s="129"/>
      <c r="F416" s="132"/>
      <c r="G416" s="201"/>
      <c r="H416" s="202"/>
      <c r="I416" s="202"/>
      <c r="J416" s="202"/>
      <c r="K416" s="202"/>
      <c r="L416" s="202"/>
      <c r="M416" s="202"/>
      <c r="N416" s="202"/>
      <c r="O416" s="202"/>
      <c r="P416" s="202"/>
      <c r="Q416" s="202"/>
      <c r="R416" s="203"/>
    </row>
    <row r="417" spans="1:18">
      <c r="A417" s="128"/>
      <c r="B417" s="131"/>
      <c r="C417" s="129"/>
      <c r="D417" s="129"/>
      <c r="E417" s="129"/>
      <c r="F417" s="132"/>
      <c r="G417" s="201"/>
      <c r="H417" s="202"/>
      <c r="I417" s="202"/>
      <c r="J417" s="202"/>
      <c r="K417" s="202"/>
      <c r="L417" s="202"/>
      <c r="M417" s="202"/>
      <c r="N417" s="202"/>
      <c r="O417" s="202"/>
      <c r="P417" s="202"/>
      <c r="Q417" s="202"/>
      <c r="R417" s="203"/>
    </row>
    <row r="418" spans="1:18">
      <c r="A418" s="128"/>
      <c r="B418" s="131"/>
      <c r="C418" s="129"/>
      <c r="D418" s="129"/>
      <c r="E418" s="129"/>
      <c r="F418" s="132"/>
      <c r="G418" s="201"/>
      <c r="H418" s="202"/>
      <c r="I418" s="202"/>
      <c r="J418" s="202"/>
      <c r="K418" s="202"/>
      <c r="L418" s="202"/>
      <c r="M418" s="202"/>
      <c r="N418" s="202"/>
      <c r="O418" s="202"/>
      <c r="P418" s="202"/>
      <c r="Q418" s="202"/>
      <c r="R418" s="203"/>
    </row>
    <row r="419" spans="1:18">
      <c r="A419" s="128"/>
      <c r="B419" s="131"/>
      <c r="C419" s="129"/>
      <c r="D419" s="129"/>
      <c r="E419" s="129"/>
      <c r="F419" s="132"/>
      <c r="G419" s="201"/>
      <c r="H419" s="202"/>
      <c r="I419" s="202"/>
      <c r="J419" s="202"/>
      <c r="K419" s="202"/>
      <c r="L419" s="202"/>
      <c r="M419" s="202"/>
      <c r="N419" s="202"/>
      <c r="O419" s="202"/>
      <c r="P419" s="202"/>
      <c r="Q419" s="202"/>
      <c r="R419" s="203"/>
    </row>
    <row r="420" spans="1:18">
      <c r="A420" s="128"/>
      <c r="B420" s="131"/>
      <c r="C420" s="129"/>
      <c r="D420" s="129"/>
      <c r="E420" s="129"/>
      <c r="F420" s="132"/>
      <c r="G420" s="201"/>
      <c r="H420" s="202"/>
      <c r="I420" s="202"/>
      <c r="J420" s="202"/>
      <c r="K420" s="202"/>
      <c r="L420" s="202"/>
      <c r="M420" s="202"/>
      <c r="N420" s="202"/>
      <c r="O420" s="202"/>
      <c r="P420" s="202"/>
      <c r="Q420" s="202"/>
      <c r="R420" s="203"/>
    </row>
    <row r="421" spans="1:18">
      <c r="A421" s="128"/>
      <c r="B421" s="131"/>
      <c r="C421" s="129"/>
      <c r="D421" s="129"/>
      <c r="E421" s="129"/>
      <c r="F421" s="132"/>
      <c r="G421" s="201"/>
      <c r="H421" s="202"/>
      <c r="I421" s="202"/>
      <c r="J421" s="202"/>
      <c r="K421" s="202"/>
      <c r="L421" s="202"/>
      <c r="M421" s="202"/>
      <c r="N421" s="202"/>
      <c r="O421" s="202"/>
      <c r="P421" s="202"/>
      <c r="Q421" s="202"/>
      <c r="R421" s="203"/>
    </row>
    <row r="422" spans="1:18">
      <c r="A422" s="128"/>
      <c r="B422" s="131"/>
      <c r="C422" s="129"/>
      <c r="D422" s="129"/>
      <c r="E422" s="129"/>
      <c r="F422" s="132"/>
      <c r="G422" s="201"/>
      <c r="H422" s="202"/>
      <c r="I422" s="202"/>
      <c r="J422" s="202"/>
      <c r="K422" s="202"/>
      <c r="L422" s="202"/>
      <c r="M422" s="202"/>
      <c r="N422" s="202"/>
      <c r="O422" s="202"/>
      <c r="P422" s="202"/>
      <c r="Q422" s="202"/>
      <c r="R422" s="203"/>
    </row>
    <row r="423" spans="1:18">
      <c r="A423" s="128"/>
      <c r="B423" s="131"/>
      <c r="C423" s="129"/>
      <c r="D423" s="129"/>
      <c r="E423" s="129"/>
      <c r="F423" s="132"/>
      <c r="G423" s="201"/>
      <c r="H423" s="202"/>
      <c r="I423" s="202"/>
      <c r="J423" s="202"/>
      <c r="K423" s="202"/>
      <c r="L423" s="202"/>
      <c r="M423" s="202"/>
      <c r="N423" s="202"/>
      <c r="O423" s="202"/>
      <c r="P423" s="202"/>
      <c r="Q423" s="202"/>
      <c r="R423" s="203"/>
    </row>
    <row r="424" spans="1:18">
      <c r="A424" s="128"/>
      <c r="B424" s="131"/>
      <c r="C424" s="129"/>
      <c r="D424" s="129"/>
      <c r="E424" s="129"/>
      <c r="F424" s="132"/>
      <c r="G424" s="201"/>
      <c r="H424" s="202"/>
      <c r="I424" s="202"/>
      <c r="J424" s="202"/>
      <c r="K424" s="202"/>
      <c r="L424" s="202"/>
      <c r="M424" s="202"/>
      <c r="N424" s="202"/>
      <c r="O424" s="202"/>
      <c r="P424" s="202"/>
      <c r="Q424" s="202"/>
      <c r="R424" s="203"/>
    </row>
    <row r="425" spans="1:18">
      <c r="A425" s="128"/>
      <c r="B425" s="131"/>
      <c r="C425" s="129"/>
      <c r="D425" s="129"/>
      <c r="E425" s="129"/>
      <c r="F425" s="132"/>
      <c r="G425" s="201"/>
      <c r="H425" s="202"/>
      <c r="I425" s="202"/>
      <c r="J425" s="202"/>
      <c r="K425" s="202"/>
      <c r="L425" s="202"/>
      <c r="M425" s="202"/>
      <c r="N425" s="202"/>
      <c r="O425" s="202"/>
      <c r="P425" s="202"/>
      <c r="Q425" s="202"/>
      <c r="R425" s="203"/>
    </row>
    <row r="426" spans="1:18">
      <c r="A426" s="128"/>
      <c r="B426" s="131"/>
      <c r="C426" s="129"/>
      <c r="D426" s="129"/>
      <c r="E426" s="129"/>
      <c r="F426" s="132"/>
      <c r="G426" s="201"/>
      <c r="H426" s="202"/>
      <c r="I426" s="202"/>
      <c r="J426" s="202"/>
      <c r="K426" s="202"/>
      <c r="L426" s="202"/>
      <c r="M426" s="202"/>
      <c r="N426" s="202"/>
      <c r="O426" s="202"/>
      <c r="P426" s="202"/>
      <c r="Q426" s="202"/>
      <c r="R426" s="203"/>
    </row>
    <row r="427" spans="1:18">
      <c r="A427" s="128"/>
      <c r="B427" s="131"/>
      <c r="C427" s="129"/>
      <c r="D427" s="129"/>
      <c r="E427" s="129"/>
      <c r="F427" s="132"/>
      <c r="G427" s="201"/>
      <c r="H427" s="202"/>
      <c r="I427" s="202"/>
      <c r="J427" s="202"/>
      <c r="K427" s="202"/>
      <c r="L427" s="202"/>
      <c r="M427" s="202"/>
      <c r="N427" s="202"/>
      <c r="O427" s="202"/>
      <c r="P427" s="202"/>
      <c r="Q427" s="202"/>
      <c r="R427" s="203"/>
    </row>
    <row r="428" spans="1:18">
      <c r="A428" s="128"/>
      <c r="B428" s="131"/>
      <c r="C428" s="129"/>
      <c r="D428" s="129"/>
      <c r="E428" s="129"/>
      <c r="F428" s="132"/>
      <c r="G428" s="201"/>
      <c r="H428" s="202"/>
      <c r="I428" s="202"/>
      <c r="J428" s="202"/>
      <c r="K428" s="202"/>
      <c r="L428" s="202"/>
      <c r="M428" s="202"/>
      <c r="N428" s="202"/>
      <c r="O428" s="202"/>
      <c r="P428" s="202"/>
      <c r="Q428" s="202"/>
      <c r="R428" s="203"/>
    </row>
    <row r="429" spans="1:18">
      <c r="A429" s="128"/>
      <c r="B429" s="131"/>
      <c r="C429" s="129"/>
      <c r="D429" s="129"/>
      <c r="E429" s="129"/>
      <c r="F429" s="132"/>
      <c r="G429" s="201"/>
      <c r="H429" s="202"/>
      <c r="I429" s="202"/>
      <c r="J429" s="202"/>
      <c r="K429" s="202"/>
      <c r="L429" s="202"/>
      <c r="M429" s="202"/>
      <c r="N429" s="202"/>
      <c r="O429" s="202"/>
      <c r="P429" s="202"/>
      <c r="Q429" s="202"/>
      <c r="R429" s="203"/>
    </row>
    <row r="430" spans="1:18">
      <c r="A430" s="128"/>
      <c r="B430" s="131"/>
      <c r="C430" s="129"/>
      <c r="D430" s="129"/>
      <c r="E430" s="129"/>
      <c r="F430" s="132"/>
      <c r="G430" s="201"/>
      <c r="H430" s="202"/>
      <c r="I430" s="202"/>
      <c r="J430" s="202"/>
      <c r="K430" s="202"/>
      <c r="L430" s="202"/>
      <c r="M430" s="202"/>
      <c r="N430" s="202"/>
      <c r="O430" s="202"/>
      <c r="P430" s="202"/>
      <c r="Q430" s="202"/>
      <c r="R430" s="203"/>
    </row>
    <row r="431" spans="1:18">
      <c r="A431" s="128"/>
      <c r="B431" s="131"/>
      <c r="C431" s="129"/>
      <c r="D431" s="129"/>
      <c r="E431" s="129"/>
      <c r="F431" s="132"/>
      <c r="G431" s="201"/>
      <c r="H431" s="202"/>
      <c r="I431" s="202"/>
      <c r="J431" s="202"/>
      <c r="K431" s="202"/>
      <c r="L431" s="202"/>
      <c r="M431" s="202"/>
      <c r="N431" s="202"/>
      <c r="O431" s="202"/>
      <c r="P431" s="202"/>
      <c r="Q431" s="202"/>
      <c r="R431" s="203"/>
    </row>
    <row r="432" spans="1:18">
      <c r="A432" s="128"/>
      <c r="B432" s="131"/>
      <c r="C432" s="129"/>
      <c r="D432" s="129"/>
      <c r="E432" s="129"/>
      <c r="F432" s="132"/>
      <c r="G432" s="201"/>
      <c r="H432" s="202"/>
      <c r="I432" s="202"/>
      <c r="J432" s="202"/>
      <c r="K432" s="202"/>
      <c r="L432" s="202"/>
      <c r="M432" s="202"/>
      <c r="N432" s="202"/>
      <c r="O432" s="202"/>
      <c r="P432" s="202"/>
      <c r="Q432" s="202"/>
      <c r="R432" s="203"/>
    </row>
    <row r="433" spans="1:18">
      <c r="A433" s="128"/>
      <c r="B433" s="131"/>
      <c r="C433" s="129"/>
      <c r="D433" s="129"/>
      <c r="E433" s="129"/>
      <c r="F433" s="132"/>
      <c r="G433" s="201"/>
      <c r="H433" s="202"/>
      <c r="I433" s="202"/>
      <c r="J433" s="202"/>
      <c r="K433" s="202"/>
      <c r="L433" s="202"/>
      <c r="M433" s="202"/>
      <c r="N433" s="202"/>
      <c r="O433" s="202"/>
      <c r="P433" s="202"/>
      <c r="Q433" s="202"/>
      <c r="R433" s="203"/>
    </row>
    <row r="434" spans="1:18">
      <c r="A434" s="128"/>
      <c r="B434" s="131"/>
      <c r="C434" s="129"/>
      <c r="D434" s="129"/>
      <c r="E434" s="129"/>
      <c r="F434" s="132"/>
      <c r="G434" s="201"/>
      <c r="H434" s="202"/>
      <c r="I434" s="202"/>
      <c r="J434" s="202"/>
      <c r="K434" s="202"/>
      <c r="L434" s="202"/>
      <c r="M434" s="202"/>
      <c r="N434" s="202"/>
      <c r="O434" s="202"/>
      <c r="P434" s="202"/>
      <c r="Q434" s="202"/>
      <c r="R434" s="203"/>
    </row>
    <row r="435" spans="1:18">
      <c r="A435" s="128"/>
      <c r="B435" s="131"/>
      <c r="C435" s="129"/>
      <c r="D435" s="129"/>
      <c r="E435" s="129"/>
      <c r="F435" s="132"/>
      <c r="G435" s="201"/>
      <c r="H435" s="202"/>
      <c r="I435" s="202"/>
      <c r="J435" s="202"/>
      <c r="K435" s="202"/>
      <c r="L435" s="202"/>
      <c r="M435" s="202"/>
      <c r="N435" s="202"/>
      <c r="O435" s="202"/>
      <c r="P435" s="202"/>
      <c r="Q435" s="202"/>
      <c r="R435" s="203"/>
    </row>
    <row r="436" spans="1:18">
      <c r="A436" s="128"/>
      <c r="B436" s="131"/>
      <c r="C436" s="129"/>
      <c r="D436" s="129"/>
      <c r="E436" s="129"/>
      <c r="F436" s="132"/>
      <c r="G436" s="201"/>
      <c r="H436" s="202"/>
      <c r="I436" s="202"/>
      <c r="J436" s="202"/>
      <c r="K436" s="202"/>
      <c r="L436" s="202"/>
      <c r="M436" s="202"/>
      <c r="N436" s="202"/>
      <c r="O436" s="202"/>
      <c r="P436" s="202"/>
      <c r="Q436" s="202"/>
      <c r="R436" s="203"/>
    </row>
    <row r="437" spans="1:18">
      <c r="A437" s="128"/>
      <c r="B437" s="131"/>
      <c r="C437" s="129"/>
      <c r="D437" s="129"/>
      <c r="E437" s="129"/>
      <c r="F437" s="132"/>
      <c r="G437" s="201"/>
      <c r="H437" s="202"/>
      <c r="I437" s="202"/>
      <c r="J437" s="202"/>
      <c r="K437" s="202"/>
      <c r="L437" s="202"/>
      <c r="M437" s="202"/>
      <c r="N437" s="202"/>
      <c r="O437" s="202"/>
      <c r="P437" s="202"/>
      <c r="Q437" s="202"/>
      <c r="R437" s="203"/>
    </row>
    <row r="438" spans="1:18">
      <c r="A438" s="128"/>
      <c r="B438" s="131"/>
      <c r="C438" s="129"/>
      <c r="D438" s="129"/>
      <c r="E438" s="129"/>
      <c r="F438" s="132"/>
      <c r="G438" s="201"/>
      <c r="H438" s="202"/>
      <c r="I438" s="202"/>
      <c r="J438" s="202"/>
      <c r="K438" s="202"/>
      <c r="L438" s="202"/>
      <c r="M438" s="202"/>
      <c r="N438" s="202"/>
      <c r="O438" s="202"/>
      <c r="P438" s="202"/>
      <c r="Q438" s="202"/>
      <c r="R438" s="203"/>
    </row>
    <row r="439" spans="1:18">
      <c r="A439" s="128"/>
      <c r="B439" s="131"/>
      <c r="C439" s="129"/>
      <c r="D439" s="129"/>
      <c r="E439" s="129"/>
      <c r="F439" s="132"/>
      <c r="G439" s="201"/>
      <c r="H439" s="202"/>
      <c r="I439" s="202"/>
      <c r="J439" s="202"/>
      <c r="K439" s="202"/>
      <c r="L439" s="202"/>
      <c r="M439" s="202"/>
      <c r="N439" s="202"/>
      <c r="O439" s="202"/>
      <c r="P439" s="202"/>
      <c r="Q439" s="202"/>
      <c r="R439" s="203"/>
    </row>
    <row r="440" spans="1:18">
      <c r="A440" s="128"/>
      <c r="B440" s="131"/>
      <c r="C440" s="129"/>
      <c r="D440" s="129"/>
      <c r="E440" s="129"/>
      <c r="F440" s="132"/>
      <c r="G440" s="201"/>
      <c r="H440" s="202"/>
      <c r="I440" s="202"/>
      <c r="J440" s="202"/>
      <c r="K440" s="202"/>
      <c r="L440" s="202"/>
      <c r="M440" s="202"/>
      <c r="N440" s="202"/>
      <c r="O440" s="202"/>
      <c r="P440" s="202"/>
      <c r="Q440" s="202"/>
      <c r="R440" s="203"/>
    </row>
    <row r="441" spans="1:18">
      <c r="A441" s="128"/>
      <c r="B441" s="131"/>
      <c r="C441" s="129"/>
      <c r="D441" s="129"/>
      <c r="E441" s="129"/>
      <c r="F441" s="132"/>
      <c r="G441" s="201"/>
      <c r="H441" s="202"/>
      <c r="I441" s="202"/>
      <c r="J441" s="202"/>
      <c r="K441" s="202"/>
      <c r="L441" s="202"/>
      <c r="M441" s="202"/>
      <c r="N441" s="202"/>
      <c r="O441" s="202"/>
      <c r="P441" s="202"/>
      <c r="Q441" s="202"/>
      <c r="R441" s="203"/>
    </row>
    <row r="442" spans="1:18">
      <c r="A442" s="128"/>
      <c r="B442" s="131"/>
      <c r="C442" s="129"/>
      <c r="D442" s="129"/>
      <c r="E442" s="129"/>
      <c r="F442" s="132"/>
      <c r="G442" s="201"/>
      <c r="H442" s="202"/>
      <c r="I442" s="202"/>
      <c r="J442" s="202"/>
      <c r="K442" s="202"/>
      <c r="L442" s="202"/>
      <c r="M442" s="202"/>
      <c r="N442" s="202"/>
      <c r="O442" s="202"/>
      <c r="P442" s="202"/>
      <c r="Q442" s="202"/>
      <c r="R442" s="203"/>
    </row>
    <row r="443" spans="1:18">
      <c r="A443" s="128"/>
      <c r="B443" s="131"/>
      <c r="C443" s="129"/>
      <c r="D443" s="129"/>
      <c r="E443" s="129"/>
      <c r="F443" s="132"/>
      <c r="G443" s="201"/>
      <c r="H443" s="202"/>
      <c r="I443" s="202"/>
      <c r="J443" s="202"/>
      <c r="K443" s="202"/>
      <c r="L443" s="202"/>
      <c r="M443" s="202"/>
      <c r="N443" s="202"/>
      <c r="O443" s="202"/>
      <c r="P443" s="202"/>
      <c r="Q443" s="202"/>
      <c r="R443" s="203"/>
    </row>
    <row r="444" spans="1:18">
      <c r="A444" s="128"/>
      <c r="B444" s="131"/>
      <c r="C444" s="129"/>
      <c r="D444" s="129"/>
      <c r="E444" s="129"/>
      <c r="F444" s="132"/>
      <c r="G444" s="201"/>
      <c r="H444" s="202"/>
      <c r="I444" s="202"/>
      <c r="J444" s="202"/>
      <c r="K444" s="202"/>
      <c r="L444" s="202"/>
      <c r="M444" s="202"/>
      <c r="N444" s="202"/>
      <c r="O444" s="202"/>
      <c r="P444" s="202"/>
      <c r="Q444" s="202"/>
      <c r="R444" s="203"/>
    </row>
    <row r="445" spans="1:18">
      <c r="A445" s="128"/>
      <c r="B445" s="131"/>
      <c r="C445" s="129"/>
      <c r="D445" s="129"/>
      <c r="E445" s="129"/>
      <c r="F445" s="132"/>
      <c r="G445" s="201"/>
      <c r="H445" s="202"/>
      <c r="I445" s="202"/>
      <c r="J445" s="202"/>
      <c r="K445" s="202"/>
      <c r="L445" s="202"/>
      <c r="M445" s="202"/>
      <c r="N445" s="202"/>
      <c r="O445" s="202"/>
      <c r="P445" s="202"/>
      <c r="Q445" s="202"/>
      <c r="R445" s="203"/>
    </row>
    <row r="446" spans="1:18">
      <c r="A446" s="128"/>
      <c r="B446" s="131"/>
      <c r="C446" s="129"/>
      <c r="D446" s="129"/>
      <c r="E446" s="129"/>
      <c r="F446" s="132"/>
      <c r="G446" s="201"/>
      <c r="H446" s="202"/>
      <c r="I446" s="202"/>
      <c r="J446" s="202"/>
      <c r="K446" s="202"/>
      <c r="L446" s="202"/>
      <c r="M446" s="202"/>
      <c r="N446" s="202"/>
      <c r="O446" s="202"/>
      <c r="P446" s="202"/>
      <c r="Q446" s="202"/>
      <c r="R446" s="203"/>
    </row>
    <row r="447" spans="1:18">
      <c r="A447" s="128"/>
      <c r="B447" s="131"/>
      <c r="C447" s="129"/>
      <c r="D447" s="129"/>
      <c r="E447" s="129"/>
      <c r="F447" s="132"/>
      <c r="G447" s="201"/>
      <c r="H447" s="202"/>
      <c r="I447" s="202"/>
      <c r="J447" s="202"/>
      <c r="K447" s="202"/>
      <c r="L447" s="202"/>
      <c r="M447" s="202"/>
      <c r="N447" s="202"/>
      <c r="O447" s="202"/>
      <c r="P447" s="202"/>
      <c r="Q447" s="202"/>
      <c r="R447" s="203"/>
    </row>
    <row r="448" spans="1:18">
      <c r="A448" s="128"/>
      <c r="B448" s="131"/>
      <c r="C448" s="129"/>
      <c r="D448" s="129"/>
      <c r="E448" s="129"/>
      <c r="F448" s="132"/>
      <c r="G448" s="201"/>
      <c r="H448" s="202"/>
      <c r="I448" s="202"/>
      <c r="J448" s="202"/>
      <c r="K448" s="202"/>
      <c r="L448" s="202"/>
      <c r="M448" s="202"/>
      <c r="N448" s="202"/>
      <c r="O448" s="202"/>
      <c r="P448" s="202"/>
      <c r="Q448" s="202"/>
      <c r="R448" s="203"/>
    </row>
    <row r="449" spans="1:18">
      <c r="A449" s="128"/>
      <c r="B449" s="131"/>
      <c r="C449" s="129"/>
      <c r="D449" s="129"/>
      <c r="E449" s="129"/>
      <c r="F449" s="132"/>
      <c r="G449" s="201"/>
      <c r="H449" s="202"/>
      <c r="I449" s="202"/>
      <c r="J449" s="202"/>
      <c r="K449" s="202"/>
      <c r="L449" s="202"/>
      <c r="M449" s="202"/>
      <c r="N449" s="202"/>
      <c r="O449" s="202"/>
      <c r="P449" s="202"/>
      <c r="Q449" s="202"/>
      <c r="R449" s="203"/>
    </row>
    <row r="450" spans="1:18">
      <c r="A450" s="128"/>
      <c r="B450" s="131"/>
      <c r="C450" s="129"/>
      <c r="D450" s="129"/>
      <c r="E450" s="129"/>
      <c r="F450" s="132"/>
      <c r="G450" s="201"/>
      <c r="H450" s="202"/>
      <c r="I450" s="202"/>
      <c r="J450" s="202"/>
      <c r="K450" s="202"/>
      <c r="L450" s="202"/>
      <c r="M450" s="202"/>
      <c r="N450" s="202"/>
      <c r="O450" s="202"/>
      <c r="P450" s="202"/>
      <c r="Q450" s="202"/>
      <c r="R450" s="203"/>
    </row>
    <row r="451" spans="1:18">
      <c r="A451" s="128"/>
      <c r="B451" s="131"/>
      <c r="C451" s="129"/>
      <c r="D451" s="129"/>
      <c r="E451" s="129"/>
      <c r="F451" s="132"/>
      <c r="G451" s="201"/>
      <c r="H451" s="202"/>
      <c r="I451" s="202"/>
      <c r="J451" s="202"/>
      <c r="K451" s="202"/>
      <c r="L451" s="202"/>
      <c r="M451" s="202"/>
      <c r="N451" s="202"/>
      <c r="O451" s="202"/>
      <c r="P451" s="202"/>
      <c r="Q451" s="202"/>
      <c r="R451" s="203"/>
    </row>
    <row r="452" spans="1:18">
      <c r="A452" s="128"/>
      <c r="B452" s="131"/>
      <c r="C452" s="129"/>
      <c r="D452" s="129"/>
      <c r="E452" s="129"/>
      <c r="F452" s="132"/>
      <c r="G452" s="201"/>
      <c r="H452" s="202"/>
      <c r="I452" s="202"/>
      <c r="J452" s="202"/>
      <c r="K452" s="202"/>
      <c r="L452" s="202"/>
      <c r="M452" s="202"/>
      <c r="N452" s="202"/>
      <c r="O452" s="202"/>
      <c r="P452" s="202"/>
      <c r="Q452" s="202"/>
      <c r="R452" s="203"/>
    </row>
    <row r="453" spans="1:18">
      <c r="A453" s="128"/>
      <c r="B453" s="131"/>
      <c r="C453" s="129"/>
      <c r="D453" s="129"/>
      <c r="E453" s="129"/>
      <c r="F453" s="132"/>
      <c r="G453" s="201"/>
      <c r="H453" s="202"/>
      <c r="I453" s="202"/>
      <c r="J453" s="202"/>
      <c r="K453" s="202"/>
      <c r="L453" s="202"/>
      <c r="M453" s="202"/>
      <c r="N453" s="202"/>
      <c r="O453" s="202"/>
      <c r="P453" s="202"/>
      <c r="Q453" s="202"/>
      <c r="R453" s="203"/>
    </row>
    <row r="454" spans="1:18">
      <c r="A454" s="128"/>
      <c r="B454" s="131"/>
      <c r="C454" s="129"/>
      <c r="D454" s="129"/>
      <c r="E454" s="129"/>
      <c r="F454" s="132"/>
      <c r="G454" s="201"/>
      <c r="H454" s="202"/>
      <c r="I454" s="202"/>
      <c r="J454" s="202"/>
      <c r="K454" s="202"/>
      <c r="L454" s="202"/>
      <c r="M454" s="202"/>
      <c r="N454" s="202"/>
      <c r="O454" s="202"/>
      <c r="P454" s="202"/>
      <c r="Q454" s="202"/>
      <c r="R454" s="203"/>
    </row>
    <row r="455" spans="1:18">
      <c r="A455" s="128"/>
      <c r="B455" s="131"/>
      <c r="C455" s="129"/>
      <c r="D455" s="129"/>
      <c r="E455" s="129"/>
      <c r="F455" s="132"/>
      <c r="G455" s="201"/>
      <c r="H455" s="202"/>
      <c r="I455" s="202"/>
      <c r="J455" s="202"/>
      <c r="K455" s="202"/>
      <c r="L455" s="202"/>
      <c r="M455" s="202"/>
      <c r="N455" s="202"/>
      <c r="O455" s="202"/>
      <c r="P455" s="202"/>
      <c r="Q455" s="202"/>
      <c r="R455" s="203"/>
    </row>
    <row r="456" spans="1:18">
      <c r="A456" s="128"/>
      <c r="B456" s="131"/>
      <c r="C456" s="129"/>
      <c r="D456" s="129"/>
      <c r="E456" s="129"/>
      <c r="F456" s="132"/>
      <c r="G456" s="201"/>
      <c r="H456" s="202"/>
      <c r="I456" s="202"/>
      <c r="J456" s="202"/>
      <c r="K456" s="202"/>
      <c r="L456" s="202"/>
      <c r="M456" s="202"/>
      <c r="N456" s="202"/>
      <c r="O456" s="202"/>
      <c r="P456" s="202"/>
      <c r="Q456" s="202"/>
      <c r="R456" s="203"/>
    </row>
    <row r="457" spans="1:18">
      <c r="A457" s="128"/>
      <c r="B457" s="131"/>
      <c r="C457" s="129"/>
      <c r="D457" s="129"/>
      <c r="E457" s="129"/>
      <c r="F457" s="132"/>
      <c r="G457" s="201"/>
      <c r="H457" s="202"/>
      <c r="I457" s="202"/>
      <c r="J457" s="202"/>
      <c r="K457" s="202"/>
      <c r="L457" s="202"/>
      <c r="M457" s="202"/>
      <c r="N457" s="202"/>
      <c r="O457" s="202"/>
      <c r="P457" s="202"/>
      <c r="Q457" s="202"/>
      <c r="R457" s="203"/>
    </row>
    <row r="458" spans="1:18">
      <c r="A458" s="128"/>
      <c r="B458" s="131"/>
      <c r="C458" s="129"/>
      <c r="D458" s="129"/>
      <c r="E458" s="129"/>
      <c r="F458" s="132"/>
      <c r="G458" s="201"/>
      <c r="H458" s="202"/>
      <c r="I458" s="202"/>
      <c r="J458" s="202"/>
      <c r="K458" s="202"/>
      <c r="L458" s="202"/>
      <c r="M458" s="202"/>
      <c r="N458" s="202"/>
      <c r="O458" s="202"/>
      <c r="P458" s="202"/>
      <c r="Q458" s="202"/>
      <c r="R458" s="203"/>
    </row>
    <row r="459" spans="1:18">
      <c r="A459" s="128"/>
      <c r="B459" s="131"/>
      <c r="C459" s="129"/>
      <c r="D459" s="129"/>
      <c r="E459" s="129"/>
      <c r="F459" s="132"/>
      <c r="G459" s="201"/>
      <c r="H459" s="202"/>
      <c r="I459" s="202"/>
      <c r="J459" s="202"/>
      <c r="K459" s="202"/>
      <c r="L459" s="202"/>
      <c r="M459" s="202"/>
      <c r="N459" s="202"/>
      <c r="O459" s="202"/>
      <c r="P459" s="202"/>
      <c r="Q459" s="202"/>
      <c r="R459" s="203"/>
    </row>
    <row r="460" spans="1:18">
      <c r="A460" s="128"/>
      <c r="B460" s="131"/>
      <c r="C460" s="129"/>
      <c r="D460" s="129"/>
      <c r="E460" s="129"/>
      <c r="F460" s="132"/>
      <c r="G460" s="201"/>
      <c r="H460" s="202"/>
      <c r="I460" s="202"/>
      <c r="J460" s="202"/>
      <c r="K460" s="202"/>
      <c r="L460" s="202"/>
      <c r="M460" s="202"/>
      <c r="N460" s="202"/>
      <c r="O460" s="202"/>
      <c r="P460" s="202"/>
      <c r="Q460" s="202"/>
      <c r="R460" s="203"/>
    </row>
    <row r="461" spans="1:18">
      <c r="A461" s="128"/>
      <c r="B461" s="131"/>
      <c r="C461" s="129"/>
      <c r="D461" s="129"/>
      <c r="E461" s="129"/>
      <c r="F461" s="132"/>
      <c r="G461" s="201"/>
      <c r="H461" s="202"/>
      <c r="I461" s="202"/>
      <c r="J461" s="202"/>
      <c r="K461" s="202"/>
      <c r="L461" s="202"/>
      <c r="M461" s="202"/>
      <c r="N461" s="202"/>
      <c r="O461" s="202"/>
      <c r="P461" s="202"/>
      <c r="Q461" s="202"/>
      <c r="R461" s="203"/>
    </row>
    <row r="462" spans="1:18">
      <c r="A462" s="128"/>
      <c r="B462" s="131"/>
      <c r="C462" s="129"/>
      <c r="D462" s="129"/>
      <c r="E462" s="129"/>
      <c r="F462" s="132"/>
      <c r="G462" s="201"/>
      <c r="H462" s="202"/>
      <c r="I462" s="202"/>
      <c r="J462" s="202"/>
      <c r="K462" s="202"/>
      <c r="L462" s="202"/>
      <c r="M462" s="202"/>
      <c r="N462" s="202"/>
      <c r="O462" s="202"/>
      <c r="P462" s="202"/>
      <c r="Q462" s="202"/>
      <c r="R462" s="203"/>
    </row>
    <row r="463" spans="1:18">
      <c r="A463" s="128"/>
      <c r="B463" s="131"/>
      <c r="C463" s="129"/>
      <c r="D463" s="129"/>
      <c r="E463" s="129"/>
      <c r="F463" s="132"/>
      <c r="G463" s="201"/>
      <c r="H463" s="202"/>
      <c r="I463" s="202"/>
      <c r="J463" s="202"/>
      <c r="K463" s="202"/>
      <c r="L463" s="202"/>
      <c r="M463" s="202"/>
      <c r="N463" s="202"/>
      <c r="O463" s="202"/>
      <c r="P463" s="202"/>
      <c r="Q463" s="202"/>
      <c r="R463" s="203"/>
    </row>
    <row r="464" spans="1:18">
      <c r="A464" s="128"/>
      <c r="B464" s="131"/>
      <c r="C464" s="129"/>
      <c r="D464" s="129"/>
      <c r="E464" s="129"/>
      <c r="F464" s="132"/>
      <c r="G464" s="201"/>
      <c r="H464" s="202"/>
      <c r="I464" s="202"/>
      <c r="J464" s="202"/>
      <c r="K464" s="202"/>
      <c r="L464" s="202"/>
      <c r="M464" s="202"/>
      <c r="N464" s="202"/>
      <c r="O464" s="202"/>
      <c r="P464" s="202"/>
      <c r="Q464" s="202"/>
      <c r="R464" s="203"/>
    </row>
    <row r="465" spans="1:18">
      <c r="A465" s="128"/>
      <c r="B465" s="131"/>
      <c r="C465" s="129"/>
      <c r="D465" s="129"/>
      <c r="E465" s="129"/>
      <c r="F465" s="132"/>
      <c r="G465" s="201"/>
      <c r="H465" s="202"/>
      <c r="I465" s="202"/>
      <c r="J465" s="202"/>
      <c r="K465" s="202"/>
      <c r="L465" s="202"/>
      <c r="M465" s="202"/>
      <c r="N465" s="202"/>
      <c r="O465" s="202"/>
      <c r="P465" s="202"/>
      <c r="Q465" s="202"/>
      <c r="R465" s="203"/>
    </row>
    <row r="466" spans="1:18">
      <c r="A466" s="128"/>
      <c r="B466" s="131"/>
      <c r="C466" s="129"/>
      <c r="D466" s="129"/>
      <c r="E466" s="129"/>
      <c r="F466" s="132"/>
      <c r="G466" s="201"/>
      <c r="H466" s="202"/>
      <c r="I466" s="202"/>
      <c r="J466" s="202"/>
      <c r="K466" s="202"/>
      <c r="L466" s="202"/>
      <c r="M466" s="202"/>
      <c r="N466" s="202"/>
      <c r="O466" s="202"/>
      <c r="P466" s="202"/>
      <c r="Q466" s="202"/>
      <c r="R466" s="203"/>
    </row>
    <row r="467" spans="1:18">
      <c r="A467" s="128"/>
      <c r="B467" s="131"/>
      <c r="C467" s="129"/>
      <c r="D467" s="129"/>
      <c r="E467" s="129"/>
      <c r="F467" s="132"/>
      <c r="G467" s="201"/>
      <c r="H467" s="202"/>
      <c r="I467" s="202"/>
      <c r="J467" s="202"/>
      <c r="K467" s="202"/>
      <c r="L467" s="202"/>
      <c r="M467" s="202"/>
      <c r="N467" s="202"/>
      <c r="O467" s="202"/>
      <c r="P467" s="202"/>
      <c r="Q467" s="202"/>
      <c r="R467" s="203"/>
    </row>
    <row r="468" spans="1:18">
      <c r="A468" s="128"/>
      <c r="B468" s="131"/>
      <c r="C468" s="129"/>
      <c r="D468" s="129"/>
      <c r="E468" s="129"/>
      <c r="F468" s="132"/>
      <c r="G468" s="201"/>
      <c r="H468" s="202"/>
      <c r="I468" s="202"/>
      <c r="J468" s="202"/>
      <c r="K468" s="202"/>
      <c r="L468" s="202"/>
      <c r="M468" s="202"/>
      <c r="N468" s="202"/>
      <c r="O468" s="202"/>
      <c r="P468" s="202"/>
      <c r="Q468" s="202"/>
      <c r="R468" s="203"/>
    </row>
    <row r="469" spans="1:18">
      <c r="A469" s="128"/>
      <c r="B469" s="131"/>
      <c r="C469" s="129"/>
      <c r="D469" s="129"/>
      <c r="E469" s="129"/>
      <c r="F469" s="132"/>
      <c r="G469" s="201"/>
      <c r="H469" s="202"/>
      <c r="I469" s="202"/>
      <c r="J469" s="202"/>
      <c r="K469" s="202"/>
      <c r="L469" s="202"/>
      <c r="M469" s="202"/>
      <c r="N469" s="202"/>
      <c r="O469" s="202"/>
      <c r="P469" s="202"/>
      <c r="Q469" s="202"/>
      <c r="R469" s="203"/>
    </row>
    <row r="470" spans="1:18">
      <c r="A470" s="128"/>
      <c r="B470" s="131"/>
      <c r="C470" s="129"/>
      <c r="D470" s="129"/>
      <c r="E470" s="129"/>
      <c r="F470" s="132"/>
      <c r="G470" s="201"/>
      <c r="H470" s="202"/>
      <c r="I470" s="202"/>
      <c r="J470" s="202"/>
      <c r="K470" s="202"/>
      <c r="L470" s="202"/>
      <c r="M470" s="202"/>
      <c r="N470" s="202"/>
      <c r="O470" s="202"/>
      <c r="P470" s="202"/>
      <c r="Q470" s="202"/>
      <c r="R470" s="203"/>
    </row>
    <row r="471" spans="1:18">
      <c r="A471" s="128"/>
      <c r="B471" s="131"/>
      <c r="C471" s="129"/>
      <c r="D471" s="129"/>
      <c r="E471" s="129"/>
      <c r="F471" s="132"/>
      <c r="G471" s="201"/>
      <c r="H471" s="202"/>
      <c r="I471" s="202"/>
      <c r="J471" s="202"/>
      <c r="K471" s="202"/>
      <c r="L471" s="202"/>
      <c r="M471" s="202"/>
      <c r="N471" s="202"/>
      <c r="O471" s="202"/>
      <c r="P471" s="202"/>
      <c r="Q471" s="202"/>
      <c r="R471" s="203"/>
    </row>
    <row r="472" spans="1:18">
      <c r="A472" s="128"/>
      <c r="B472" s="131"/>
      <c r="C472" s="129"/>
      <c r="D472" s="129"/>
      <c r="E472" s="129"/>
      <c r="F472" s="132"/>
      <c r="G472" s="201"/>
      <c r="H472" s="202"/>
      <c r="I472" s="202"/>
      <c r="J472" s="202"/>
      <c r="K472" s="202"/>
      <c r="L472" s="202"/>
      <c r="M472" s="202"/>
      <c r="N472" s="202"/>
      <c r="O472" s="202"/>
      <c r="P472" s="202"/>
      <c r="Q472" s="202"/>
      <c r="R472" s="203"/>
    </row>
    <row r="473" spans="1:18">
      <c r="A473" s="128"/>
      <c r="B473" s="131"/>
      <c r="C473" s="129"/>
      <c r="D473" s="129"/>
      <c r="E473" s="129"/>
      <c r="F473" s="132"/>
      <c r="G473" s="201"/>
      <c r="H473" s="202"/>
      <c r="I473" s="202"/>
      <c r="J473" s="202"/>
      <c r="K473" s="202"/>
      <c r="L473" s="202"/>
      <c r="M473" s="202"/>
      <c r="N473" s="202"/>
      <c r="O473" s="202"/>
      <c r="P473" s="202"/>
      <c r="Q473" s="202"/>
      <c r="R473" s="203"/>
    </row>
    <row r="474" spans="1:18">
      <c r="A474" s="128"/>
      <c r="B474" s="131"/>
      <c r="C474" s="129"/>
      <c r="D474" s="129"/>
      <c r="E474" s="129"/>
      <c r="F474" s="132"/>
      <c r="G474" s="201"/>
      <c r="H474" s="202"/>
      <c r="I474" s="202"/>
      <c r="J474" s="202"/>
      <c r="K474" s="202"/>
      <c r="L474" s="202"/>
      <c r="M474" s="202"/>
      <c r="N474" s="202"/>
      <c r="O474" s="202"/>
      <c r="P474" s="202"/>
      <c r="Q474" s="202"/>
      <c r="R474" s="203"/>
    </row>
    <row r="475" spans="1:18">
      <c r="A475" s="128"/>
      <c r="B475" s="131"/>
      <c r="C475" s="129"/>
      <c r="D475" s="129"/>
      <c r="E475" s="129"/>
      <c r="F475" s="132"/>
      <c r="G475" s="201"/>
      <c r="H475" s="202"/>
      <c r="I475" s="202"/>
      <c r="J475" s="202"/>
      <c r="K475" s="202"/>
      <c r="L475" s="202"/>
      <c r="M475" s="202"/>
      <c r="N475" s="202"/>
      <c r="O475" s="202"/>
      <c r="P475" s="202"/>
      <c r="Q475" s="202"/>
      <c r="R475" s="203"/>
    </row>
    <row r="476" spans="1:18">
      <c r="A476" s="128"/>
      <c r="B476" s="131"/>
      <c r="C476" s="129"/>
      <c r="D476" s="129"/>
      <c r="E476" s="129"/>
      <c r="F476" s="132"/>
      <c r="G476" s="201"/>
      <c r="H476" s="202"/>
      <c r="I476" s="202"/>
      <c r="J476" s="202"/>
      <c r="K476" s="202"/>
      <c r="L476" s="202"/>
      <c r="M476" s="202"/>
      <c r="N476" s="202"/>
      <c r="O476" s="202"/>
      <c r="P476" s="202"/>
      <c r="Q476" s="202"/>
      <c r="R476" s="203"/>
    </row>
    <row r="477" spans="1:18">
      <c r="A477" s="128"/>
      <c r="B477" s="131"/>
      <c r="C477" s="129"/>
      <c r="D477" s="129"/>
      <c r="E477" s="129"/>
      <c r="F477" s="132"/>
      <c r="G477" s="201"/>
      <c r="H477" s="202"/>
      <c r="I477" s="202"/>
      <c r="J477" s="202"/>
      <c r="K477" s="202"/>
      <c r="L477" s="202"/>
      <c r="M477" s="202"/>
      <c r="N477" s="202"/>
      <c r="O477" s="202"/>
      <c r="P477" s="202"/>
      <c r="Q477" s="202"/>
      <c r="R477" s="203"/>
    </row>
    <row r="478" spans="1:18">
      <c r="A478" s="128"/>
      <c r="B478" s="131"/>
      <c r="C478" s="129"/>
      <c r="D478" s="129"/>
      <c r="E478" s="129"/>
      <c r="F478" s="132"/>
      <c r="G478" s="201"/>
      <c r="H478" s="202"/>
      <c r="I478" s="202"/>
      <c r="J478" s="202"/>
      <c r="K478" s="202"/>
      <c r="L478" s="202"/>
      <c r="M478" s="202"/>
      <c r="N478" s="202"/>
      <c r="O478" s="202"/>
      <c r="P478" s="202"/>
      <c r="Q478" s="202"/>
      <c r="R478" s="203"/>
    </row>
    <row r="479" spans="1:18">
      <c r="A479" s="128"/>
      <c r="B479" s="131"/>
      <c r="C479" s="129"/>
      <c r="D479" s="129"/>
      <c r="E479" s="129"/>
      <c r="F479" s="132"/>
      <c r="G479" s="201"/>
      <c r="H479" s="202"/>
      <c r="I479" s="202"/>
      <c r="J479" s="202"/>
      <c r="K479" s="202"/>
      <c r="L479" s="202"/>
      <c r="M479" s="202"/>
      <c r="N479" s="202"/>
      <c r="O479" s="202"/>
      <c r="P479" s="202"/>
      <c r="Q479" s="202"/>
      <c r="R479" s="203"/>
    </row>
    <row r="480" spans="1:18">
      <c r="A480" s="128"/>
      <c r="B480" s="131"/>
      <c r="C480" s="129"/>
      <c r="D480" s="129"/>
      <c r="E480" s="129"/>
      <c r="F480" s="132"/>
      <c r="G480" s="201"/>
      <c r="H480" s="202"/>
      <c r="I480" s="202"/>
      <c r="J480" s="202"/>
      <c r="K480" s="202"/>
      <c r="L480" s="202"/>
      <c r="M480" s="202"/>
      <c r="N480" s="202"/>
      <c r="O480" s="202"/>
      <c r="P480" s="202"/>
      <c r="Q480" s="202"/>
      <c r="R480" s="203"/>
    </row>
    <row r="481" spans="1:18">
      <c r="A481" s="128"/>
      <c r="B481" s="131"/>
      <c r="C481" s="129"/>
      <c r="D481" s="129"/>
      <c r="E481" s="129"/>
      <c r="F481" s="132"/>
      <c r="G481" s="201"/>
      <c r="H481" s="202"/>
      <c r="I481" s="202"/>
      <c r="J481" s="202"/>
      <c r="K481" s="202"/>
      <c r="L481" s="202"/>
      <c r="M481" s="202"/>
      <c r="N481" s="202"/>
      <c r="O481" s="202"/>
      <c r="P481" s="202"/>
      <c r="Q481" s="202"/>
      <c r="R481" s="203"/>
    </row>
    <row r="482" spans="1:18">
      <c r="A482" s="128"/>
      <c r="B482" s="131"/>
      <c r="C482" s="129"/>
      <c r="D482" s="129"/>
      <c r="E482" s="129"/>
      <c r="F482" s="132"/>
      <c r="G482" s="201"/>
      <c r="H482" s="202"/>
      <c r="I482" s="202"/>
      <c r="J482" s="202"/>
      <c r="K482" s="202"/>
      <c r="L482" s="202"/>
      <c r="M482" s="202"/>
      <c r="N482" s="202"/>
      <c r="O482" s="202"/>
      <c r="P482" s="202"/>
      <c r="Q482" s="202"/>
      <c r="R482" s="203"/>
    </row>
    <row r="483" spans="1:18">
      <c r="A483" s="128"/>
      <c r="B483" s="131"/>
      <c r="C483" s="129"/>
      <c r="D483" s="129"/>
      <c r="E483" s="129"/>
      <c r="F483" s="132"/>
      <c r="G483" s="201"/>
      <c r="H483" s="202"/>
      <c r="I483" s="202"/>
      <c r="J483" s="202"/>
      <c r="K483" s="202"/>
      <c r="L483" s="202"/>
      <c r="M483" s="202"/>
      <c r="N483" s="202"/>
      <c r="O483" s="202"/>
      <c r="P483" s="202"/>
      <c r="Q483" s="202"/>
      <c r="R483" s="203"/>
    </row>
    <row r="484" spans="1:18">
      <c r="A484" s="128"/>
      <c r="B484" s="131"/>
      <c r="C484" s="129"/>
      <c r="D484" s="129"/>
      <c r="E484" s="129"/>
      <c r="F484" s="132"/>
      <c r="G484" s="201"/>
      <c r="H484" s="202"/>
      <c r="I484" s="202"/>
      <c r="J484" s="202"/>
      <c r="K484" s="202"/>
      <c r="L484" s="202"/>
      <c r="M484" s="202"/>
      <c r="N484" s="202"/>
      <c r="O484" s="202"/>
      <c r="P484" s="202"/>
      <c r="Q484" s="202"/>
      <c r="R484" s="203"/>
    </row>
    <row r="485" spans="1:18">
      <c r="A485" s="128"/>
      <c r="B485" s="131"/>
      <c r="C485" s="129"/>
      <c r="D485" s="129"/>
      <c r="E485" s="129"/>
      <c r="F485" s="132"/>
      <c r="G485" s="201"/>
      <c r="H485" s="202"/>
      <c r="I485" s="202"/>
      <c r="J485" s="202"/>
      <c r="K485" s="202"/>
      <c r="L485" s="202"/>
      <c r="M485" s="202"/>
      <c r="N485" s="202"/>
      <c r="O485" s="202"/>
      <c r="P485" s="202"/>
      <c r="Q485" s="202"/>
      <c r="R485" s="203"/>
    </row>
    <row r="486" spans="1:18">
      <c r="A486" s="128"/>
      <c r="B486" s="131"/>
      <c r="C486" s="129"/>
      <c r="D486" s="129"/>
      <c r="E486" s="129"/>
      <c r="F486" s="132"/>
      <c r="G486" s="201"/>
      <c r="H486" s="202"/>
      <c r="I486" s="202"/>
      <c r="J486" s="202"/>
      <c r="K486" s="202"/>
      <c r="L486" s="202"/>
      <c r="M486" s="202"/>
      <c r="N486" s="202"/>
      <c r="O486" s="202"/>
      <c r="P486" s="202"/>
      <c r="Q486" s="202"/>
      <c r="R486" s="203"/>
    </row>
    <row r="487" spans="1:18">
      <c r="A487" s="128"/>
      <c r="B487" s="131"/>
      <c r="C487" s="129"/>
      <c r="D487" s="129"/>
      <c r="E487" s="129"/>
      <c r="F487" s="132"/>
      <c r="G487" s="201"/>
      <c r="H487" s="202"/>
      <c r="I487" s="202"/>
      <c r="J487" s="202"/>
      <c r="K487" s="202"/>
      <c r="L487" s="202"/>
      <c r="M487" s="202"/>
      <c r="N487" s="202"/>
      <c r="O487" s="202"/>
      <c r="P487" s="202"/>
      <c r="Q487" s="202"/>
      <c r="R487" s="203"/>
    </row>
    <row r="488" spans="1:18">
      <c r="A488" s="128"/>
      <c r="B488" s="131"/>
      <c r="C488" s="129"/>
      <c r="D488" s="129"/>
      <c r="E488" s="129"/>
      <c r="F488" s="132"/>
      <c r="G488" s="201"/>
      <c r="H488" s="202"/>
      <c r="I488" s="202"/>
      <c r="J488" s="202"/>
      <c r="K488" s="202"/>
      <c r="L488" s="202"/>
      <c r="M488" s="202"/>
      <c r="N488" s="202"/>
      <c r="O488" s="202"/>
      <c r="P488" s="202"/>
      <c r="Q488" s="202"/>
      <c r="R488" s="203"/>
    </row>
    <row r="489" spans="1:18">
      <c r="A489" s="128"/>
      <c r="B489" s="131"/>
      <c r="C489" s="129"/>
      <c r="D489" s="129"/>
      <c r="E489" s="129"/>
      <c r="F489" s="132"/>
      <c r="G489" s="201"/>
      <c r="H489" s="202"/>
      <c r="I489" s="202"/>
      <c r="J489" s="202"/>
      <c r="K489" s="202"/>
      <c r="L489" s="202"/>
      <c r="M489" s="202"/>
      <c r="N489" s="202"/>
      <c r="O489" s="202"/>
      <c r="P489" s="202"/>
      <c r="Q489" s="202"/>
      <c r="R489" s="203"/>
    </row>
    <row r="490" spans="1:18">
      <c r="A490" s="128"/>
      <c r="B490" s="131"/>
      <c r="C490" s="129"/>
      <c r="D490" s="129"/>
      <c r="E490" s="129"/>
      <c r="F490" s="132"/>
      <c r="G490" s="201"/>
      <c r="H490" s="202"/>
      <c r="I490" s="202"/>
      <c r="J490" s="202"/>
      <c r="K490" s="202"/>
      <c r="L490" s="202"/>
      <c r="M490" s="202"/>
      <c r="N490" s="202"/>
      <c r="O490" s="202"/>
      <c r="P490" s="202"/>
      <c r="Q490" s="202"/>
      <c r="R490" s="203"/>
    </row>
    <row r="491" spans="1:18">
      <c r="A491" s="128"/>
      <c r="B491" s="131"/>
      <c r="C491" s="129"/>
      <c r="D491" s="129"/>
      <c r="E491" s="129"/>
      <c r="F491" s="132"/>
      <c r="G491" s="201"/>
      <c r="H491" s="202"/>
      <c r="I491" s="202"/>
      <c r="J491" s="202"/>
      <c r="K491" s="202"/>
      <c r="L491" s="202"/>
      <c r="M491" s="202"/>
      <c r="N491" s="202"/>
      <c r="O491" s="202"/>
      <c r="P491" s="202"/>
      <c r="Q491" s="202"/>
      <c r="R491" s="203"/>
    </row>
    <row r="492" spans="1:18">
      <c r="A492" s="128"/>
      <c r="B492" s="131"/>
      <c r="C492" s="129"/>
      <c r="D492" s="129"/>
      <c r="E492" s="129"/>
      <c r="F492" s="132"/>
      <c r="G492" s="201"/>
      <c r="H492" s="202"/>
      <c r="I492" s="202"/>
      <c r="J492" s="202"/>
      <c r="K492" s="202"/>
      <c r="L492" s="202"/>
      <c r="M492" s="202"/>
      <c r="N492" s="202"/>
      <c r="O492" s="202"/>
      <c r="P492" s="202"/>
      <c r="Q492" s="202"/>
      <c r="R492" s="203"/>
    </row>
    <row r="493" spans="1:18">
      <c r="A493" s="128"/>
      <c r="B493" s="131"/>
      <c r="C493" s="129"/>
      <c r="D493" s="129"/>
      <c r="E493" s="129"/>
      <c r="F493" s="132"/>
      <c r="G493" s="201"/>
      <c r="H493" s="202"/>
      <c r="I493" s="202"/>
      <c r="J493" s="202"/>
      <c r="K493" s="202"/>
      <c r="L493" s="202"/>
      <c r="M493" s="202"/>
      <c r="N493" s="202"/>
      <c r="O493" s="202"/>
      <c r="P493" s="202"/>
      <c r="Q493" s="202"/>
      <c r="R493" s="203"/>
    </row>
    <row r="494" spans="1:18">
      <c r="A494" s="128"/>
      <c r="B494" s="131"/>
      <c r="C494" s="129"/>
      <c r="D494" s="129"/>
      <c r="E494" s="129"/>
      <c r="F494" s="132"/>
      <c r="G494" s="201"/>
      <c r="H494" s="202"/>
      <c r="I494" s="202"/>
      <c r="J494" s="202"/>
      <c r="K494" s="202"/>
      <c r="L494" s="202"/>
      <c r="M494" s="202"/>
      <c r="N494" s="202"/>
      <c r="O494" s="202"/>
      <c r="P494" s="202"/>
      <c r="Q494" s="202"/>
      <c r="R494" s="203"/>
    </row>
    <row r="495" spans="1:18">
      <c r="A495" s="128"/>
      <c r="B495" s="131"/>
      <c r="C495" s="129"/>
      <c r="D495" s="129"/>
      <c r="E495" s="129"/>
      <c r="F495" s="132"/>
      <c r="G495" s="201"/>
      <c r="H495" s="202"/>
      <c r="I495" s="202"/>
      <c r="J495" s="202"/>
      <c r="K495" s="202"/>
      <c r="L495" s="202"/>
      <c r="M495" s="202"/>
      <c r="N495" s="202"/>
      <c r="O495" s="202"/>
      <c r="P495" s="202"/>
      <c r="Q495" s="202"/>
      <c r="R495" s="203"/>
    </row>
    <row r="496" spans="1:18">
      <c r="A496" s="128"/>
      <c r="B496" s="131"/>
      <c r="C496" s="129"/>
      <c r="D496" s="129"/>
      <c r="E496" s="129"/>
      <c r="F496" s="132"/>
      <c r="G496" s="201"/>
      <c r="H496" s="202"/>
      <c r="I496" s="202"/>
      <c r="J496" s="202"/>
      <c r="K496" s="202"/>
      <c r="L496" s="202"/>
      <c r="M496" s="202"/>
      <c r="N496" s="202"/>
      <c r="O496" s="202"/>
      <c r="P496" s="202"/>
      <c r="Q496" s="202"/>
      <c r="R496" s="203"/>
    </row>
    <row r="497" spans="1:18">
      <c r="A497" s="128"/>
      <c r="B497" s="131"/>
      <c r="C497" s="129"/>
      <c r="D497" s="129"/>
      <c r="E497" s="129"/>
      <c r="F497" s="132"/>
      <c r="G497" s="201"/>
      <c r="H497" s="202"/>
      <c r="I497" s="202"/>
      <c r="J497" s="202"/>
      <c r="K497" s="202"/>
      <c r="L497" s="202"/>
      <c r="M497" s="202"/>
      <c r="N497" s="202"/>
      <c r="O497" s="202"/>
      <c r="P497" s="202"/>
      <c r="Q497" s="202"/>
      <c r="R497" s="203"/>
    </row>
    <row r="498" spans="1:18">
      <c r="A498" s="128"/>
      <c r="B498" s="131"/>
      <c r="C498" s="129"/>
      <c r="D498" s="129"/>
      <c r="E498" s="129"/>
      <c r="F498" s="132"/>
      <c r="G498" s="201"/>
      <c r="H498" s="202"/>
      <c r="I498" s="202"/>
      <c r="J498" s="202"/>
      <c r="K498" s="202"/>
      <c r="L498" s="202"/>
      <c r="M498" s="202"/>
      <c r="N498" s="202"/>
      <c r="O498" s="202"/>
      <c r="P498" s="202"/>
      <c r="Q498" s="202"/>
      <c r="R498" s="203"/>
    </row>
    <row r="499" spans="1:18">
      <c r="A499" s="128"/>
      <c r="B499" s="131"/>
      <c r="C499" s="129"/>
      <c r="D499" s="129"/>
      <c r="E499" s="129"/>
      <c r="F499" s="132"/>
      <c r="G499" s="201"/>
      <c r="H499" s="202"/>
      <c r="I499" s="202"/>
      <c r="J499" s="202"/>
      <c r="K499" s="202"/>
      <c r="L499" s="202"/>
      <c r="M499" s="202"/>
      <c r="N499" s="202"/>
      <c r="O499" s="202"/>
      <c r="P499" s="202"/>
      <c r="Q499" s="202"/>
      <c r="R499" s="203"/>
    </row>
    <row r="500" spans="1:18">
      <c r="A500" s="128"/>
      <c r="B500" s="131"/>
      <c r="C500" s="129"/>
      <c r="D500" s="129"/>
      <c r="E500" s="129"/>
      <c r="F500" s="132"/>
      <c r="G500" s="201"/>
      <c r="H500" s="202"/>
      <c r="I500" s="202"/>
      <c r="J500" s="202"/>
      <c r="K500" s="202"/>
      <c r="L500" s="202"/>
      <c r="M500" s="202"/>
      <c r="N500" s="202"/>
      <c r="O500" s="202"/>
      <c r="P500" s="202"/>
      <c r="Q500" s="202"/>
      <c r="R500" s="203"/>
    </row>
  </sheetData>
  <phoneticPr fontId="1"/>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30DC-B75B-4F04-B820-32BB77818045}">
  <dimension ref="A1:K42"/>
  <sheetViews>
    <sheetView workbookViewId="0">
      <selection activeCell="G18" sqref="G18"/>
    </sheetView>
  </sheetViews>
  <sheetFormatPr defaultRowHeight="18.75"/>
  <cols>
    <col min="1" max="1" width="12.875" bestFit="1" customWidth="1"/>
  </cols>
  <sheetData>
    <row r="1" spans="1:11">
      <c r="A1" t="s">
        <v>91</v>
      </c>
      <c r="B1">
        <v>5259</v>
      </c>
    </row>
    <row r="2" spans="1:11">
      <c r="A2" t="s">
        <v>9</v>
      </c>
      <c r="B2">
        <v>5279</v>
      </c>
      <c r="E2" t="s">
        <v>52</v>
      </c>
      <c r="J2" t="s">
        <v>71</v>
      </c>
    </row>
    <row r="3" spans="1:11">
      <c r="A3" t="s">
        <v>10</v>
      </c>
      <c r="B3">
        <v>5951</v>
      </c>
      <c r="E3" t="s">
        <v>53</v>
      </c>
      <c r="J3" s="23">
        <v>0.5</v>
      </c>
      <c r="K3" t="s">
        <v>92</v>
      </c>
    </row>
    <row r="4" spans="1:11">
      <c r="A4" t="s">
        <v>11</v>
      </c>
      <c r="B4">
        <v>6627</v>
      </c>
      <c r="E4" t="s">
        <v>54</v>
      </c>
      <c r="J4" s="23">
        <v>1</v>
      </c>
      <c r="K4" t="s">
        <v>9</v>
      </c>
    </row>
    <row r="5" spans="1:11">
      <c r="A5" t="s">
        <v>12</v>
      </c>
      <c r="B5">
        <v>7340</v>
      </c>
      <c r="E5" t="s">
        <v>55</v>
      </c>
      <c r="J5" s="23">
        <v>1.5</v>
      </c>
      <c r="K5" t="s">
        <v>10</v>
      </c>
    </row>
    <row r="6" spans="1:11">
      <c r="A6" t="s">
        <v>13</v>
      </c>
      <c r="B6">
        <v>9602</v>
      </c>
      <c r="E6" t="s">
        <v>56</v>
      </c>
      <c r="J6" s="23">
        <v>2</v>
      </c>
      <c r="K6" t="s">
        <v>11</v>
      </c>
    </row>
    <row r="7" spans="1:11">
      <c r="A7" t="s">
        <v>14</v>
      </c>
      <c r="B7">
        <v>10966</v>
      </c>
      <c r="E7" t="s">
        <v>57</v>
      </c>
      <c r="J7" s="23">
        <v>2.5</v>
      </c>
      <c r="K7" t="s">
        <v>12</v>
      </c>
    </row>
    <row r="8" spans="1:11">
      <c r="A8" t="s">
        <v>15</v>
      </c>
      <c r="B8">
        <v>12329</v>
      </c>
      <c r="E8" t="s">
        <v>58</v>
      </c>
      <c r="J8" s="23">
        <v>3</v>
      </c>
      <c r="K8" t="s">
        <v>13</v>
      </c>
    </row>
    <row r="9" spans="1:11">
      <c r="A9" t="s">
        <v>16</v>
      </c>
      <c r="B9">
        <v>13693</v>
      </c>
      <c r="E9" t="s">
        <v>59</v>
      </c>
      <c r="J9" s="23">
        <v>3.5</v>
      </c>
      <c r="K9" t="s">
        <v>14</v>
      </c>
    </row>
    <row r="10" spans="1:11">
      <c r="A10" t="s">
        <v>17</v>
      </c>
      <c r="B10">
        <v>15056</v>
      </c>
      <c r="E10" t="s">
        <v>60</v>
      </c>
      <c r="J10" s="23">
        <v>4</v>
      </c>
      <c r="K10" t="s">
        <v>15</v>
      </c>
    </row>
    <row r="11" spans="1:11">
      <c r="A11" t="s">
        <v>18</v>
      </c>
      <c r="B11">
        <v>15205</v>
      </c>
      <c r="E11" t="s">
        <v>85</v>
      </c>
      <c r="J11" s="23">
        <v>4.5</v>
      </c>
      <c r="K11" t="s">
        <v>16</v>
      </c>
    </row>
    <row r="12" spans="1:11">
      <c r="A12" t="s">
        <v>19</v>
      </c>
      <c r="B12">
        <v>15600</v>
      </c>
      <c r="E12" t="s">
        <v>725</v>
      </c>
      <c r="J12" s="23">
        <v>5</v>
      </c>
      <c r="K12" t="s">
        <v>17</v>
      </c>
    </row>
    <row r="13" spans="1:11">
      <c r="A13" t="s">
        <v>20</v>
      </c>
      <c r="B13">
        <v>15997</v>
      </c>
      <c r="E13" t="s">
        <v>726</v>
      </c>
      <c r="J13" s="23">
        <v>5.5</v>
      </c>
      <c r="K13" t="s">
        <v>18</v>
      </c>
    </row>
    <row r="14" spans="1:11">
      <c r="A14" t="s">
        <v>21</v>
      </c>
      <c r="B14">
        <v>16392</v>
      </c>
      <c r="E14" t="s">
        <v>894</v>
      </c>
      <c r="J14" s="23">
        <v>6</v>
      </c>
      <c r="K14" t="s">
        <v>19</v>
      </c>
    </row>
    <row r="15" spans="1:11">
      <c r="A15" t="s">
        <v>22</v>
      </c>
      <c r="B15">
        <v>16789</v>
      </c>
      <c r="E15" t="s">
        <v>1109</v>
      </c>
      <c r="J15" s="23">
        <v>6.5</v>
      </c>
      <c r="K15" t="s">
        <v>20</v>
      </c>
    </row>
    <row r="16" spans="1:11">
      <c r="A16" t="s">
        <v>23</v>
      </c>
      <c r="B16">
        <v>17184</v>
      </c>
      <c r="E16" t="s">
        <v>1186</v>
      </c>
      <c r="J16" s="23">
        <v>7</v>
      </c>
      <c r="K16" t="s">
        <v>21</v>
      </c>
    </row>
    <row r="17" spans="1:11">
      <c r="A17" t="s">
        <v>24</v>
      </c>
      <c r="B17">
        <v>17581</v>
      </c>
      <c r="E17" t="s">
        <v>1193</v>
      </c>
      <c r="J17" s="23">
        <v>7.5</v>
      </c>
      <c r="K17" t="s">
        <v>22</v>
      </c>
    </row>
    <row r="18" spans="1:11">
      <c r="A18" t="s">
        <v>25</v>
      </c>
      <c r="B18">
        <v>17976</v>
      </c>
      <c r="E18" t="s">
        <v>1257</v>
      </c>
      <c r="J18" s="23">
        <v>8</v>
      </c>
      <c r="K18" t="s">
        <v>23</v>
      </c>
    </row>
    <row r="19" spans="1:11">
      <c r="A19" t="s">
        <v>26</v>
      </c>
      <c r="B19">
        <v>18373</v>
      </c>
      <c r="E19" t="s">
        <v>60</v>
      </c>
      <c r="J19" s="23">
        <v>8.5</v>
      </c>
      <c r="K19" t="s">
        <v>24</v>
      </c>
    </row>
    <row r="20" spans="1:11">
      <c r="A20" t="s">
        <v>27</v>
      </c>
      <c r="B20">
        <v>18768</v>
      </c>
      <c r="E20" t="s">
        <v>1737</v>
      </c>
      <c r="J20" s="23">
        <v>9</v>
      </c>
      <c r="K20" t="s">
        <v>25</v>
      </c>
    </row>
    <row r="21" spans="1:11">
      <c r="A21" t="s">
        <v>28</v>
      </c>
      <c r="B21">
        <v>23054</v>
      </c>
      <c r="E21" t="s">
        <v>1851</v>
      </c>
      <c r="J21" s="23">
        <v>9.5</v>
      </c>
      <c r="K21" t="s">
        <v>26</v>
      </c>
    </row>
    <row r="22" spans="1:11">
      <c r="A22" t="s">
        <v>29</v>
      </c>
      <c r="B22">
        <v>23489</v>
      </c>
      <c r="E22" t="s">
        <v>2742</v>
      </c>
      <c r="J22" s="23">
        <v>10</v>
      </c>
      <c r="K22" t="s">
        <v>27</v>
      </c>
    </row>
    <row r="23" spans="1:11">
      <c r="A23" t="s">
        <v>30</v>
      </c>
      <c r="B23">
        <v>23921</v>
      </c>
      <c r="E23" t="s">
        <v>2868</v>
      </c>
      <c r="J23" s="23">
        <v>10.5</v>
      </c>
      <c r="K23" t="s">
        <v>28</v>
      </c>
    </row>
    <row r="24" spans="1:11">
      <c r="A24" t="s">
        <v>31</v>
      </c>
      <c r="B24">
        <v>24354</v>
      </c>
      <c r="E24" t="s">
        <v>2875</v>
      </c>
      <c r="J24" s="23">
        <v>11</v>
      </c>
      <c r="K24" t="s">
        <v>29</v>
      </c>
    </row>
    <row r="25" spans="1:11">
      <c r="A25" t="s">
        <v>32</v>
      </c>
      <c r="B25">
        <v>24787</v>
      </c>
      <c r="J25" s="23">
        <v>11.5</v>
      </c>
      <c r="K25" t="s">
        <v>30</v>
      </c>
    </row>
    <row r="26" spans="1:11">
      <c r="A26" t="s">
        <v>33</v>
      </c>
      <c r="B26">
        <v>25220</v>
      </c>
      <c r="J26" s="23">
        <v>12</v>
      </c>
      <c r="K26" t="s">
        <v>31</v>
      </c>
    </row>
    <row r="27" spans="1:11">
      <c r="A27" t="s">
        <v>34</v>
      </c>
      <c r="B27">
        <v>25654</v>
      </c>
      <c r="J27" s="23">
        <v>12.5</v>
      </c>
      <c r="K27" t="s">
        <v>32</v>
      </c>
    </row>
    <row r="28" spans="1:11">
      <c r="A28" t="s">
        <v>35</v>
      </c>
      <c r="B28">
        <v>26087</v>
      </c>
      <c r="J28" s="23">
        <v>13</v>
      </c>
      <c r="K28" t="s">
        <v>33</v>
      </c>
    </row>
    <row r="29" spans="1:11">
      <c r="A29" t="s">
        <v>36</v>
      </c>
      <c r="B29">
        <v>26519</v>
      </c>
      <c r="J29" s="23">
        <v>13.5</v>
      </c>
      <c r="K29" t="s">
        <v>34</v>
      </c>
    </row>
    <row r="30" spans="1:11">
      <c r="A30" t="s">
        <v>37</v>
      </c>
      <c r="B30">
        <v>26952</v>
      </c>
      <c r="J30" s="23">
        <v>14</v>
      </c>
      <c r="K30" t="s">
        <v>35</v>
      </c>
    </row>
    <row r="31" spans="1:11">
      <c r="A31" t="s">
        <v>38</v>
      </c>
      <c r="B31">
        <v>27385</v>
      </c>
      <c r="J31" s="23">
        <v>14.5</v>
      </c>
      <c r="K31" t="s">
        <v>36</v>
      </c>
    </row>
    <row r="32" spans="1:11">
      <c r="A32" t="s">
        <v>39</v>
      </c>
      <c r="B32">
        <v>27819</v>
      </c>
      <c r="J32" s="23">
        <v>15</v>
      </c>
      <c r="K32" t="s">
        <v>37</v>
      </c>
    </row>
    <row r="33" spans="1:11">
      <c r="A33" t="s">
        <v>40</v>
      </c>
      <c r="B33">
        <v>28252</v>
      </c>
      <c r="J33" s="23">
        <v>15.5</v>
      </c>
      <c r="K33" t="s">
        <v>38</v>
      </c>
    </row>
    <row r="34" spans="1:11">
      <c r="A34" t="s">
        <v>41</v>
      </c>
      <c r="B34">
        <v>28685</v>
      </c>
      <c r="J34" s="23">
        <v>16</v>
      </c>
      <c r="K34" t="s">
        <v>39</v>
      </c>
    </row>
    <row r="35" spans="1:11">
      <c r="A35" t="s">
        <v>42</v>
      </c>
      <c r="B35">
        <v>29117</v>
      </c>
      <c r="J35" s="23">
        <v>16.5</v>
      </c>
      <c r="K35" t="s">
        <v>40</v>
      </c>
    </row>
    <row r="36" spans="1:11">
      <c r="A36" t="s">
        <v>43</v>
      </c>
      <c r="B36">
        <v>29550</v>
      </c>
      <c r="J36" s="23">
        <v>17</v>
      </c>
      <c r="K36" t="s">
        <v>41</v>
      </c>
    </row>
    <row r="37" spans="1:11">
      <c r="A37" t="s">
        <v>44</v>
      </c>
      <c r="B37">
        <v>29984</v>
      </c>
      <c r="J37" s="23">
        <v>17.5</v>
      </c>
      <c r="K37" t="s">
        <v>42</v>
      </c>
    </row>
    <row r="38" spans="1:11">
      <c r="A38" t="s">
        <v>45</v>
      </c>
      <c r="B38">
        <v>30417</v>
      </c>
      <c r="J38" s="23">
        <v>18</v>
      </c>
      <c r="K38" t="s">
        <v>43</v>
      </c>
    </row>
    <row r="39" spans="1:11">
      <c r="A39" t="s">
        <v>46</v>
      </c>
      <c r="B39">
        <v>30850</v>
      </c>
      <c r="J39" s="23">
        <v>18.5</v>
      </c>
      <c r="K39" t="s">
        <v>44</v>
      </c>
    </row>
    <row r="40" spans="1:11">
      <c r="A40" t="s">
        <v>47</v>
      </c>
      <c r="B40">
        <v>31283</v>
      </c>
      <c r="J40" s="23">
        <v>19</v>
      </c>
      <c r="K40" t="s">
        <v>45</v>
      </c>
    </row>
    <row r="41" spans="1:11">
      <c r="J41" s="23">
        <v>19.5</v>
      </c>
      <c r="K41" t="s">
        <v>46</v>
      </c>
    </row>
    <row r="42" spans="1:11">
      <c r="J42" s="23">
        <v>20</v>
      </c>
      <c r="K42" t="s">
        <v>47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B557-2DBB-4F38-803B-2ED29880703D}">
  <dimension ref="A1:B5"/>
  <sheetViews>
    <sheetView workbookViewId="0">
      <selection activeCell="B29" sqref="B29"/>
    </sheetView>
  </sheetViews>
  <sheetFormatPr defaultRowHeight="18.75"/>
  <cols>
    <col min="1" max="1" width="19.5" style="68" bestFit="1" customWidth="1"/>
    <col min="2" max="2" width="101.75" style="68" bestFit="1" customWidth="1"/>
  </cols>
  <sheetData>
    <row r="1" spans="1:2">
      <c r="A1" s="98" t="s">
        <v>174</v>
      </c>
      <c r="B1" s="98" t="s">
        <v>173</v>
      </c>
    </row>
    <row r="2" spans="1:2">
      <c r="A2" s="77" t="s">
        <v>100</v>
      </c>
      <c r="B2" s="77" t="s">
        <v>172</v>
      </c>
    </row>
    <row r="3" spans="1:2">
      <c r="A3" s="77" t="s">
        <v>101</v>
      </c>
      <c r="B3" s="77" t="s">
        <v>171</v>
      </c>
    </row>
    <row r="4" spans="1:2">
      <c r="A4" s="77" t="s">
        <v>170</v>
      </c>
      <c r="B4" s="77" t="s">
        <v>169</v>
      </c>
    </row>
    <row r="5" spans="1:2">
      <c r="A5" s="77" t="s">
        <v>168</v>
      </c>
      <c r="B5" s="77" t="s">
        <v>167</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DC35-6037-44B7-B6C3-72CA257B89D3}">
  <dimension ref="A1:B6"/>
  <sheetViews>
    <sheetView workbookViewId="0">
      <selection activeCell="B2" sqref="B2:B6"/>
    </sheetView>
  </sheetViews>
  <sheetFormatPr defaultRowHeight="18.75"/>
  <sheetData>
    <row r="1" spans="1:2">
      <c r="A1" t="s">
        <v>103</v>
      </c>
    </row>
    <row r="2" spans="1:2">
      <c r="A2" t="s">
        <v>100</v>
      </c>
      <c r="B2" t="s">
        <v>95</v>
      </c>
    </row>
    <row r="3" spans="1:2">
      <c r="A3" t="s">
        <v>101</v>
      </c>
      <c r="B3" t="s">
        <v>96</v>
      </c>
    </row>
    <row r="4" spans="1:2">
      <c r="A4" t="s">
        <v>89</v>
      </c>
      <c r="B4" t="s">
        <v>97</v>
      </c>
    </row>
    <row r="5" spans="1:2">
      <c r="A5" t="s">
        <v>102</v>
      </c>
      <c r="B5" t="s">
        <v>98</v>
      </c>
    </row>
    <row r="6" spans="1:2">
      <c r="A6" t="s">
        <v>93</v>
      </c>
      <c r="B6" t="s">
        <v>99</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FCAD-7459-4651-8F30-6EECA6D1CFCA}">
  <dimension ref="A1:AF201"/>
  <sheetViews>
    <sheetView zoomScale="80" zoomScaleNormal="80" workbookViewId="0">
      <selection activeCell="U25" sqref="U25:U28"/>
    </sheetView>
  </sheetViews>
  <sheetFormatPr defaultRowHeight="18.75"/>
  <cols>
    <col min="2" max="2" width="43.25" style="122" bestFit="1" customWidth="1"/>
    <col min="3" max="3" width="10.5" style="122" bestFit="1" customWidth="1"/>
    <col min="4" max="4" width="11.25" style="122" bestFit="1" customWidth="1"/>
    <col min="5" max="5" width="12.125" style="122" bestFit="1" customWidth="1"/>
    <col min="6" max="6" width="7.5" style="122" bestFit="1" customWidth="1"/>
    <col min="7" max="7" width="9" style="147" bestFit="1" customWidth="1"/>
    <col min="8" max="8" width="8.375" style="151" bestFit="1" customWidth="1"/>
    <col min="9" max="9" width="13" style="166" bestFit="1" customWidth="1"/>
    <col min="10" max="10" width="9" style="178"/>
    <col min="11" max="11" width="10.25" style="196" customWidth="1"/>
    <col min="12" max="14" width="10.25" style="127" customWidth="1"/>
    <col min="15" max="15" width="10.25" style="197" customWidth="1"/>
    <col min="16" max="16" width="9" style="184"/>
    <col min="17" max="19" width="9" style="127"/>
    <col min="20" max="20" width="11.25" style="167" customWidth="1"/>
    <col min="21" max="21" width="11.25" style="157" customWidth="1"/>
    <col min="22" max="22" width="17.125" style="221" bestFit="1" customWidth="1"/>
  </cols>
  <sheetData>
    <row r="1" spans="1:32" ht="19.5" thickBot="1">
      <c r="A1" s="168"/>
      <c r="B1" s="169" t="s">
        <v>86</v>
      </c>
      <c r="C1" s="169" t="s">
        <v>109</v>
      </c>
      <c r="D1" s="169" t="s">
        <v>76</v>
      </c>
      <c r="E1" s="169" t="s">
        <v>733</v>
      </c>
      <c r="F1" s="169" t="s">
        <v>72</v>
      </c>
      <c r="G1" s="170" t="s">
        <v>75</v>
      </c>
      <c r="H1" s="171" t="s">
        <v>74</v>
      </c>
      <c r="I1" s="172" t="s">
        <v>62</v>
      </c>
      <c r="J1" s="171" t="s">
        <v>64</v>
      </c>
      <c r="K1" s="185" t="s">
        <v>728</v>
      </c>
      <c r="L1" s="186" t="s">
        <v>729</v>
      </c>
      <c r="M1" s="186" t="s">
        <v>730</v>
      </c>
      <c r="N1" s="186" t="s">
        <v>746</v>
      </c>
      <c r="O1" s="187" t="s">
        <v>747</v>
      </c>
      <c r="P1" s="179" t="s">
        <v>100</v>
      </c>
      <c r="Q1" s="169" t="s">
        <v>101</v>
      </c>
      <c r="R1" s="169" t="s">
        <v>89</v>
      </c>
      <c r="S1" s="169" t="s">
        <v>102</v>
      </c>
      <c r="T1" s="173" t="s">
        <v>93</v>
      </c>
      <c r="U1" s="152" t="s">
        <v>718</v>
      </c>
      <c r="V1" s="224" t="s">
        <v>2011</v>
      </c>
      <c r="AB1" t="s">
        <v>2010</v>
      </c>
      <c r="AE1" t="s">
        <v>3282</v>
      </c>
    </row>
    <row r="2" spans="1:32" ht="19.5" thickTop="1">
      <c r="A2" s="116">
        <v>1</v>
      </c>
      <c r="B2" s="119" t="s">
        <v>2518</v>
      </c>
      <c r="C2" s="226">
        <v>12000</v>
      </c>
      <c r="D2" s="119">
        <v>177.9</v>
      </c>
      <c r="E2" s="119" t="s">
        <v>10</v>
      </c>
      <c r="F2" s="119"/>
      <c r="G2" s="144"/>
      <c r="H2" s="148"/>
      <c r="I2" s="158" t="s">
        <v>2519</v>
      </c>
      <c r="J2" s="174" t="s">
        <v>2520</v>
      </c>
      <c r="K2" s="188" t="s">
        <v>2521</v>
      </c>
      <c r="L2" s="123" t="s">
        <v>2522</v>
      </c>
      <c r="M2" s="188" t="s">
        <v>2523</v>
      </c>
      <c r="N2" s="123" t="s">
        <v>2524</v>
      </c>
      <c r="O2" s="189" t="s">
        <v>2525</v>
      </c>
      <c r="P2" s="180" t="s">
        <v>2526</v>
      </c>
      <c r="Q2" s="123" t="s">
        <v>2527</v>
      </c>
      <c r="R2" s="123" t="s">
        <v>2528</v>
      </c>
      <c r="S2" s="123" t="s">
        <v>2529</v>
      </c>
      <c r="T2" s="159" t="s">
        <v>2530</v>
      </c>
      <c r="U2" s="153"/>
      <c r="V2" s="221" t="s">
        <v>53</v>
      </c>
      <c r="AB2" t="s">
        <v>1851</v>
      </c>
      <c r="AE2" t="s">
        <v>3280</v>
      </c>
      <c r="AF2" t="s">
        <v>3281</v>
      </c>
    </row>
    <row r="3" spans="1:32">
      <c r="A3" s="117">
        <v>2</v>
      </c>
      <c r="B3" s="120" t="s">
        <v>2531</v>
      </c>
      <c r="C3" s="227">
        <v>3960</v>
      </c>
      <c r="D3" s="120">
        <v>93.9</v>
      </c>
      <c r="E3" s="120" t="s">
        <v>10</v>
      </c>
      <c r="F3" s="120"/>
      <c r="G3" s="145"/>
      <c r="H3" s="149"/>
      <c r="I3" s="160" t="s">
        <v>2532</v>
      </c>
      <c r="J3" s="175" t="s">
        <v>2533</v>
      </c>
      <c r="K3" s="190" t="s">
        <v>2534</v>
      </c>
      <c r="L3" s="124"/>
      <c r="M3" s="124"/>
      <c r="N3" s="124"/>
      <c r="O3" s="191"/>
      <c r="P3" s="181" t="s">
        <v>2535</v>
      </c>
      <c r="Q3" s="124" t="s">
        <v>2536</v>
      </c>
      <c r="R3" s="124" t="s">
        <v>2537</v>
      </c>
      <c r="S3" s="124" t="s">
        <v>2538</v>
      </c>
      <c r="T3" s="161" t="s">
        <v>2539</v>
      </c>
      <c r="U3" s="154"/>
      <c r="V3" s="222" t="s">
        <v>60</v>
      </c>
      <c r="AB3" t="s">
        <v>60</v>
      </c>
    </row>
    <row r="4" spans="1:32">
      <c r="A4" s="207">
        <v>3</v>
      </c>
      <c r="B4" s="208" t="s">
        <v>2540</v>
      </c>
      <c r="C4" s="228">
        <v>22222</v>
      </c>
      <c r="D4" s="208">
        <v>328.9</v>
      </c>
      <c r="E4" s="208" t="s">
        <v>10</v>
      </c>
      <c r="F4" s="208"/>
      <c r="G4" s="209"/>
      <c r="H4" s="210"/>
      <c r="I4" s="211" t="s">
        <v>2541</v>
      </c>
      <c r="J4" s="212" t="s">
        <v>2542</v>
      </c>
      <c r="K4" s="213" t="s">
        <v>2543</v>
      </c>
      <c r="L4" s="214" t="s">
        <v>2544</v>
      </c>
      <c r="M4" s="214" t="s">
        <v>2545</v>
      </c>
      <c r="N4" s="214" t="s">
        <v>2546</v>
      </c>
      <c r="O4" s="215"/>
      <c r="P4" s="216" t="s">
        <v>2547</v>
      </c>
      <c r="Q4" s="214" t="s">
        <v>2548</v>
      </c>
      <c r="R4" s="214" t="s">
        <v>2549</v>
      </c>
      <c r="S4" s="214" t="s">
        <v>2550</v>
      </c>
      <c r="T4" s="217" t="s">
        <v>2551</v>
      </c>
      <c r="U4" s="153"/>
      <c r="V4" s="222" t="s">
        <v>53</v>
      </c>
      <c r="AB4" t="s">
        <v>54</v>
      </c>
    </row>
    <row r="5" spans="1:32">
      <c r="A5" s="207">
        <v>4</v>
      </c>
      <c r="B5" s="208" t="s">
        <v>2552</v>
      </c>
      <c r="C5" s="228">
        <v>10500</v>
      </c>
      <c r="D5" s="208">
        <v>197.9</v>
      </c>
      <c r="E5" s="208" t="s">
        <v>10</v>
      </c>
      <c r="F5" s="208"/>
      <c r="G5" s="209"/>
      <c r="H5" s="210"/>
      <c r="I5" s="211" t="s">
        <v>2553</v>
      </c>
      <c r="J5" s="212" t="s">
        <v>2554</v>
      </c>
      <c r="K5" s="213" t="s">
        <v>2555</v>
      </c>
      <c r="L5" s="214"/>
      <c r="M5" s="214"/>
      <c r="N5" s="214"/>
      <c r="O5" s="215"/>
      <c r="P5" s="216" t="s">
        <v>2556</v>
      </c>
      <c r="Q5" s="214" t="s">
        <v>2557</v>
      </c>
      <c r="R5" s="214" t="s">
        <v>2558</v>
      </c>
      <c r="S5" s="214" t="s">
        <v>2559</v>
      </c>
      <c r="T5" s="217" t="s">
        <v>2560</v>
      </c>
      <c r="U5" s="154"/>
      <c r="V5" s="222" t="s">
        <v>58</v>
      </c>
      <c r="AB5" t="s">
        <v>58</v>
      </c>
    </row>
    <row r="6" spans="1:32">
      <c r="A6" s="117">
        <v>5</v>
      </c>
      <c r="B6" s="120" t="s">
        <v>2561</v>
      </c>
      <c r="C6" s="227">
        <v>11580</v>
      </c>
      <c r="D6" s="120">
        <v>173.9</v>
      </c>
      <c r="E6" s="120" t="s">
        <v>10</v>
      </c>
      <c r="F6" s="120"/>
      <c r="G6" s="145"/>
      <c r="H6" s="149"/>
      <c r="I6" s="160" t="s">
        <v>2562</v>
      </c>
      <c r="J6" s="175" t="s">
        <v>2563</v>
      </c>
      <c r="K6" s="190" t="s">
        <v>2564</v>
      </c>
      <c r="L6" s="124"/>
      <c r="M6" s="124"/>
      <c r="N6" s="124"/>
      <c r="O6" s="191"/>
      <c r="P6" s="181" t="s">
        <v>2565</v>
      </c>
      <c r="Q6" s="124" t="s">
        <v>2566</v>
      </c>
      <c r="R6" s="124" t="s">
        <v>2567</v>
      </c>
      <c r="S6" s="124" t="s">
        <v>2568</v>
      </c>
      <c r="T6" s="161" t="s">
        <v>2569</v>
      </c>
      <c r="U6" s="153"/>
      <c r="V6" s="222" t="s">
        <v>57</v>
      </c>
      <c r="AB6" t="s">
        <v>1186</v>
      </c>
    </row>
    <row r="7" spans="1:32">
      <c r="A7" s="117">
        <v>6</v>
      </c>
      <c r="B7" s="120" t="s">
        <v>2570</v>
      </c>
      <c r="C7" s="227">
        <v>7900</v>
      </c>
      <c r="D7" s="120">
        <v>135.9</v>
      </c>
      <c r="E7" s="120" t="s">
        <v>10</v>
      </c>
      <c r="F7" s="120"/>
      <c r="G7" s="145"/>
      <c r="H7" s="149"/>
      <c r="I7" s="160" t="s">
        <v>2571</v>
      </c>
      <c r="J7" s="175" t="s">
        <v>2572</v>
      </c>
      <c r="K7" s="190" t="s">
        <v>2573</v>
      </c>
      <c r="L7" s="124" t="s">
        <v>2574</v>
      </c>
      <c r="M7" s="124"/>
      <c r="N7" s="124"/>
      <c r="O7" s="191"/>
      <c r="P7" s="181" t="s">
        <v>2575</v>
      </c>
      <c r="Q7" s="124" t="s">
        <v>2576</v>
      </c>
      <c r="R7" s="124" t="s">
        <v>2577</v>
      </c>
      <c r="S7" s="124" t="s">
        <v>2578</v>
      </c>
      <c r="T7" s="161" t="s">
        <v>2579</v>
      </c>
      <c r="U7" s="154"/>
      <c r="V7" s="222" t="s">
        <v>57</v>
      </c>
      <c r="AB7" t="s">
        <v>55</v>
      </c>
    </row>
    <row r="8" spans="1:32">
      <c r="A8" s="207">
        <v>7</v>
      </c>
      <c r="B8" s="208" t="s">
        <v>2580</v>
      </c>
      <c r="C8" s="228">
        <v>2000</v>
      </c>
      <c r="D8" s="208">
        <v>70.900000000000006</v>
      </c>
      <c r="E8" s="208" t="s">
        <v>10</v>
      </c>
      <c r="F8" s="208"/>
      <c r="G8" s="209"/>
      <c r="H8" s="210"/>
      <c r="I8" s="211" t="s">
        <v>2581</v>
      </c>
      <c r="J8" s="212" t="s">
        <v>2582</v>
      </c>
      <c r="K8" s="213" t="s">
        <v>2583</v>
      </c>
      <c r="L8" s="214" t="s">
        <v>2584</v>
      </c>
      <c r="M8" s="214" t="s">
        <v>2585</v>
      </c>
      <c r="N8" s="214"/>
      <c r="O8" s="215"/>
      <c r="P8" s="216" t="s">
        <v>2586</v>
      </c>
      <c r="Q8" s="214" t="s">
        <v>2587</v>
      </c>
      <c r="R8" s="214" t="s">
        <v>2588</v>
      </c>
      <c r="S8" s="214" t="s">
        <v>2589</v>
      </c>
      <c r="T8" s="217" t="s">
        <v>2590</v>
      </c>
      <c r="U8" s="153"/>
      <c r="V8" s="222" t="s">
        <v>60</v>
      </c>
      <c r="AB8" t="s">
        <v>57</v>
      </c>
    </row>
    <row r="9" spans="1:32">
      <c r="A9" s="207">
        <v>8</v>
      </c>
      <c r="B9" s="208" t="s">
        <v>2591</v>
      </c>
      <c r="C9" s="228">
        <v>2600</v>
      </c>
      <c r="D9" s="208">
        <v>103.95</v>
      </c>
      <c r="E9" s="208" t="s">
        <v>11</v>
      </c>
      <c r="F9" s="208"/>
      <c r="G9" s="209"/>
      <c r="H9" s="210"/>
      <c r="I9" s="211" t="s">
        <v>2592</v>
      </c>
      <c r="J9" s="212" t="s">
        <v>2593</v>
      </c>
      <c r="K9" s="213" t="s">
        <v>2594</v>
      </c>
      <c r="L9" s="214" t="s">
        <v>2595</v>
      </c>
      <c r="M9" s="214" t="s">
        <v>2596</v>
      </c>
      <c r="N9" s="214"/>
      <c r="O9" s="215"/>
      <c r="P9" s="216" t="s">
        <v>2597</v>
      </c>
      <c r="Q9" s="214" t="s">
        <v>2598</v>
      </c>
      <c r="R9" s="214" t="s">
        <v>2599</v>
      </c>
      <c r="S9" s="214" t="s">
        <v>2600</v>
      </c>
      <c r="T9" s="217" t="s">
        <v>2601</v>
      </c>
      <c r="U9" s="155"/>
      <c r="V9" s="222" t="s">
        <v>53</v>
      </c>
      <c r="AB9" t="s">
        <v>3110</v>
      </c>
    </row>
    <row r="10" spans="1:32">
      <c r="A10" s="117">
        <v>9</v>
      </c>
      <c r="B10" s="120" t="s">
        <v>2602</v>
      </c>
      <c r="C10" s="227">
        <v>8180</v>
      </c>
      <c r="D10" s="120">
        <v>148.9</v>
      </c>
      <c r="E10" s="120" t="s">
        <v>11</v>
      </c>
      <c r="F10" s="120"/>
      <c r="G10" s="145"/>
      <c r="H10" s="149"/>
      <c r="I10" s="160" t="s">
        <v>2603</v>
      </c>
      <c r="J10" s="175" t="s">
        <v>2604</v>
      </c>
      <c r="K10" s="190" t="s">
        <v>2605</v>
      </c>
      <c r="L10" s="124" t="s">
        <v>2606</v>
      </c>
      <c r="M10" s="124"/>
      <c r="N10" s="124"/>
      <c r="O10" s="191"/>
      <c r="P10" s="181" t="s">
        <v>2607</v>
      </c>
      <c r="Q10" s="124" t="s">
        <v>2608</v>
      </c>
      <c r="R10" s="124" t="s">
        <v>2609</v>
      </c>
      <c r="S10" s="124" t="s">
        <v>2610</v>
      </c>
      <c r="T10" s="161" t="s">
        <v>2611</v>
      </c>
      <c r="U10" s="155"/>
      <c r="V10" s="222" t="s">
        <v>53</v>
      </c>
      <c r="AB10" t="s">
        <v>1737</v>
      </c>
    </row>
    <row r="11" spans="1:32">
      <c r="A11" s="117">
        <v>10</v>
      </c>
      <c r="B11" s="120" t="s">
        <v>2612</v>
      </c>
      <c r="C11" s="227">
        <v>6100</v>
      </c>
      <c r="D11" s="120">
        <v>129.9</v>
      </c>
      <c r="E11" s="120" t="s">
        <v>10</v>
      </c>
      <c r="F11" s="120"/>
      <c r="G11" s="145"/>
      <c r="H11" s="149"/>
      <c r="I11" s="160" t="s">
        <v>2613</v>
      </c>
      <c r="J11" s="175" t="s">
        <v>2614</v>
      </c>
      <c r="K11" s="190" t="s">
        <v>2615</v>
      </c>
      <c r="L11" s="124"/>
      <c r="M11" s="124"/>
      <c r="N11" s="124"/>
      <c r="O11" s="191"/>
      <c r="P11" s="181" t="s">
        <v>2616</v>
      </c>
      <c r="Q11" s="124" t="s">
        <v>2617</v>
      </c>
      <c r="R11" s="124" t="s">
        <v>2618</v>
      </c>
      <c r="S11" s="124" t="s">
        <v>2619</v>
      </c>
      <c r="T11" s="161" t="s">
        <v>2620</v>
      </c>
      <c r="U11" s="155"/>
      <c r="V11" s="222" t="s">
        <v>53</v>
      </c>
      <c r="AB11" t="s">
        <v>1193</v>
      </c>
    </row>
    <row r="12" spans="1:32">
      <c r="A12" s="207">
        <v>11</v>
      </c>
      <c r="B12" s="208" t="s">
        <v>2639</v>
      </c>
      <c r="C12" s="228">
        <v>25200</v>
      </c>
      <c r="D12" s="208">
        <v>304.89999999999998</v>
      </c>
      <c r="E12" s="208" t="s">
        <v>10</v>
      </c>
      <c r="F12" s="208"/>
      <c r="G12" s="209"/>
      <c r="H12" s="210"/>
      <c r="I12" s="211" t="s">
        <v>2640</v>
      </c>
      <c r="J12" s="212" t="s">
        <v>2641</v>
      </c>
      <c r="K12" s="213" t="s">
        <v>2642</v>
      </c>
      <c r="L12" s="214" t="s">
        <v>2643</v>
      </c>
      <c r="M12" s="214"/>
      <c r="N12" s="214"/>
      <c r="O12" s="215"/>
      <c r="P12" s="216" t="s">
        <v>2644</v>
      </c>
      <c r="Q12" s="214" t="s">
        <v>2645</v>
      </c>
      <c r="R12" s="214" t="s">
        <v>2646</v>
      </c>
      <c r="S12" s="214" t="s">
        <v>2647</v>
      </c>
      <c r="T12" s="217" t="s">
        <v>2648</v>
      </c>
      <c r="U12" s="155"/>
      <c r="V12" s="222" t="s">
        <v>54</v>
      </c>
      <c r="AB12" t="s">
        <v>3280</v>
      </c>
    </row>
    <row r="13" spans="1:32">
      <c r="A13" s="207">
        <v>12</v>
      </c>
      <c r="B13" s="208" t="s">
        <v>2649</v>
      </c>
      <c r="C13" s="228">
        <v>14800</v>
      </c>
      <c r="D13" s="208">
        <v>205.9</v>
      </c>
      <c r="E13" s="208" t="s">
        <v>10</v>
      </c>
      <c r="F13" s="208"/>
      <c r="G13" s="209"/>
      <c r="H13" s="210"/>
      <c r="I13" s="211" t="s">
        <v>2650</v>
      </c>
      <c r="J13" s="212" t="s">
        <v>2651</v>
      </c>
      <c r="K13" s="213" t="s">
        <v>2652</v>
      </c>
      <c r="L13" s="214" t="s">
        <v>2653</v>
      </c>
      <c r="M13" s="214"/>
      <c r="N13" s="214"/>
      <c r="O13" s="215"/>
      <c r="P13" s="216" t="s">
        <v>2654</v>
      </c>
      <c r="Q13" s="214" t="s">
        <v>2655</v>
      </c>
      <c r="R13" s="214" t="s">
        <v>2656</v>
      </c>
      <c r="S13" s="214" t="s">
        <v>2657</v>
      </c>
      <c r="T13" s="217" t="s">
        <v>2658</v>
      </c>
      <c r="U13" s="155"/>
      <c r="V13" s="222" t="s">
        <v>53</v>
      </c>
      <c r="AB13" t="s">
        <v>894</v>
      </c>
    </row>
    <row r="14" spans="1:32">
      <c r="A14" s="117">
        <v>13</v>
      </c>
      <c r="B14" s="120" t="s">
        <v>2659</v>
      </c>
      <c r="C14" s="227">
        <v>17326</v>
      </c>
      <c r="D14" s="120">
        <v>224.9</v>
      </c>
      <c r="E14" s="120" t="s">
        <v>10</v>
      </c>
      <c r="F14" s="120"/>
      <c r="G14" s="145"/>
      <c r="H14" s="149"/>
      <c r="I14" s="160" t="s">
        <v>2660</v>
      </c>
      <c r="J14" s="175" t="s">
        <v>2661</v>
      </c>
      <c r="K14" s="190" t="s">
        <v>2662</v>
      </c>
      <c r="L14" s="124" t="s">
        <v>2663</v>
      </c>
      <c r="M14" s="124"/>
      <c r="N14" s="124"/>
      <c r="O14" s="191"/>
      <c r="P14" s="181" t="s">
        <v>2664</v>
      </c>
      <c r="Q14" s="124" t="s">
        <v>2665</v>
      </c>
      <c r="R14" s="124" t="s">
        <v>2666</v>
      </c>
      <c r="S14" s="124" t="s">
        <v>2667</v>
      </c>
      <c r="T14" s="161" t="s">
        <v>2668</v>
      </c>
      <c r="U14" s="155"/>
      <c r="V14" s="222" t="s">
        <v>53</v>
      </c>
      <c r="AB14" t="s">
        <v>53</v>
      </c>
    </row>
    <row r="15" spans="1:32">
      <c r="A15" s="117">
        <v>14</v>
      </c>
      <c r="B15" s="120" t="s">
        <v>2756</v>
      </c>
      <c r="C15" s="227">
        <v>16160</v>
      </c>
      <c r="D15" s="120">
        <v>267.89999999999998</v>
      </c>
      <c r="E15" s="120" t="s">
        <v>18</v>
      </c>
      <c r="F15" s="120"/>
      <c r="G15" s="145"/>
      <c r="H15" s="149"/>
      <c r="I15" s="160" t="s">
        <v>2757</v>
      </c>
      <c r="J15" s="175" t="s">
        <v>2758</v>
      </c>
      <c r="K15" s="190" t="s">
        <v>2759</v>
      </c>
      <c r="L15" s="124" t="s">
        <v>2760</v>
      </c>
      <c r="M15" s="124"/>
      <c r="N15" s="124"/>
      <c r="O15" s="191"/>
      <c r="P15" s="181" t="s">
        <v>2761</v>
      </c>
      <c r="Q15" s="124" t="s">
        <v>2762</v>
      </c>
      <c r="R15" s="124" t="s">
        <v>2763</v>
      </c>
      <c r="S15" s="124" t="s">
        <v>2764</v>
      </c>
      <c r="T15" s="161" t="s">
        <v>2765</v>
      </c>
      <c r="U15" s="155"/>
      <c r="V15" s="222" t="s">
        <v>53</v>
      </c>
      <c r="AB15" t="s">
        <v>1109</v>
      </c>
    </row>
    <row r="16" spans="1:32">
      <c r="A16" s="207">
        <v>15</v>
      </c>
      <c r="B16" s="208" t="s">
        <v>2766</v>
      </c>
      <c r="C16" s="228">
        <v>17999</v>
      </c>
      <c r="D16" s="208">
        <v>222.9</v>
      </c>
      <c r="E16" s="208" t="s">
        <v>10</v>
      </c>
      <c r="F16" s="208"/>
      <c r="G16" s="209"/>
      <c r="H16" s="210"/>
      <c r="I16" s="211" t="s">
        <v>2767</v>
      </c>
      <c r="J16" s="212" t="s">
        <v>2768</v>
      </c>
      <c r="K16" s="213" t="s">
        <v>2769</v>
      </c>
      <c r="L16" s="214"/>
      <c r="M16" s="214"/>
      <c r="N16" s="214"/>
      <c r="O16" s="215"/>
      <c r="P16" s="216" t="s">
        <v>2770</v>
      </c>
      <c r="Q16" s="214" t="s">
        <v>2771</v>
      </c>
      <c r="R16" s="214" t="s">
        <v>2772</v>
      </c>
      <c r="S16" s="214" t="s">
        <v>2773</v>
      </c>
      <c r="T16" s="217" t="s">
        <v>2774</v>
      </c>
      <c r="U16" s="155"/>
      <c r="V16" s="222" t="s">
        <v>53</v>
      </c>
      <c r="AB16" t="s">
        <v>56</v>
      </c>
    </row>
    <row r="17" spans="1:28">
      <c r="A17" s="207">
        <v>16</v>
      </c>
      <c r="B17" s="208" t="s">
        <v>3071</v>
      </c>
      <c r="C17" s="228">
        <v>43600</v>
      </c>
      <c r="D17" s="208">
        <v>504.9</v>
      </c>
      <c r="E17" s="208" t="s">
        <v>14</v>
      </c>
      <c r="F17" s="208"/>
      <c r="G17" s="209"/>
      <c r="H17" s="210"/>
      <c r="I17" s="211" t="s">
        <v>3072</v>
      </c>
      <c r="J17" s="212" t="s">
        <v>3073</v>
      </c>
      <c r="K17" s="213" t="s">
        <v>3074</v>
      </c>
      <c r="L17" s="214" t="s">
        <v>3075</v>
      </c>
      <c r="M17" s="214" t="s">
        <v>3076</v>
      </c>
      <c r="N17" s="214" t="s">
        <v>3077</v>
      </c>
      <c r="O17" s="215"/>
      <c r="P17" s="216" t="s">
        <v>3078</v>
      </c>
      <c r="Q17" s="214" t="s">
        <v>3079</v>
      </c>
      <c r="R17" s="214" t="s">
        <v>3080</v>
      </c>
      <c r="S17" s="214" t="s">
        <v>3081</v>
      </c>
      <c r="T17" s="217" t="s">
        <v>3082</v>
      </c>
      <c r="U17" s="155"/>
      <c r="V17" s="222" t="s">
        <v>3110</v>
      </c>
      <c r="AB17" t="s">
        <v>85</v>
      </c>
    </row>
    <row r="18" spans="1:28">
      <c r="A18" s="117">
        <v>17</v>
      </c>
      <c r="B18" s="120" t="s">
        <v>3083</v>
      </c>
      <c r="C18" s="227">
        <v>40100</v>
      </c>
      <c r="D18" s="120">
        <v>509.9</v>
      </c>
      <c r="E18" s="120" t="s">
        <v>10</v>
      </c>
      <c r="F18" s="120"/>
      <c r="G18" s="145"/>
      <c r="H18" s="149"/>
      <c r="I18" s="225" t="s">
        <v>3084</v>
      </c>
      <c r="J18" s="175" t="s">
        <v>3085</v>
      </c>
      <c r="K18" s="190" t="s">
        <v>3086</v>
      </c>
      <c r="L18" s="124"/>
      <c r="M18" s="124"/>
      <c r="N18" s="124"/>
      <c r="O18" s="191"/>
      <c r="P18" s="181" t="s">
        <v>3087</v>
      </c>
      <c r="Q18" s="124" t="s">
        <v>3088</v>
      </c>
      <c r="R18" s="124" t="s">
        <v>3089</v>
      </c>
      <c r="S18" s="124" t="s">
        <v>3090</v>
      </c>
      <c r="T18" s="161" t="s">
        <v>3091</v>
      </c>
      <c r="U18" s="155"/>
      <c r="V18" s="222" t="s">
        <v>53</v>
      </c>
      <c r="AB18" t="s">
        <v>1257</v>
      </c>
    </row>
    <row r="19" spans="1:28">
      <c r="A19" s="117">
        <v>18</v>
      </c>
      <c r="B19" s="120" t="s">
        <v>3092</v>
      </c>
      <c r="C19" s="227">
        <v>40100</v>
      </c>
      <c r="D19" s="120">
        <v>509.9</v>
      </c>
      <c r="E19" s="120" t="s">
        <v>10</v>
      </c>
      <c r="F19" s="120"/>
      <c r="G19" s="145"/>
      <c r="H19" s="149"/>
      <c r="I19" s="160" t="s">
        <v>3093</v>
      </c>
      <c r="J19" s="175" t="s">
        <v>3094</v>
      </c>
      <c r="K19" s="190" t="s">
        <v>3095</v>
      </c>
      <c r="L19" s="124"/>
      <c r="M19" s="124"/>
      <c r="N19" s="124"/>
      <c r="O19" s="191"/>
      <c r="P19" s="181" t="s">
        <v>3096</v>
      </c>
      <c r="Q19" s="124" t="s">
        <v>3097</v>
      </c>
      <c r="R19" s="124" t="s">
        <v>3098</v>
      </c>
      <c r="S19" s="124" t="s">
        <v>3099</v>
      </c>
      <c r="T19" s="161" t="s">
        <v>3100</v>
      </c>
      <c r="U19" s="155"/>
      <c r="V19" s="222" t="s">
        <v>53</v>
      </c>
      <c r="AB19" t="s">
        <v>2018</v>
      </c>
    </row>
    <row r="20" spans="1:28">
      <c r="A20" s="207">
        <v>19</v>
      </c>
      <c r="B20" s="208" t="s">
        <v>3101</v>
      </c>
      <c r="C20" s="228">
        <v>75000</v>
      </c>
      <c r="D20" s="208">
        <v>909.9</v>
      </c>
      <c r="E20" s="208" t="s">
        <v>10</v>
      </c>
      <c r="F20" s="208"/>
      <c r="G20" s="209"/>
      <c r="H20" s="210"/>
      <c r="I20" s="211" t="s">
        <v>3102</v>
      </c>
      <c r="J20" s="212" t="s">
        <v>3103</v>
      </c>
      <c r="K20" s="213" t="s">
        <v>3104</v>
      </c>
      <c r="L20" s="214"/>
      <c r="M20" s="214"/>
      <c r="N20" s="214"/>
      <c r="O20" s="215"/>
      <c r="P20" s="216" t="s">
        <v>3105</v>
      </c>
      <c r="Q20" s="214" t="s">
        <v>3106</v>
      </c>
      <c r="R20" s="214" t="s">
        <v>3107</v>
      </c>
      <c r="S20" s="214" t="s">
        <v>3108</v>
      </c>
      <c r="T20" s="217" t="s">
        <v>3109</v>
      </c>
      <c r="U20" s="155"/>
      <c r="V20" s="222" t="s">
        <v>54</v>
      </c>
      <c r="AB20" t="s">
        <v>725</v>
      </c>
    </row>
    <row r="21" spans="1:28">
      <c r="A21" s="207">
        <v>20</v>
      </c>
      <c r="B21" s="208" t="s">
        <v>3139</v>
      </c>
      <c r="C21" s="228">
        <v>99999</v>
      </c>
      <c r="D21" s="233">
        <v>1109.9000000000001</v>
      </c>
      <c r="E21" s="208" t="s">
        <v>21</v>
      </c>
      <c r="F21" s="208"/>
      <c r="G21" s="209"/>
      <c r="H21" s="210"/>
      <c r="I21" s="211" t="s">
        <v>3140</v>
      </c>
      <c r="J21" s="212" t="s">
        <v>3141</v>
      </c>
      <c r="K21" s="213" t="s">
        <v>3142</v>
      </c>
      <c r="L21" s="214"/>
      <c r="M21" s="214"/>
      <c r="N21" s="214"/>
      <c r="O21" s="215"/>
      <c r="P21" s="216" t="s">
        <v>3143</v>
      </c>
      <c r="Q21" s="214" t="s">
        <v>3144</v>
      </c>
      <c r="R21" s="214" t="s">
        <v>3145</v>
      </c>
      <c r="S21" s="214" t="s">
        <v>3146</v>
      </c>
      <c r="T21" s="217" t="s">
        <v>3147</v>
      </c>
      <c r="U21" s="155"/>
      <c r="V21" s="222" t="s">
        <v>53</v>
      </c>
      <c r="AB21" t="s">
        <v>726</v>
      </c>
    </row>
    <row r="22" spans="1:28">
      <c r="A22" s="117">
        <v>21</v>
      </c>
      <c r="B22" s="120" t="s">
        <v>3148</v>
      </c>
      <c r="C22" s="227">
        <v>238900</v>
      </c>
      <c r="D22" s="234">
        <v>2688.9</v>
      </c>
      <c r="E22" s="120" t="s">
        <v>25</v>
      </c>
      <c r="F22" s="120"/>
      <c r="G22" s="145"/>
      <c r="H22" s="149"/>
      <c r="I22" s="160" t="s">
        <v>3149</v>
      </c>
      <c r="J22" s="175" t="s">
        <v>3150</v>
      </c>
      <c r="K22" s="190" t="s">
        <v>3151</v>
      </c>
      <c r="L22" s="124"/>
      <c r="M22" s="124"/>
      <c r="N22" s="124"/>
      <c r="O22" s="191"/>
      <c r="P22" s="181" t="s">
        <v>3152</v>
      </c>
      <c r="Q22" s="124" t="s">
        <v>3153</v>
      </c>
      <c r="R22" s="124" t="s">
        <v>3154</v>
      </c>
      <c r="S22" s="124" t="s">
        <v>3155</v>
      </c>
      <c r="T22" s="161" t="s">
        <v>3156</v>
      </c>
      <c r="U22" s="155"/>
      <c r="V22" s="222" t="s">
        <v>894</v>
      </c>
      <c r="AB22" t="s">
        <v>59</v>
      </c>
    </row>
    <row r="23" spans="1:28">
      <c r="A23" s="117">
        <v>22</v>
      </c>
      <c r="B23" s="120" t="s">
        <v>3157</v>
      </c>
      <c r="C23" s="227">
        <v>23333</v>
      </c>
      <c r="D23" s="120">
        <v>319.89999999999998</v>
      </c>
      <c r="E23" s="120" t="s">
        <v>10</v>
      </c>
      <c r="F23" s="120"/>
      <c r="G23" s="145"/>
      <c r="H23" s="149"/>
      <c r="I23" s="160" t="s">
        <v>3158</v>
      </c>
      <c r="J23" s="175" t="s">
        <v>3159</v>
      </c>
      <c r="K23" s="190" t="s">
        <v>3160</v>
      </c>
      <c r="L23" s="124" t="s">
        <v>3161</v>
      </c>
      <c r="M23" s="124" t="s">
        <v>3162</v>
      </c>
      <c r="N23" s="124" t="s">
        <v>3163</v>
      </c>
      <c r="O23" s="191" t="s">
        <v>3164</v>
      </c>
      <c r="P23" s="181" t="s">
        <v>3165</v>
      </c>
      <c r="Q23" s="124" t="s">
        <v>3166</v>
      </c>
      <c r="R23" s="124" t="s">
        <v>3167</v>
      </c>
      <c r="S23" s="124" t="s">
        <v>3168</v>
      </c>
      <c r="T23" s="161" t="s">
        <v>3169</v>
      </c>
      <c r="U23" s="155"/>
      <c r="V23" s="222" t="s">
        <v>54</v>
      </c>
      <c r="AB23" t="s">
        <v>2219</v>
      </c>
    </row>
    <row r="24" spans="1:28">
      <c r="A24" s="207">
        <v>23</v>
      </c>
      <c r="B24" s="208" t="s">
        <v>3170</v>
      </c>
      <c r="C24" s="228">
        <v>25000</v>
      </c>
      <c r="D24" s="208">
        <v>368.9</v>
      </c>
      <c r="E24" s="208" t="s">
        <v>11</v>
      </c>
      <c r="F24" s="208"/>
      <c r="G24" s="209"/>
      <c r="H24" s="210"/>
      <c r="I24" s="211" t="s">
        <v>3171</v>
      </c>
      <c r="J24" s="212" t="s">
        <v>3172</v>
      </c>
      <c r="K24" s="213" t="s">
        <v>3173</v>
      </c>
      <c r="L24" s="214" t="s">
        <v>3174</v>
      </c>
      <c r="M24" s="214" t="s">
        <v>3175</v>
      </c>
      <c r="N24" s="214"/>
      <c r="O24" s="215"/>
      <c r="P24" s="216" t="s">
        <v>3176</v>
      </c>
      <c r="Q24" s="214" t="s">
        <v>3177</v>
      </c>
      <c r="R24" s="214" t="s">
        <v>3178</v>
      </c>
      <c r="S24" s="214" t="s">
        <v>3179</v>
      </c>
      <c r="T24" s="217" t="s">
        <v>3180</v>
      </c>
      <c r="U24" s="155"/>
      <c r="V24" s="222" t="s">
        <v>725</v>
      </c>
    </row>
    <row r="25" spans="1:28">
      <c r="A25" s="207">
        <v>24</v>
      </c>
      <c r="B25" s="208" t="s">
        <v>3251</v>
      </c>
      <c r="C25" s="228">
        <v>8000</v>
      </c>
      <c r="D25" s="208">
        <v>184.8</v>
      </c>
      <c r="E25" s="208" t="s">
        <v>10</v>
      </c>
      <c r="F25" s="208"/>
      <c r="G25" s="209"/>
      <c r="H25" s="210"/>
      <c r="I25" s="211" t="s">
        <v>3252</v>
      </c>
      <c r="J25" s="212" t="s">
        <v>3253</v>
      </c>
      <c r="K25" s="213" t="s">
        <v>3254</v>
      </c>
      <c r="L25" s="214" t="s">
        <v>3255</v>
      </c>
      <c r="M25" s="214" t="s">
        <v>3256</v>
      </c>
      <c r="N25" s="214"/>
      <c r="O25" s="215"/>
      <c r="P25" s="216" t="s">
        <v>3257</v>
      </c>
      <c r="Q25" s="214" t="s">
        <v>3258</v>
      </c>
      <c r="R25" s="214" t="s">
        <v>3259</v>
      </c>
      <c r="S25" s="214" t="s">
        <v>3260</v>
      </c>
      <c r="T25" s="217" t="s">
        <v>3261</v>
      </c>
      <c r="U25" s="155"/>
      <c r="V25" s="222" t="s">
        <v>3280</v>
      </c>
    </row>
    <row r="26" spans="1:28">
      <c r="A26" s="117">
        <v>25</v>
      </c>
      <c r="B26" s="120" t="s">
        <v>3262</v>
      </c>
      <c r="C26" s="227">
        <v>26900</v>
      </c>
      <c r="D26" s="120">
        <v>309.3</v>
      </c>
      <c r="E26" s="120" t="s">
        <v>11</v>
      </c>
      <c r="F26" s="120"/>
      <c r="G26" s="145"/>
      <c r="H26" s="149"/>
      <c r="I26" s="160" t="s">
        <v>3263</v>
      </c>
      <c r="J26" s="175" t="s">
        <v>3264</v>
      </c>
      <c r="K26" s="190" t="s">
        <v>3265</v>
      </c>
      <c r="L26" s="124"/>
      <c r="M26" s="124"/>
      <c r="N26" s="124"/>
      <c r="O26" s="191"/>
      <c r="P26" s="181" t="s">
        <v>3266</v>
      </c>
      <c r="Q26" s="124" t="s">
        <v>3267</v>
      </c>
      <c r="R26" s="124" t="s">
        <v>3268</v>
      </c>
      <c r="S26" s="124" t="s">
        <v>3269</v>
      </c>
      <c r="T26" s="161" t="s">
        <v>3270</v>
      </c>
      <c r="U26" s="155"/>
      <c r="V26" s="222" t="s">
        <v>56</v>
      </c>
    </row>
    <row r="27" spans="1:28">
      <c r="A27" s="117">
        <v>26</v>
      </c>
      <c r="B27" s="120" t="s">
        <v>3271</v>
      </c>
      <c r="C27" s="227">
        <v>19100</v>
      </c>
      <c r="D27" s="120">
        <v>297.89999999999998</v>
      </c>
      <c r="E27" s="120" t="s">
        <v>16</v>
      </c>
      <c r="F27" s="120"/>
      <c r="G27" s="145"/>
      <c r="H27" s="149"/>
      <c r="I27" s="160" t="s">
        <v>3272</v>
      </c>
      <c r="J27" s="175" t="s">
        <v>3273</v>
      </c>
      <c r="K27" s="190" t="s">
        <v>3274</v>
      </c>
      <c r="L27" s="124"/>
      <c r="M27" s="124"/>
      <c r="N27" s="124"/>
      <c r="O27" s="191"/>
      <c r="P27" s="181" t="s">
        <v>3275</v>
      </c>
      <c r="Q27" s="124" t="s">
        <v>3276</v>
      </c>
      <c r="R27" s="124" t="s">
        <v>3277</v>
      </c>
      <c r="S27" s="124" t="s">
        <v>3278</v>
      </c>
      <c r="T27" s="161" t="s">
        <v>3279</v>
      </c>
      <c r="U27" s="155"/>
      <c r="V27" s="222" t="s">
        <v>60</v>
      </c>
    </row>
    <row r="28" spans="1:28">
      <c r="A28" s="207">
        <v>27</v>
      </c>
      <c r="B28" s="208"/>
      <c r="C28" s="208"/>
      <c r="D28" s="208"/>
      <c r="E28" s="208"/>
      <c r="F28" s="208"/>
      <c r="G28" s="209"/>
      <c r="H28" s="210"/>
      <c r="I28" s="211"/>
      <c r="J28" s="212"/>
      <c r="K28" s="213"/>
      <c r="L28" s="214"/>
      <c r="M28" s="214"/>
      <c r="N28" s="214"/>
      <c r="O28" s="215"/>
      <c r="P28" s="216"/>
      <c r="Q28" s="214"/>
      <c r="R28" s="214"/>
      <c r="S28" s="214"/>
      <c r="T28" s="217"/>
      <c r="U28" s="155"/>
      <c r="V28" s="222"/>
    </row>
    <row r="29" spans="1:28">
      <c r="A29" s="207">
        <v>28</v>
      </c>
      <c r="B29" s="208"/>
      <c r="C29" s="208"/>
      <c r="D29" s="208"/>
      <c r="E29" s="208"/>
      <c r="F29" s="208"/>
      <c r="G29" s="209"/>
      <c r="H29" s="210"/>
      <c r="I29" s="211"/>
      <c r="J29" s="212"/>
      <c r="K29" s="213"/>
      <c r="L29" s="214"/>
      <c r="M29" s="214"/>
      <c r="N29" s="214"/>
      <c r="O29" s="215"/>
      <c r="P29" s="216"/>
      <c r="Q29" s="214"/>
      <c r="R29" s="214"/>
      <c r="S29" s="214"/>
      <c r="T29" s="217"/>
      <c r="U29" s="155"/>
      <c r="V29" s="222"/>
    </row>
    <row r="30" spans="1:28">
      <c r="A30" s="117">
        <v>29</v>
      </c>
      <c r="B30" s="120"/>
      <c r="C30" s="120"/>
      <c r="D30" s="120"/>
      <c r="E30" s="120"/>
      <c r="F30" s="120"/>
      <c r="G30" s="145"/>
      <c r="H30" s="149"/>
      <c r="I30" s="160"/>
      <c r="J30" s="175"/>
      <c r="K30" s="190"/>
      <c r="L30" s="124"/>
      <c r="M30" s="124"/>
      <c r="N30" s="124"/>
      <c r="O30" s="191"/>
      <c r="P30" s="181"/>
      <c r="Q30" s="124"/>
      <c r="R30" s="124"/>
      <c r="S30" s="124"/>
      <c r="T30" s="161"/>
      <c r="U30" s="155"/>
      <c r="V30" s="222"/>
    </row>
    <row r="31" spans="1:28">
      <c r="A31" s="117">
        <v>30</v>
      </c>
      <c r="B31" s="120"/>
      <c r="C31" s="120"/>
      <c r="D31" s="120"/>
      <c r="E31" s="120"/>
      <c r="F31" s="120"/>
      <c r="G31" s="145"/>
      <c r="H31" s="149"/>
      <c r="I31" s="160"/>
      <c r="J31" s="175"/>
      <c r="K31" s="190"/>
      <c r="L31" s="124"/>
      <c r="M31" s="124"/>
      <c r="N31" s="124"/>
      <c r="O31" s="191"/>
      <c r="P31" s="181"/>
      <c r="Q31" s="124"/>
      <c r="R31" s="124"/>
      <c r="S31" s="124"/>
      <c r="T31" s="161"/>
      <c r="U31" s="155"/>
      <c r="V31" s="222"/>
    </row>
    <row r="32" spans="1:28">
      <c r="A32" s="207">
        <v>31</v>
      </c>
      <c r="B32" s="208"/>
      <c r="C32" s="208"/>
      <c r="D32" s="208"/>
      <c r="E32" s="208"/>
      <c r="F32" s="208"/>
      <c r="G32" s="209"/>
      <c r="H32" s="210"/>
      <c r="I32" s="211"/>
      <c r="J32" s="212"/>
      <c r="K32" s="213"/>
      <c r="L32" s="214"/>
      <c r="M32" s="214"/>
      <c r="N32" s="214"/>
      <c r="O32" s="215"/>
      <c r="P32" s="216"/>
      <c r="Q32" s="214"/>
      <c r="R32" s="214"/>
      <c r="S32" s="214"/>
      <c r="T32" s="217"/>
      <c r="U32" s="155"/>
      <c r="V32" s="222"/>
    </row>
    <row r="33" spans="1:22">
      <c r="A33" s="207">
        <v>32</v>
      </c>
      <c r="B33" s="208"/>
      <c r="C33" s="208"/>
      <c r="D33" s="208"/>
      <c r="E33" s="208"/>
      <c r="F33" s="208"/>
      <c r="G33" s="209"/>
      <c r="H33" s="210"/>
      <c r="I33" s="211"/>
      <c r="J33" s="212"/>
      <c r="K33" s="213"/>
      <c r="L33" s="214"/>
      <c r="M33" s="214"/>
      <c r="N33" s="214"/>
      <c r="O33" s="215"/>
      <c r="P33" s="216"/>
      <c r="Q33" s="214"/>
      <c r="R33" s="214"/>
      <c r="S33" s="214"/>
      <c r="T33" s="217"/>
      <c r="U33" s="155"/>
      <c r="V33" s="222"/>
    </row>
    <row r="34" spans="1:22">
      <c r="A34" s="117">
        <v>33</v>
      </c>
      <c r="B34" s="120"/>
      <c r="C34" s="120"/>
      <c r="D34" s="120"/>
      <c r="E34" s="120"/>
      <c r="F34" s="120"/>
      <c r="G34" s="145"/>
      <c r="H34" s="149"/>
      <c r="I34" s="160"/>
      <c r="J34" s="175"/>
      <c r="K34" s="190"/>
      <c r="L34" s="124"/>
      <c r="M34" s="124"/>
      <c r="N34" s="124"/>
      <c r="O34" s="191"/>
      <c r="P34" s="181"/>
      <c r="Q34" s="124"/>
      <c r="R34" s="124"/>
      <c r="S34" s="124"/>
      <c r="T34" s="161"/>
      <c r="U34" s="155"/>
      <c r="V34" s="222"/>
    </row>
    <row r="35" spans="1:22">
      <c r="A35" s="117">
        <v>34</v>
      </c>
      <c r="B35" s="120"/>
      <c r="C35" s="120"/>
      <c r="D35" s="120"/>
      <c r="E35" s="120"/>
      <c r="F35" s="120"/>
      <c r="G35" s="145"/>
      <c r="H35" s="149"/>
      <c r="I35" s="160"/>
      <c r="J35" s="175"/>
      <c r="K35" s="190"/>
      <c r="L35" s="124"/>
      <c r="M35" s="124"/>
      <c r="N35" s="124"/>
      <c r="O35" s="191"/>
      <c r="P35" s="181"/>
      <c r="Q35" s="124"/>
      <c r="R35" s="124"/>
      <c r="S35" s="124"/>
      <c r="T35" s="161"/>
      <c r="U35" s="155"/>
      <c r="V35" s="222"/>
    </row>
    <row r="36" spans="1:22">
      <c r="A36" s="207">
        <v>35</v>
      </c>
      <c r="B36" s="208"/>
      <c r="C36" s="208"/>
      <c r="D36" s="208"/>
      <c r="E36" s="208"/>
      <c r="F36" s="208"/>
      <c r="G36" s="209"/>
      <c r="H36" s="210"/>
      <c r="I36" s="211"/>
      <c r="J36" s="212"/>
      <c r="K36" s="213"/>
      <c r="L36" s="214"/>
      <c r="M36" s="214"/>
      <c r="N36" s="214"/>
      <c r="O36" s="215"/>
      <c r="P36" s="216"/>
      <c r="Q36" s="214"/>
      <c r="R36" s="214"/>
      <c r="S36" s="214"/>
      <c r="T36" s="217"/>
      <c r="U36" s="155"/>
      <c r="V36" s="222"/>
    </row>
    <row r="37" spans="1:22">
      <c r="A37" s="207">
        <v>36</v>
      </c>
      <c r="B37" s="208"/>
      <c r="C37" s="208"/>
      <c r="D37" s="208"/>
      <c r="E37" s="208"/>
      <c r="F37" s="208"/>
      <c r="G37" s="209"/>
      <c r="H37" s="210"/>
      <c r="I37" s="211"/>
      <c r="J37" s="212"/>
      <c r="K37" s="213"/>
      <c r="L37" s="214"/>
      <c r="M37" s="214"/>
      <c r="N37" s="214"/>
      <c r="O37" s="215"/>
      <c r="P37" s="216"/>
      <c r="Q37" s="214"/>
      <c r="R37" s="214"/>
      <c r="S37" s="214"/>
      <c r="T37" s="217"/>
      <c r="U37" s="155"/>
      <c r="V37" s="222"/>
    </row>
    <row r="38" spans="1:22">
      <c r="A38" s="117">
        <v>37</v>
      </c>
      <c r="B38" s="120"/>
      <c r="C38" s="120"/>
      <c r="D38" s="120"/>
      <c r="E38" s="120"/>
      <c r="F38" s="120"/>
      <c r="G38" s="145"/>
      <c r="H38" s="149"/>
      <c r="I38" s="160"/>
      <c r="J38" s="175"/>
      <c r="K38" s="190"/>
      <c r="L38" s="124"/>
      <c r="M38" s="124"/>
      <c r="N38" s="124"/>
      <c r="O38" s="191"/>
      <c r="P38" s="181"/>
      <c r="Q38" s="124"/>
      <c r="R38" s="124"/>
      <c r="S38" s="124"/>
      <c r="T38" s="161"/>
      <c r="U38" s="155"/>
      <c r="V38" s="222"/>
    </row>
    <row r="39" spans="1:22">
      <c r="A39" s="117">
        <v>38</v>
      </c>
      <c r="B39" s="120"/>
      <c r="C39" s="120"/>
      <c r="D39" s="120"/>
      <c r="E39" s="120"/>
      <c r="F39" s="120"/>
      <c r="G39" s="145"/>
      <c r="H39" s="149"/>
      <c r="I39" s="160"/>
      <c r="J39" s="175"/>
      <c r="K39" s="190"/>
      <c r="L39" s="124"/>
      <c r="M39" s="124"/>
      <c r="N39" s="124"/>
      <c r="O39" s="191"/>
      <c r="P39" s="181"/>
      <c r="Q39" s="124"/>
      <c r="R39" s="124"/>
      <c r="S39" s="124"/>
      <c r="T39" s="161"/>
      <c r="U39" s="155"/>
      <c r="V39" s="222"/>
    </row>
    <row r="40" spans="1:22">
      <c r="A40" s="207">
        <v>39</v>
      </c>
      <c r="B40" s="208"/>
      <c r="C40" s="208"/>
      <c r="D40" s="208"/>
      <c r="E40" s="208"/>
      <c r="F40" s="208"/>
      <c r="G40" s="209"/>
      <c r="H40" s="210"/>
      <c r="I40" s="211"/>
      <c r="J40" s="212"/>
      <c r="K40" s="213"/>
      <c r="L40" s="214"/>
      <c r="M40" s="214"/>
      <c r="N40" s="214"/>
      <c r="O40" s="215"/>
      <c r="P40" s="216"/>
      <c r="Q40" s="214"/>
      <c r="R40" s="214"/>
      <c r="S40" s="214"/>
      <c r="T40" s="217"/>
      <c r="U40" s="155"/>
      <c r="V40" s="222"/>
    </row>
    <row r="41" spans="1:22">
      <c r="A41" s="207">
        <v>40</v>
      </c>
      <c r="B41" s="208"/>
      <c r="C41" s="208"/>
      <c r="D41" s="208"/>
      <c r="E41" s="208"/>
      <c r="F41" s="208"/>
      <c r="G41" s="209"/>
      <c r="H41" s="210"/>
      <c r="I41" s="211"/>
      <c r="J41" s="212"/>
      <c r="K41" s="213"/>
      <c r="L41" s="214"/>
      <c r="M41" s="214"/>
      <c r="N41" s="214"/>
      <c r="O41" s="215"/>
      <c r="P41" s="216"/>
      <c r="Q41" s="214"/>
      <c r="R41" s="214"/>
      <c r="S41" s="214"/>
      <c r="T41" s="217"/>
      <c r="U41" s="155"/>
      <c r="V41" s="222"/>
    </row>
    <row r="42" spans="1:22">
      <c r="A42" s="117">
        <v>41</v>
      </c>
      <c r="B42" s="120"/>
      <c r="C42" s="120"/>
      <c r="D42" s="120"/>
      <c r="E42" s="120"/>
      <c r="F42" s="120"/>
      <c r="G42" s="145"/>
      <c r="H42" s="149"/>
      <c r="I42" s="160"/>
      <c r="J42" s="175"/>
      <c r="K42" s="190"/>
      <c r="L42" s="124"/>
      <c r="M42" s="124"/>
      <c r="N42" s="124"/>
      <c r="O42" s="191"/>
      <c r="P42" s="181"/>
      <c r="Q42" s="124"/>
      <c r="R42" s="124"/>
      <c r="S42" s="124"/>
      <c r="T42" s="161"/>
      <c r="U42" s="155"/>
      <c r="V42" s="222"/>
    </row>
    <row r="43" spans="1:22">
      <c r="A43" s="117">
        <v>42</v>
      </c>
      <c r="B43" s="120"/>
      <c r="C43" s="120"/>
      <c r="D43" s="120"/>
      <c r="E43" s="120"/>
      <c r="F43" s="120"/>
      <c r="G43" s="145"/>
      <c r="H43" s="149"/>
      <c r="I43" s="160"/>
      <c r="J43" s="175"/>
      <c r="K43" s="190"/>
      <c r="L43" s="124"/>
      <c r="M43" s="124"/>
      <c r="N43" s="124"/>
      <c r="O43" s="191"/>
      <c r="P43" s="181"/>
      <c r="Q43" s="124"/>
      <c r="R43" s="124"/>
      <c r="S43" s="124"/>
      <c r="T43" s="161"/>
      <c r="U43" s="155"/>
      <c r="V43" s="222"/>
    </row>
    <row r="44" spans="1:22">
      <c r="A44" s="117">
        <v>43</v>
      </c>
      <c r="B44" s="120"/>
      <c r="C44" s="120"/>
      <c r="D44" s="120"/>
      <c r="E44" s="120"/>
      <c r="F44" s="120"/>
      <c r="G44" s="145"/>
      <c r="H44" s="149"/>
      <c r="I44" s="160"/>
      <c r="J44" s="175"/>
      <c r="K44" s="190"/>
      <c r="L44" s="124"/>
      <c r="M44" s="124"/>
      <c r="N44" s="124"/>
      <c r="O44" s="191"/>
      <c r="P44" s="181"/>
      <c r="Q44" s="124"/>
      <c r="R44" s="124"/>
      <c r="S44" s="124"/>
      <c r="T44" s="161"/>
      <c r="U44" s="155"/>
      <c r="V44" s="222"/>
    </row>
    <row r="45" spans="1:22">
      <c r="A45" s="117">
        <v>44</v>
      </c>
      <c r="B45" s="120"/>
      <c r="C45" s="120"/>
      <c r="D45" s="120"/>
      <c r="E45" s="120"/>
      <c r="F45" s="120"/>
      <c r="G45" s="145"/>
      <c r="H45" s="149"/>
      <c r="I45" s="160"/>
      <c r="J45" s="175"/>
      <c r="K45" s="190"/>
      <c r="L45" s="124"/>
      <c r="M45" s="124"/>
      <c r="N45" s="124"/>
      <c r="O45" s="191"/>
      <c r="P45" s="181"/>
      <c r="Q45" s="124"/>
      <c r="R45" s="124"/>
      <c r="S45" s="124"/>
      <c r="T45" s="161"/>
      <c r="U45" s="155"/>
      <c r="V45" s="222"/>
    </row>
    <row r="46" spans="1:22">
      <c r="A46" s="117">
        <v>45</v>
      </c>
      <c r="B46" s="120"/>
      <c r="C46" s="120"/>
      <c r="D46" s="120"/>
      <c r="E46" s="120"/>
      <c r="F46" s="120"/>
      <c r="G46" s="145"/>
      <c r="H46" s="149"/>
      <c r="I46" s="160"/>
      <c r="J46" s="175"/>
      <c r="K46" s="190"/>
      <c r="L46" s="124"/>
      <c r="M46" s="124"/>
      <c r="N46" s="124"/>
      <c r="O46" s="191"/>
      <c r="P46" s="181"/>
      <c r="Q46" s="124"/>
      <c r="R46" s="124"/>
      <c r="S46" s="124"/>
      <c r="T46" s="161"/>
      <c r="U46" s="155"/>
      <c r="V46" s="222"/>
    </row>
    <row r="47" spans="1:22">
      <c r="A47" s="117">
        <v>46</v>
      </c>
      <c r="B47" s="120"/>
      <c r="C47" s="120"/>
      <c r="D47" s="120"/>
      <c r="E47" s="120"/>
      <c r="F47" s="120"/>
      <c r="G47" s="145"/>
      <c r="H47" s="149"/>
      <c r="I47" s="160"/>
      <c r="J47" s="175"/>
      <c r="K47" s="190"/>
      <c r="L47" s="124"/>
      <c r="M47" s="124"/>
      <c r="N47" s="124"/>
      <c r="O47" s="191"/>
      <c r="P47" s="181"/>
      <c r="Q47" s="124"/>
      <c r="R47" s="124"/>
      <c r="S47" s="124"/>
      <c r="T47" s="161"/>
      <c r="U47" s="155"/>
      <c r="V47" s="222"/>
    </row>
    <row r="48" spans="1:22">
      <c r="A48" s="117">
        <v>47</v>
      </c>
      <c r="B48" s="120"/>
      <c r="C48" s="120"/>
      <c r="D48" s="120"/>
      <c r="E48" s="120"/>
      <c r="F48" s="120"/>
      <c r="G48" s="145"/>
      <c r="H48" s="149"/>
      <c r="I48" s="160"/>
      <c r="J48" s="175"/>
      <c r="K48" s="190"/>
      <c r="L48" s="124"/>
      <c r="M48" s="124"/>
      <c r="N48" s="124"/>
      <c r="O48" s="191"/>
      <c r="P48" s="181"/>
      <c r="Q48" s="124"/>
      <c r="R48" s="124"/>
      <c r="S48" s="124"/>
      <c r="T48" s="161"/>
      <c r="U48" s="155"/>
      <c r="V48" s="222"/>
    </row>
    <row r="49" spans="1:22">
      <c r="A49" s="117">
        <v>48</v>
      </c>
      <c r="B49" s="120"/>
      <c r="C49" s="120"/>
      <c r="D49" s="120"/>
      <c r="E49" s="120"/>
      <c r="F49" s="120"/>
      <c r="G49" s="145"/>
      <c r="H49" s="149"/>
      <c r="I49" s="160"/>
      <c r="J49" s="175"/>
      <c r="K49" s="190"/>
      <c r="L49" s="124"/>
      <c r="M49" s="124"/>
      <c r="N49" s="124"/>
      <c r="O49" s="191"/>
      <c r="P49" s="181"/>
      <c r="Q49" s="124"/>
      <c r="R49" s="124"/>
      <c r="S49" s="124"/>
      <c r="T49" s="161"/>
      <c r="U49" s="155"/>
      <c r="V49" s="222"/>
    </row>
    <row r="50" spans="1:22">
      <c r="A50" s="117">
        <v>49</v>
      </c>
      <c r="B50" s="120"/>
      <c r="C50" s="120"/>
      <c r="D50" s="120"/>
      <c r="E50" s="120"/>
      <c r="F50" s="120"/>
      <c r="G50" s="145"/>
      <c r="H50" s="149"/>
      <c r="I50" s="160"/>
      <c r="J50" s="175"/>
      <c r="K50" s="190"/>
      <c r="L50" s="124"/>
      <c r="M50" s="124"/>
      <c r="N50" s="124"/>
      <c r="O50" s="191"/>
      <c r="P50" s="181"/>
      <c r="Q50" s="124"/>
      <c r="R50" s="124"/>
      <c r="S50" s="124"/>
      <c r="T50" s="161"/>
      <c r="U50" s="155"/>
      <c r="V50" s="222"/>
    </row>
    <row r="51" spans="1:22">
      <c r="A51" s="117">
        <v>50</v>
      </c>
      <c r="B51" s="120"/>
      <c r="C51" s="120"/>
      <c r="D51" s="120"/>
      <c r="E51" s="120"/>
      <c r="F51" s="120"/>
      <c r="G51" s="145"/>
      <c r="H51" s="149"/>
      <c r="I51" s="160"/>
      <c r="J51" s="175"/>
      <c r="K51" s="190"/>
      <c r="L51" s="124"/>
      <c r="M51" s="124"/>
      <c r="N51" s="124"/>
      <c r="O51" s="191"/>
      <c r="P51" s="181"/>
      <c r="Q51" s="124"/>
      <c r="R51" s="124"/>
      <c r="S51" s="124"/>
      <c r="T51" s="161"/>
      <c r="U51" s="155"/>
      <c r="V51" s="222"/>
    </row>
    <row r="52" spans="1:22">
      <c r="A52" s="117">
        <v>51</v>
      </c>
      <c r="B52" s="120"/>
      <c r="C52" s="120"/>
      <c r="D52" s="120"/>
      <c r="E52" s="120"/>
      <c r="F52" s="120"/>
      <c r="G52" s="145"/>
      <c r="H52" s="149"/>
      <c r="I52" s="160"/>
      <c r="J52" s="175"/>
      <c r="K52" s="190"/>
      <c r="L52" s="124"/>
      <c r="M52" s="124"/>
      <c r="N52" s="124"/>
      <c r="O52" s="191"/>
      <c r="P52" s="181"/>
      <c r="Q52" s="124"/>
      <c r="R52" s="124"/>
      <c r="S52" s="124"/>
      <c r="T52" s="161"/>
      <c r="U52" s="155"/>
      <c r="V52" s="222"/>
    </row>
    <row r="53" spans="1:22">
      <c r="A53" s="117">
        <v>52</v>
      </c>
      <c r="B53" s="120"/>
      <c r="C53" s="120"/>
      <c r="D53" s="120"/>
      <c r="E53" s="120"/>
      <c r="F53" s="120"/>
      <c r="G53" s="145"/>
      <c r="H53" s="149"/>
      <c r="I53" s="160"/>
      <c r="J53" s="175"/>
      <c r="K53" s="190"/>
      <c r="L53" s="124"/>
      <c r="M53" s="124"/>
      <c r="N53" s="124"/>
      <c r="O53" s="191"/>
      <c r="P53" s="181"/>
      <c r="Q53" s="124"/>
      <c r="R53" s="124"/>
      <c r="S53" s="124"/>
      <c r="T53" s="161"/>
      <c r="U53" s="155"/>
      <c r="V53" s="222"/>
    </row>
    <row r="54" spans="1:22">
      <c r="A54" s="117">
        <v>53</v>
      </c>
      <c r="B54" s="120"/>
      <c r="C54" s="120"/>
      <c r="D54" s="120"/>
      <c r="E54" s="120"/>
      <c r="F54" s="120"/>
      <c r="G54" s="145"/>
      <c r="H54" s="149"/>
      <c r="I54" s="160"/>
      <c r="J54" s="175"/>
      <c r="K54" s="190"/>
      <c r="L54" s="124"/>
      <c r="M54" s="124"/>
      <c r="N54" s="124"/>
      <c r="O54" s="191"/>
      <c r="P54" s="181"/>
      <c r="Q54" s="124"/>
      <c r="R54" s="124"/>
      <c r="S54" s="124"/>
      <c r="T54" s="161"/>
      <c r="U54" s="155"/>
      <c r="V54" s="222"/>
    </row>
    <row r="55" spans="1:22">
      <c r="A55" s="117">
        <v>54</v>
      </c>
      <c r="B55" s="120"/>
      <c r="C55" s="120"/>
      <c r="D55" s="120"/>
      <c r="E55" s="120"/>
      <c r="F55" s="120"/>
      <c r="G55" s="145"/>
      <c r="H55" s="149"/>
      <c r="I55" s="160"/>
      <c r="J55" s="175"/>
      <c r="K55" s="190"/>
      <c r="L55" s="124"/>
      <c r="M55" s="124"/>
      <c r="N55" s="124"/>
      <c r="O55" s="191"/>
      <c r="P55" s="181"/>
      <c r="Q55" s="124"/>
      <c r="R55" s="124"/>
      <c r="S55" s="124"/>
      <c r="T55" s="161"/>
      <c r="U55" s="155"/>
      <c r="V55" s="222"/>
    </row>
    <row r="56" spans="1:22">
      <c r="A56" s="117">
        <v>55</v>
      </c>
      <c r="B56" s="120"/>
      <c r="C56" s="120"/>
      <c r="D56" s="120"/>
      <c r="E56" s="120"/>
      <c r="F56" s="120"/>
      <c r="G56" s="145"/>
      <c r="H56" s="149"/>
      <c r="I56" s="160"/>
      <c r="J56" s="175"/>
      <c r="K56" s="190"/>
      <c r="L56" s="124"/>
      <c r="M56" s="124"/>
      <c r="N56" s="124"/>
      <c r="O56" s="191"/>
      <c r="P56" s="181"/>
      <c r="Q56" s="124"/>
      <c r="R56" s="124"/>
      <c r="S56" s="124"/>
      <c r="T56" s="161"/>
      <c r="U56" s="155"/>
      <c r="V56" s="222"/>
    </row>
    <row r="57" spans="1:22">
      <c r="A57" s="117">
        <v>56</v>
      </c>
      <c r="B57" s="120"/>
      <c r="C57" s="120"/>
      <c r="D57" s="120"/>
      <c r="E57" s="120"/>
      <c r="F57" s="120"/>
      <c r="G57" s="145"/>
      <c r="H57" s="149"/>
      <c r="I57" s="160"/>
      <c r="J57" s="175"/>
      <c r="K57" s="190"/>
      <c r="L57" s="124"/>
      <c r="M57" s="124"/>
      <c r="N57" s="124"/>
      <c r="O57" s="191"/>
      <c r="P57" s="181"/>
      <c r="Q57" s="124"/>
      <c r="R57" s="124"/>
      <c r="S57" s="124"/>
      <c r="T57" s="161"/>
      <c r="U57" s="155"/>
      <c r="V57" s="222"/>
    </row>
    <row r="58" spans="1:22">
      <c r="A58" s="117">
        <v>57</v>
      </c>
      <c r="B58" s="120"/>
      <c r="C58" s="120"/>
      <c r="D58" s="120"/>
      <c r="E58" s="120"/>
      <c r="F58" s="120"/>
      <c r="G58" s="145"/>
      <c r="H58" s="149"/>
      <c r="I58" s="160"/>
      <c r="J58" s="175"/>
      <c r="K58" s="190"/>
      <c r="L58" s="124"/>
      <c r="M58" s="124"/>
      <c r="N58" s="124"/>
      <c r="O58" s="191"/>
      <c r="P58" s="181"/>
      <c r="Q58" s="124"/>
      <c r="R58" s="124"/>
      <c r="S58" s="124"/>
      <c r="T58" s="161"/>
      <c r="U58" s="155"/>
      <c r="V58" s="222"/>
    </row>
    <row r="59" spans="1:22">
      <c r="A59" s="117">
        <v>58</v>
      </c>
      <c r="B59" s="120"/>
      <c r="C59" s="120"/>
      <c r="D59" s="120"/>
      <c r="E59" s="120"/>
      <c r="F59" s="120"/>
      <c r="G59" s="145"/>
      <c r="H59" s="149"/>
      <c r="I59" s="160"/>
      <c r="J59" s="175"/>
      <c r="K59" s="190"/>
      <c r="L59" s="124"/>
      <c r="M59" s="124"/>
      <c r="N59" s="124"/>
      <c r="O59" s="191"/>
      <c r="P59" s="181"/>
      <c r="Q59" s="124"/>
      <c r="R59" s="124"/>
      <c r="S59" s="124"/>
      <c r="T59" s="161"/>
      <c r="U59" s="155"/>
      <c r="V59" s="222"/>
    </row>
    <row r="60" spans="1:22">
      <c r="A60" s="117">
        <v>59</v>
      </c>
      <c r="B60" s="120"/>
      <c r="C60" s="120"/>
      <c r="D60" s="120"/>
      <c r="E60" s="120"/>
      <c r="F60" s="120"/>
      <c r="G60" s="145"/>
      <c r="H60" s="149"/>
      <c r="I60" s="160"/>
      <c r="J60" s="175"/>
      <c r="K60" s="190"/>
      <c r="L60" s="124"/>
      <c r="M60" s="124"/>
      <c r="N60" s="124"/>
      <c r="O60" s="191"/>
      <c r="P60" s="181"/>
      <c r="Q60" s="124"/>
      <c r="R60" s="124"/>
      <c r="S60" s="124"/>
      <c r="T60" s="161"/>
      <c r="U60" s="155"/>
      <c r="V60" s="222"/>
    </row>
    <row r="61" spans="1:22">
      <c r="A61" s="117">
        <v>60</v>
      </c>
      <c r="B61" s="120"/>
      <c r="C61" s="120"/>
      <c r="D61" s="120"/>
      <c r="E61" s="120"/>
      <c r="F61" s="120"/>
      <c r="G61" s="145"/>
      <c r="H61" s="149"/>
      <c r="I61" s="160"/>
      <c r="J61" s="175"/>
      <c r="K61" s="190"/>
      <c r="L61" s="124"/>
      <c r="M61" s="124"/>
      <c r="N61" s="124"/>
      <c r="O61" s="191"/>
      <c r="P61" s="181"/>
      <c r="Q61" s="124"/>
      <c r="R61" s="124"/>
      <c r="S61" s="124"/>
      <c r="T61" s="161"/>
      <c r="U61" s="155"/>
      <c r="V61" s="222"/>
    </row>
    <row r="62" spans="1:22">
      <c r="A62" s="117">
        <v>61</v>
      </c>
      <c r="B62" s="120"/>
      <c r="C62" s="120"/>
      <c r="D62" s="120"/>
      <c r="E62" s="120"/>
      <c r="F62" s="120"/>
      <c r="G62" s="145"/>
      <c r="H62" s="149"/>
      <c r="I62" s="160"/>
      <c r="J62" s="175"/>
      <c r="K62" s="190"/>
      <c r="L62" s="124"/>
      <c r="M62" s="124"/>
      <c r="N62" s="124"/>
      <c r="O62" s="191"/>
      <c r="P62" s="181"/>
      <c r="Q62" s="124"/>
      <c r="R62" s="124"/>
      <c r="S62" s="124"/>
      <c r="T62" s="161"/>
      <c r="U62" s="155"/>
      <c r="V62" s="222"/>
    </row>
    <row r="63" spans="1:22">
      <c r="A63" s="117">
        <v>62</v>
      </c>
      <c r="B63" s="120"/>
      <c r="C63" s="120"/>
      <c r="D63" s="120"/>
      <c r="E63" s="120"/>
      <c r="F63" s="120"/>
      <c r="G63" s="145"/>
      <c r="H63" s="149"/>
      <c r="I63" s="160"/>
      <c r="J63" s="175"/>
      <c r="K63" s="190"/>
      <c r="L63" s="124"/>
      <c r="M63" s="124"/>
      <c r="N63" s="124"/>
      <c r="O63" s="191"/>
      <c r="P63" s="181"/>
      <c r="Q63" s="124"/>
      <c r="R63" s="124"/>
      <c r="S63" s="124"/>
      <c r="T63" s="161"/>
      <c r="U63" s="155"/>
      <c r="V63" s="222"/>
    </row>
    <row r="64" spans="1:22">
      <c r="A64" s="117">
        <v>63</v>
      </c>
      <c r="B64" s="120"/>
      <c r="C64" s="120"/>
      <c r="D64" s="120"/>
      <c r="E64" s="120"/>
      <c r="F64" s="120"/>
      <c r="G64" s="145"/>
      <c r="H64" s="149"/>
      <c r="I64" s="160"/>
      <c r="J64" s="175"/>
      <c r="K64" s="190"/>
      <c r="L64" s="124"/>
      <c r="M64" s="124"/>
      <c r="N64" s="124"/>
      <c r="O64" s="191"/>
      <c r="P64" s="181"/>
      <c r="Q64" s="124"/>
      <c r="R64" s="124"/>
      <c r="S64" s="124"/>
      <c r="T64" s="161"/>
      <c r="U64" s="155"/>
      <c r="V64" s="222"/>
    </row>
    <row r="65" spans="1:22">
      <c r="A65" s="117">
        <v>64</v>
      </c>
      <c r="B65" s="120"/>
      <c r="C65" s="120"/>
      <c r="D65" s="120"/>
      <c r="E65" s="120"/>
      <c r="F65" s="120"/>
      <c r="G65" s="145"/>
      <c r="H65" s="149"/>
      <c r="I65" s="160"/>
      <c r="J65" s="175"/>
      <c r="K65" s="190"/>
      <c r="L65" s="124"/>
      <c r="M65" s="124"/>
      <c r="N65" s="124"/>
      <c r="O65" s="191"/>
      <c r="P65" s="181"/>
      <c r="Q65" s="124"/>
      <c r="R65" s="124"/>
      <c r="S65" s="124"/>
      <c r="T65" s="161"/>
      <c r="U65" s="155"/>
      <c r="V65" s="222"/>
    </row>
    <row r="66" spans="1:22">
      <c r="A66" s="117">
        <v>65</v>
      </c>
      <c r="B66" s="120"/>
      <c r="C66" s="120"/>
      <c r="D66" s="120"/>
      <c r="E66" s="120"/>
      <c r="F66" s="120"/>
      <c r="G66" s="145"/>
      <c r="H66" s="149"/>
      <c r="I66" s="160"/>
      <c r="J66" s="175"/>
      <c r="K66" s="190"/>
      <c r="L66" s="124"/>
      <c r="M66" s="124"/>
      <c r="N66" s="124"/>
      <c r="O66" s="191"/>
      <c r="P66" s="181"/>
      <c r="Q66" s="124"/>
      <c r="R66" s="124"/>
      <c r="S66" s="124"/>
      <c r="T66" s="161"/>
      <c r="U66" s="155"/>
      <c r="V66" s="222"/>
    </row>
    <row r="67" spans="1:22">
      <c r="A67" s="117">
        <v>66</v>
      </c>
      <c r="B67" s="120"/>
      <c r="C67" s="120"/>
      <c r="D67" s="120"/>
      <c r="E67" s="120"/>
      <c r="F67" s="120"/>
      <c r="G67" s="145"/>
      <c r="H67" s="149"/>
      <c r="I67" s="160"/>
      <c r="J67" s="175"/>
      <c r="K67" s="190"/>
      <c r="L67" s="124"/>
      <c r="M67" s="124"/>
      <c r="N67" s="124"/>
      <c r="O67" s="191"/>
      <c r="P67" s="181"/>
      <c r="Q67" s="124"/>
      <c r="R67" s="124"/>
      <c r="S67" s="124"/>
      <c r="T67" s="161"/>
      <c r="U67" s="155"/>
      <c r="V67" s="222"/>
    </row>
    <row r="68" spans="1:22">
      <c r="A68" s="117">
        <v>67</v>
      </c>
      <c r="B68" s="120"/>
      <c r="C68" s="120"/>
      <c r="D68" s="120"/>
      <c r="E68" s="120"/>
      <c r="F68" s="120"/>
      <c r="G68" s="145"/>
      <c r="H68" s="149"/>
      <c r="I68" s="160"/>
      <c r="J68" s="175"/>
      <c r="K68" s="190"/>
      <c r="L68" s="124"/>
      <c r="M68" s="124"/>
      <c r="N68" s="124"/>
      <c r="O68" s="191"/>
      <c r="P68" s="181"/>
      <c r="Q68" s="124"/>
      <c r="R68" s="124"/>
      <c r="S68" s="124"/>
      <c r="T68" s="161"/>
      <c r="U68" s="155"/>
      <c r="V68" s="222"/>
    </row>
    <row r="69" spans="1:22">
      <c r="A69" s="117">
        <v>68</v>
      </c>
      <c r="B69" s="120"/>
      <c r="C69" s="120"/>
      <c r="D69" s="120"/>
      <c r="E69" s="120"/>
      <c r="F69" s="120"/>
      <c r="G69" s="145"/>
      <c r="H69" s="149"/>
      <c r="I69" s="160"/>
      <c r="J69" s="175"/>
      <c r="K69" s="190"/>
      <c r="L69" s="124"/>
      <c r="M69" s="124"/>
      <c r="N69" s="124"/>
      <c r="O69" s="191"/>
      <c r="P69" s="181"/>
      <c r="Q69" s="124"/>
      <c r="R69" s="124"/>
      <c r="S69" s="124"/>
      <c r="T69" s="161"/>
      <c r="U69" s="155"/>
      <c r="V69" s="222"/>
    </row>
    <row r="70" spans="1:22">
      <c r="A70" s="117">
        <v>69</v>
      </c>
      <c r="B70" s="120"/>
      <c r="C70" s="120"/>
      <c r="D70" s="120"/>
      <c r="E70" s="120"/>
      <c r="F70" s="120"/>
      <c r="G70" s="145"/>
      <c r="H70" s="149"/>
      <c r="I70" s="160"/>
      <c r="J70" s="175"/>
      <c r="K70" s="190"/>
      <c r="L70" s="124"/>
      <c r="M70" s="124"/>
      <c r="N70" s="124"/>
      <c r="O70" s="191"/>
      <c r="P70" s="181"/>
      <c r="Q70" s="124"/>
      <c r="R70" s="124"/>
      <c r="S70" s="124"/>
      <c r="T70" s="161"/>
      <c r="U70" s="155"/>
      <c r="V70" s="222"/>
    </row>
    <row r="71" spans="1:22">
      <c r="A71" s="117">
        <v>70</v>
      </c>
      <c r="B71" s="120"/>
      <c r="C71" s="120"/>
      <c r="D71" s="120"/>
      <c r="E71" s="120"/>
      <c r="F71" s="120"/>
      <c r="G71" s="145"/>
      <c r="H71" s="149"/>
      <c r="I71" s="160"/>
      <c r="J71" s="175"/>
      <c r="K71" s="190"/>
      <c r="L71" s="124"/>
      <c r="M71" s="124"/>
      <c r="N71" s="124"/>
      <c r="O71" s="191"/>
      <c r="P71" s="181"/>
      <c r="Q71" s="124"/>
      <c r="R71" s="124"/>
      <c r="S71" s="124"/>
      <c r="T71" s="161"/>
      <c r="U71" s="155"/>
      <c r="V71" s="222"/>
    </row>
    <row r="72" spans="1:22">
      <c r="A72" s="117">
        <v>71</v>
      </c>
      <c r="B72" s="120"/>
      <c r="C72" s="120"/>
      <c r="D72" s="120"/>
      <c r="E72" s="120"/>
      <c r="F72" s="120"/>
      <c r="G72" s="145"/>
      <c r="H72" s="149"/>
      <c r="I72" s="160"/>
      <c r="J72" s="175"/>
      <c r="K72" s="190"/>
      <c r="L72" s="124"/>
      <c r="M72" s="124"/>
      <c r="N72" s="124"/>
      <c r="O72" s="191"/>
      <c r="P72" s="181"/>
      <c r="Q72" s="124"/>
      <c r="R72" s="124"/>
      <c r="S72" s="124"/>
      <c r="T72" s="161"/>
      <c r="U72" s="155"/>
      <c r="V72" s="222"/>
    </row>
    <row r="73" spans="1:22">
      <c r="A73" s="117">
        <v>72</v>
      </c>
      <c r="B73" s="120"/>
      <c r="C73" s="120"/>
      <c r="D73" s="120"/>
      <c r="E73" s="120"/>
      <c r="F73" s="120"/>
      <c r="G73" s="145"/>
      <c r="H73" s="149"/>
      <c r="I73" s="160"/>
      <c r="J73" s="175"/>
      <c r="K73" s="190"/>
      <c r="L73" s="124"/>
      <c r="M73" s="124"/>
      <c r="N73" s="124"/>
      <c r="O73" s="191"/>
      <c r="P73" s="181"/>
      <c r="Q73" s="124"/>
      <c r="R73" s="124"/>
      <c r="S73" s="124"/>
      <c r="T73" s="161"/>
      <c r="U73" s="155"/>
      <c r="V73" s="222"/>
    </row>
    <row r="74" spans="1:22">
      <c r="A74" s="117">
        <v>73</v>
      </c>
      <c r="B74" s="120"/>
      <c r="C74" s="120"/>
      <c r="D74" s="120"/>
      <c r="E74" s="120"/>
      <c r="F74" s="120"/>
      <c r="G74" s="145"/>
      <c r="H74" s="149"/>
      <c r="I74" s="160"/>
      <c r="J74" s="175"/>
      <c r="K74" s="190"/>
      <c r="L74" s="124"/>
      <c r="M74" s="124"/>
      <c r="N74" s="124"/>
      <c r="O74" s="191"/>
      <c r="P74" s="181"/>
      <c r="Q74" s="124"/>
      <c r="R74" s="124"/>
      <c r="S74" s="124"/>
      <c r="T74" s="161"/>
      <c r="U74" s="155"/>
      <c r="V74" s="222"/>
    </row>
    <row r="75" spans="1:22">
      <c r="A75" s="117">
        <v>74</v>
      </c>
      <c r="B75" s="120"/>
      <c r="C75" s="120"/>
      <c r="D75" s="120"/>
      <c r="E75" s="120"/>
      <c r="F75" s="120"/>
      <c r="G75" s="145"/>
      <c r="H75" s="149"/>
      <c r="I75" s="160"/>
      <c r="J75" s="175"/>
      <c r="K75" s="190"/>
      <c r="L75" s="124"/>
      <c r="M75" s="124"/>
      <c r="N75" s="124"/>
      <c r="O75" s="191"/>
      <c r="P75" s="181"/>
      <c r="Q75" s="124"/>
      <c r="R75" s="124"/>
      <c r="S75" s="124"/>
      <c r="T75" s="161"/>
      <c r="U75" s="155"/>
      <c r="V75" s="222"/>
    </row>
    <row r="76" spans="1:22">
      <c r="A76" s="117">
        <v>75</v>
      </c>
      <c r="B76" s="120"/>
      <c r="C76" s="120"/>
      <c r="D76" s="120"/>
      <c r="E76" s="120"/>
      <c r="F76" s="120"/>
      <c r="G76" s="145"/>
      <c r="H76" s="149"/>
      <c r="I76" s="160"/>
      <c r="J76" s="175"/>
      <c r="K76" s="190"/>
      <c r="L76" s="124"/>
      <c r="M76" s="124"/>
      <c r="N76" s="124"/>
      <c r="O76" s="191"/>
      <c r="P76" s="181"/>
      <c r="Q76" s="124"/>
      <c r="R76" s="124"/>
      <c r="S76" s="124"/>
      <c r="T76" s="161"/>
      <c r="U76" s="155"/>
      <c r="V76" s="222"/>
    </row>
    <row r="77" spans="1:22">
      <c r="A77" s="117">
        <v>76</v>
      </c>
      <c r="B77" s="120"/>
      <c r="C77" s="120"/>
      <c r="D77" s="120"/>
      <c r="E77" s="120"/>
      <c r="F77" s="120"/>
      <c r="G77" s="145"/>
      <c r="H77" s="149"/>
      <c r="I77" s="160"/>
      <c r="J77" s="175"/>
      <c r="K77" s="190"/>
      <c r="L77" s="124"/>
      <c r="M77" s="124"/>
      <c r="N77" s="124"/>
      <c r="O77" s="191"/>
      <c r="P77" s="181"/>
      <c r="Q77" s="124"/>
      <c r="R77" s="124"/>
      <c r="S77" s="124"/>
      <c r="T77" s="161"/>
      <c r="U77" s="155"/>
      <c r="V77" s="222"/>
    </row>
    <row r="78" spans="1:22">
      <c r="A78" s="117">
        <v>77</v>
      </c>
      <c r="B78" s="120"/>
      <c r="C78" s="120"/>
      <c r="D78" s="120"/>
      <c r="E78" s="120"/>
      <c r="F78" s="120"/>
      <c r="G78" s="145"/>
      <c r="H78" s="149"/>
      <c r="I78" s="160"/>
      <c r="J78" s="175"/>
      <c r="K78" s="190"/>
      <c r="L78" s="124"/>
      <c r="M78" s="124"/>
      <c r="N78" s="124"/>
      <c r="O78" s="191"/>
      <c r="P78" s="181"/>
      <c r="Q78" s="124"/>
      <c r="R78" s="124"/>
      <c r="S78" s="124"/>
      <c r="T78" s="161"/>
      <c r="U78" s="155"/>
      <c r="V78" s="222"/>
    </row>
    <row r="79" spans="1:22">
      <c r="A79" s="117">
        <v>78</v>
      </c>
      <c r="B79" s="120"/>
      <c r="C79" s="120"/>
      <c r="D79" s="120"/>
      <c r="E79" s="120"/>
      <c r="F79" s="120"/>
      <c r="G79" s="145"/>
      <c r="H79" s="149"/>
      <c r="I79" s="160"/>
      <c r="J79" s="175"/>
      <c r="K79" s="190"/>
      <c r="L79" s="124"/>
      <c r="M79" s="124"/>
      <c r="N79" s="124"/>
      <c r="O79" s="191"/>
      <c r="P79" s="181"/>
      <c r="Q79" s="124"/>
      <c r="R79" s="124"/>
      <c r="S79" s="124"/>
      <c r="T79" s="161"/>
      <c r="U79" s="155"/>
      <c r="V79" s="222"/>
    </row>
    <row r="80" spans="1:22">
      <c r="A80" s="117">
        <v>79</v>
      </c>
      <c r="B80" s="120"/>
      <c r="C80" s="120"/>
      <c r="D80" s="120"/>
      <c r="E80" s="120"/>
      <c r="F80" s="120"/>
      <c r="G80" s="145"/>
      <c r="H80" s="149"/>
      <c r="I80" s="160"/>
      <c r="J80" s="175"/>
      <c r="K80" s="190"/>
      <c r="L80" s="124"/>
      <c r="M80" s="124"/>
      <c r="N80" s="124"/>
      <c r="O80" s="191"/>
      <c r="P80" s="181"/>
      <c r="Q80" s="124"/>
      <c r="R80" s="124"/>
      <c r="S80" s="124"/>
      <c r="T80" s="161"/>
      <c r="U80" s="155"/>
      <c r="V80" s="222"/>
    </row>
    <row r="81" spans="1:22">
      <c r="A81" s="117">
        <v>80</v>
      </c>
      <c r="B81" s="120"/>
      <c r="C81" s="120"/>
      <c r="D81" s="120"/>
      <c r="E81" s="120"/>
      <c r="F81" s="120"/>
      <c r="G81" s="145"/>
      <c r="H81" s="149"/>
      <c r="I81" s="160"/>
      <c r="J81" s="175"/>
      <c r="K81" s="190"/>
      <c r="L81" s="124"/>
      <c r="M81" s="124"/>
      <c r="N81" s="124"/>
      <c r="O81" s="191"/>
      <c r="P81" s="181"/>
      <c r="Q81" s="124"/>
      <c r="R81" s="124"/>
      <c r="S81" s="124"/>
      <c r="T81" s="161"/>
      <c r="U81" s="155"/>
      <c r="V81" s="222"/>
    </row>
    <row r="82" spans="1:22">
      <c r="A82" s="117">
        <v>81</v>
      </c>
      <c r="B82" s="120"/>
      <c r="C82" s="120"/>
      <c r="D82" s="120"/>
      <c r="E82" s="120"/>
      <c r="F82" s="120"/>
      <c r="G82" s="145"/>
      <c r="H82" s="149"/>
      <c r="I82" s="160"/>
      <c r="J82" s="175"/>
      <c r="K82" s="190"/>
      <c r="L82" s="124"/>
      <c r="M82" s="124"/>
      <c r="N82" s="124"/>
      <c r="O82" s="191"/>
      <c r="P82" s="181"/>
      <c r="Q82" s="124"/>
      <c r="R82" s="124"/>
      <c r="S82" s="124"/>
      <c r="T82" s="161"/>
      <c r="U82" s="155"/>
      <c r="V82" s="222"/>
    </row>
    <row r="83" spans="1:22">
      <c r="A83" s="117">
        <v>82</v>
      </c>
      <c r="B83" s="120"/>
      <c r="C83" s="120"/>
      <c r="D83" s="120"/>
      <c r="E83" s="120"/>
      <c r="F83" s="120"/>
      <c r="G83" s="145"/>
      <c r="H83" s="149"/>
      <c r="I83" s="160"/>
      <c r="J83" s="175"/>
      <c r="K83" s="190"/>
      <c r="L83" s="124"/>
      <c r="M83" s="124"/>
      <c r="N83" s="124"/>
      <c r="O83" s="191"/>
      <c r="P83" s="181"/>
      <c r="Q83" s="124"/>
      <c r="R83" s="124"/>
      <c r="S83" s="124"/>
      <c r="T83" s="161"/>
      <c r="U83" s="155"/>
      <c r="V83" s="222"/>
    </row>
    <row r="84" spans="1:22">
      <c r="A84" s="117">
        <v>83</v>
      </c>
      <c r="B84" s="120"/>
      <c r="C84" s="120"/>
      <c r="D84" s="120"/>
      <c r="E84" s="120"/>
      <c r="F84" s="120"/>
      <c r="G84" s="145"/>
      <c r="H84" s="149"/>
      <c r="I84" s="160"/>
      <c r="J84" s="175"/>
      <c r="K84" s="190"/>
      <c r="L84" s="124"/>
      <c r="M84" s="124"/>
      <c r="N84" s="124"/>
      <c r="O84" s="191"/>
      <c r="P84" s="181"/>
      <c r="Q84" s="124"/>
      <c r="R84" s="124"/>
      <c r="S84" s="124"/>
      <c r="T84" s="161"/>
      <c r="U84" s="155"/>
      <c r="V84" s="222"/>
    </row>
    <row r="85" spans="1:22">
      <c r="A85" s="117">
        <v>84</v>
      </c>
      <c r="B85" s="120"/>
      <c r="C85" s="120"/>
      <c r="D85" s="120"/>
      <c r="E85" s="120"/>
      <c r="F85" s="120"/>
      <c r="G85" s="145"/>
      <c r="H85" s="149"/>
      <c r="I85" s="160"/>
      <c r="J85" s="175"/>
      <c r="K85" s="190"/>
      <c r="L85" s="124"/>
      <c r="M85" s="124"/>
      <c r="N85" s="124"/>
      <c r="O85" s="191"/>
      <c r="P85" s="181"/>
      <c r="Q85" s="124"/>
      <c r="R85" s="124"/>
      <c r="S85" s="124"/>
      <c r="T85" s="161"/>
      <c r="U85" s="155"/>
      <c r="V85" s="222"/>
    </row>
    <row r="86" spans="1:22">
      <c r="A86" s="117">
        <v>85</v>
      </c>
      <c r="B86" s="120"/>
      <c r="C86" s="120"/>
      <c r="D86" s="120"/>
      <c r="E86" s="120"/>
      <c r="F86" s="120"/>
      <c r="G86" s="145"/>
      <c r="H86" s="149"/>
      <c r="I86" s="160"/>
      <c r="J86" s="175"/>
      <c r="K86" s="190"/>
      <c r="L86" s="124"/>
      <c r="M86" s="124"/>
      <c r="N86" s="124"/>
      <c r="O86" s="191"/>
      <c r="P86" s="181"/>
      <c r="Q86" s="124"/>
      <c r="R86" s="124"/>
      <c r="S86" s="124"/>
      <c r="T86" s="161"/>
      <c r="U86" s="155"/>
      <c r="V86" s="222"/>
    </row>
    <row r="87" spans="1:22">
      <c r="A87" s="117">
        <v>86</v>
      </c>
      <c r="B87" s="120"/>
      <c r="C87" s="120"/>
      <c r="D87" s="120"/>
      <c r="E87" s="120"/>
      <c r="F87" s="120"/>
      <c r="G87" s="145"/>
      <c r="H87" s="149"/>
      <c r="I87" s="160"/>
      <c r="J87" s="175"/>
      <c r="K87" s="190"/>
      <c r="L87" s="124"/>
      <c r="M87" s="124"/>
      <c r="N87" s="124"/>
      <c r="O87" s="191"/>
      <c r="P87" s="181"/>
      <c r="Q87" s="124"/>
      <c r="R87" s="124"/>
      <c r="S87" s="124"/>
      <c r="T87" s="161"/>
      <c r="U87" s="155"/>
      <c r="V87" s="222"/>
    </row>
    <row r="88" spans="1:22">
      <c r="A88" s="117">
        <v>87</v>
      </c>
      <c r="B88" s="120"/>
      <c r="C88" s="120"/>
      <c r="D88" s="120"/>
      <c r="E88" s="120"/>
      <c r="F88" s="120"/>
      <c r="G88" s="145"/>
      <c r="H88" s="149"/>
      <c r="I88" s="160"/>
      <c r="J88" s="175"/>
      <c r="K88" s="190"/>
      <c r="L88" s="124"/>
      <c r="M88" s="124"/>
      <c r="N88" s="124"/>
      <c r="O88" s="191"/>
      <c r="P88" s="181"/>
      <c r="Q88" s="124"/>
      <c r="R88" s="124"/>
      <c r="S88" s="124"/>
      <c r="T88" s="161"/>
      <c r="U88" s="155"/>
      <c r="V88" s="222"/>
    </row>
    <row r="89" spans="1:22">
      <c r="A89" s="117">
        <v>88</v>
      </c>
      <c r="B89" s="120"/>
      <c r="C89" s="120"/>
      <c r="D89" s="120"/>
      <c r="E89" s="120"/>
      <c r="F89" s="120"/>
      <c r="G89" s="145"/>
      <c r="H89" s="149"/>
      <c r="I89" s="160"/>
      <c r="J89" s="175"/>
      <c r="K89" s="190"/>
      <c r="L89" s="124"/>
      <c r="M89" s="124"/>
      <c r="N89" s="124"/>
      <c r="O89" s="191"/>
      <c r="P89" s="181"/>
      <c r="Q89" s="124"/>
      <c r="R89" s="124"/>
      <c r="S89" s="124"/>
      <c r="T89" s="161"/>
      <c r="U89" s="155"/>
      <c r="V89" s="222"/>
    </row>
    <row r="90" spans="1:22">
      <c r="A90" s="117">
        <v>89</v>
      </c>
      <c r="B90" s="120"/>
      <c r="C90" s="120"/>
      <c r="D90" s="120"/>
      <c r="E90" s="120"/>
      <c r="F90" s="120"/>
      <c r="G90" s="145"/>
      <c r="H90" s="149"/>
      <c r="I90" s="160"/>
      <c r="J90" s="175"/>
      <c r="K90" s="190"/>
      <c r="L90" s="124"/>
      <c r="M90" s="124"/>
      <c r="N90" s="124"/>
      <c r="O90" s="191"/>
      <c r="P90" s="181"/>
      <c r="Q90" s="124"/>
      <c r="R90" s="124"/>
      <c r="S90" s="124"/>
      <c r="T90" s="161"/>
      <c r="U90" s="155"/>
      <c r="V90" s="222"/>
    </row>
    <row r="91" spans="1:22">
      <c r="A91" s="117">
        <v>90</v>
      </c>
      <c r="B91" s="120"/>
      <c r="C91" s="120"/>
      <c r="D91" s="120"/>
      <c r="E91" s="120"/>
      <c r="F91" s="120"/>
      <c r="G91" s="145"/>
      <c r="H91" s="149"/>
      <c r="I91" s="160"/>
      <c r="J91" s="175"/>
      <c r="K91" s="190"/>
      <c r="L91" s="124"/>
      <c r="M91" s="124"/>
      <c r="N91" s="124"/>
      <c r="O91" s="191"/>
      <c r="P91" s="181"/>
      <c r="Q91" s="124"/>
      <c r="R91" s="124"/>
      <c r="S91" s="124"/>
      <c r="T91" s="161"/>
      <c r="U91" s="155"/>
      <c r="V91" s="222"/>
    </row>
    <row r="92" spans="1:22">
      <c r="A92" s="117">
        <v>91</v>
      </c>
      <c r="B92" s="120"/>
      <c r="C92" s="120"/>
      <c r="D92" s="120"/>
      <c r="E92" s="120"/>
      <c r="F92" s="120"/>
      <c r="G92" s="145"/>
      <c r="H92" s="149"/>
      <c r="I92" s="160"/>
      <c r="J92" s="175"/>
      <c r="K92" s="190"/>
      <c r="L92" s="124"/>
      <c r="M92" s="124"/>
      <c r="N92" s="124"/>
      <c r="O92" s="191"/>
      <c r="P92" s="181"/>
      <c r="Q92" s="124"/>
      <c r="R92" s="124"/>
      <c r="S92" s="124"/>
      <c r="T92" s="161"/>
      <c r="U92" s="155"/>
      <c r="V92" s="222"/>
    </row>
    <row r="93" spans="1:22">
      <c r="A93" s="117">
        <v>92</v>
      </c>
      <c r="B93" s="120"/>
      <c r="C93" s="120"/>
      <c r="D93" s="120"/>
      <c r="E93" s="120"/>
      <c r="F93" s="120"/>
      <c r="G93" s="145"/>
      <c r="H93" s="149"/>
      <c r="I93" s="160"/>
      <c r="J93" s="175"/>
      <c r="K93" s="190"/>
      <c r="L93" s="124"/>
      <c r="M93" s="124"/>
      <c r="N93" s="124"/>
      <c r="O93" s="191"/>
      <c r="P93" s="181"/>
      <c r="Q93" s="124"/>
      <c r="R93" s="124"/>
      <c r="S93" s="124"/>
      <c r="T93" s="161"/>
      <c r="U93" s="155"/>
      <c r="V93" s="222"/>
    </row>
    <row r="94" spans="1:22">
      <c r="A94" s="117">
        <v>93</v>
      </c>
      <c r="B94" s="120"/>
      <c r="C94" s="120"/>
      <c r="D94" s="120"/>
      <c r="E94" s="120"/>
      <c r="F94" s="120"/>
      <c r="G94" s="145"/>
      <c r="H94" s="149"/>
      <c r="I94" s="160"/>
      <c r="J94" s="175"/>
      <c r="K94" s="190"/>
      <c r="L94" s="124"/>
      <c r="M94" s="124"/>
      <c r="N94" s="124"/>
      <c r="O94" s="191"/>
      <c r="P94" s="181"/>
      <c r="Q94" s="124"/>
      <c r="R94" s="124"/>
      <c r="S94" s="124"/>
      <c r="T94" s="161"/>
      <c r="U94" s="155"/>
      <c r="V94" s="222"/>
    </row>
    <row r="95" spans="1:22">
      <c r="A95" s="117">
        <v>94</v>
      </c>
      <c r="B95" s="120"/>
      <c r="C95" s="120"/>
      <c r="D95" s="120"/>
      <c r="E95" s="120"/>
      <c r="F95" s="120"/>
      <c r="G95" s="145"/>
      <c r="H95" s="149"/>
      <c r="I95" s="160"/>
      <c r="J95" s="175"/>
      <c r="K95" s="190"/>
      <c r="L95" s="124"/>
      <c r="M95" s="124"/>
      <c r="N95" s="124"/>
      <c r="O95" s="191"/>
      <c r="P95" s="181"/>
      <c r="Q95" s="124"/>
      <c r="R95" s="124"/>
      <c r="S95" s="124"/>
      <c r="T95" s="161"/>
      <c r="U95" s="155"/>
      <c r="V95" s="222"/>
    </row>
    <row r="96" spans="1:22">
      <c r="A96" s="117">
        <v>95</v>
      </c>
      <c r="B96" s="120"/>
      <c r="C96" s="120"/>
      <c r="D96" s="120"/>
      <c r="E96" s="120"/>
      <c r="F96" s="120"/>
      <c r="G96" s="145"/>
      <c r="H96" s="149"/>
      <c r="I96" s="160"/>
      <c r="J96" s="175"/>
      <c r="K96" s="190"/>
      <c r="L96" s="124"/>
      <c r="M96" s="124"/>
      <c r="N96" s="124"/>
      <c r="O96" s="191"/>
      <c r="P96" s="181"/>
      <c r="Q96" s="124"/>
      <c r="R96" s="124"/>
      <c r="S96" s="124"/>
      <c r="T96" s="161"/>
      <c r="U96" s="155"/>
      <c r="V96" s="222"/>
    </row>
    <row r="97" spans="1:22">
      <c r="A97" s="117">
        <v>96</v>
      </c>
      <c r="B97" s="120"/>
      <c r="C97" s="120"/>
      <c r="D97" s="120"/>
      <c r="E97" s="120"/>
      <c r="F97" s="120"/>
      <c r="G97" s="145"/>
      <c r="H97" s="149"/>
      <c r="I97" s="160"/>
      <c r="J97" s="175"/>
      <c r="K97" s="190"/>
      <c r="L97" s="124"/>
      <c r="M97" s="124"/>
      <c r="N97" s="124"/>
      <c r="O97" s="191"/>
      <c r="P97" s="181"/>
      <c r="Q97" s="124"/>
      <c r="R97" s="124"/>
      <c r="S97" s="124"/>
      <c r="T97" s="161"/>
      <c r="U97" s="155"/>
      <c r="V97" s="222"/>
    </row>
    <row r="98" spans="1:22">
      <c r="A98" s="117">
        <v>97</v>
      </c>
      <c r="B98" s="120"/>
      <c r="C98" s="120"/>
      <c r="D98" s="120"/>
      <c r="E98" s="120"/>
      <c r="F98" s="120"/>
      <c r="G98" s="145"/>
      <c r="H98" s="149"/>
      <c r="I98" s="160"/>
      <c r="J98" s="175"/>
      <c r="K98" s="190"/>
      <c r="L98" s="124"/>
      <c r="M98" s="124"/>
      <c r="N98" s="124"/>
      <c r="O98" s="191"/>
      <c r="P98" s="181"/>
      <c r="Q98" s="124"/>
      <c r="R98" s="124"/>
      <c r="S98" s="124"/>
      <c r="T98" s="161"/>
      <c r="U98" s="155"/>
      <c r="V98" s="222"/>
    </row>
    <row r="99" spans="1:22">
      <c r="A99" s="117">
        <v>98</v>
      </c>
      <c r="B99" s="120"/>
      <c r="C99" s="120"/>
      <c r="D99" s="120"/>
      <c r="E99" s="120"/>
      <c r="F99" s="120"/>
      <c r="G99" s="145"/>
      <c r="H99" s="149"/>
      <c r="I99" s="160"/>
      <c r="J99" s="175"/>
      <c r="K99" s="190"/>
      <c r="L99" s="124"/>
      <c r="M99" s="124"/>
      <c r="N99" s="124"/>
      <c r="O99" s="191"/>
      <c r="P99" s="181"/>
      <c r="Q99" s="124"/>
      <c r="R99" s="124"/>
      <c r="S99" s="124"/>
      <c r="T99" s="161"/>
      <c r="U99" s="155"/>
      <c r="V99" s="222"/>
    </row>
    <row r="100" spans="1:22">
      <c r="A100" s="117">
        <v>99</v>
      </c>
      <c r="B100" s="120"/>
      <c r="C100" s="120"/>
      <c r="D100" s="120"/>
      <c r="E100" s="120"/>
      <c r="F100" s="120"/>
      <c r="G100" s="145"/>
      <c r="H100" s="149"/>
      <c r="I100" s="160"/>
      <c r="J100" s="175"/>
      <c r="K100" s="190"/>
      <c r="L100" s="124"/>
      <c r="M100" s="124"/>
      <c r="N100" s="124"/>
      <c r="O100" s="191"/>
      <c r="P100" s="181"/>
      <c r="Q100" s="124"/>
      <c r="R100" s="124"/>
      <c r="S100" s="124"/>
      <c r="T100" s="161"/>
      <c r="U100" s="155"/>
      <c r="V100" s="222"/>
    </row>
    <row r="101" spans="1:22">
      <c r="A101" s="117">
        <v>100</v>
      </c>
      <c r="B101" s="120"/>
      <c r="C101" s="120"/>
      <c r="D101" s="120"/>
      <c r="E101" s="120"/>
      <c r="F101" s="120"/>
      <c r="G101" s="145"/>
      <c r="H101" s="149"/>
      <c r="I101" s="160"/>
      <c r="J101" s="175"/>
      <c r="K101" s="190"/>
      <c r="L101" s="124"/>
      <c r="M101" s="124"/>
      <c r="N101" s="124"/>
      <c r="O101" s="191"/>
      <c r="P101" s="181"/>
      <c r="Q101" s="124"/>
      <c r="R101" s="124"/>
      <c r="S101" s="124"/>
      <c r="T101" s="161"/>
      <c r="U101" s="155"/>
      <c r="V101" s="222"/>
    </row>
    <row r="102" spans="1:22">
      <c r="A102" s="117">
        <v>101</v>
      </c>
      <c r="B102" s="120"/>
      <c r="C102" s="120"/>
      <c r="D102" s="120"/>
      <c r="E102" s="120"/>
      <c r="F102" s="120"/>
      <c r="G102" s="145"/>
      <c r="H102" s="149"/>
      <c r="I102" s="160"/>
      <c r="J102" s="175"/>
      <c r="K102" s="190"/>
      <c r="L102" s="124"/>
      <c r="M102" s="124"/>
      <c r="N102" s="124"/>
      <c r="O102" s="191"/>
      <c r="P102" s="181"/>
      <c r="Q102" s="124"/>
      <c r="R102" s="124"/>
      <c r="S102" s="124"/>
      <c r="T102" s="161"/>
      <c r="U102" s="155"/>
      <c r="V102" s="222"/>
    </row>
    <row r="103" spans="1:22">
      <c r="A103" s="117">
        <v>102</v>
      </c>
      <c r="B103" s="120"/>
      <c r="C103" s="120"/>
      <c r="D103" s="120"/>
      <c r="E103" s="120"/>
      <c r="F103" s="120"/>
      <c r="G103" s="145"/>
      <c r="H103" s="149"/>
      <c r="I103" s="160"/>
      <c r="J103" s="175"/>
      <c r="K103" s="190"/>
      <c r="L103" s="124"/>
      <c r="M103" s="124"/>
      <c r="N103" s="124"/>
      <c r="O103" s="191"/>
      <c r="P103" s="181"/>
      <c r="Q103" s="124"/>
      <c r="R103" s="124"/>
      <c r="S103" s="124"/>
      <c r="T103" s="161"/>
      <c r="U103" s="155"/>
      <c r="V103" s="222"/>
    </row>
    <row r="104" spans="1:22">
      <c r="A104" s="117">
        <v>103</v>
      </c>
      <c r="B104" s="120"/>
      <c r="C104" s="120"/>
      <c r="D104" s="120"/>
      <c r="E104" s="120"/>
      <c r="F104" s="120"/>
      <c r="G104" s="145"/>
      <c r="H104" s="149"/>
      <c r="I104" s="160"/>
      <c r="J104" s="175"/>
      <c r="K104" s="190"/>
      <c r="L104" s="124"/>
      <c r="M104" s="124"/>
      <c r="N104" s="124"/>
      <c r="O104" s="191"/>
      <c r="P104" s="181"/>
      <c r="Q104" s="124"/>
      <c r="R104" s="124"/>
      <c r="S104" s="124"/>
      <c r="T104" s="161"/>
      <c r="U104" s="155"/>
      <c r="V104" s="222"/>
    </row>
    <row r="105" spans="1:22">
      <c r="A105" s="117">
        <v>104</v>
      </c>
      <c r="B105" s="120"/>
      <c r="C105" s="120"/>
      <c r="D105" s="120"/>
      <c r="E105" s="120"/>
      <c r="F105" s="120"/>
      <c r="G105" s="145"/>
      <c r="H105" s="149"/>
      <c r="I105" s="160"/>
      <c r="J105" s="175"/>
      <c r="K105" s="190"/>
      <c r="L105" s="124"/>
      <c r="M105" s="124"/>
      <c r="N105" s="124"/>
      <c r="O105" s="191"/>
      <c r="P105" s="181"/>
      <c r="Q105" s="124"/>
      <c r="R105" s="124"/>
      <c r="S105" s="124"/>
      <c r="T105" s="161"/>
      <c r="U105" s="155"/>
      <c r="V105" s="222"/>
    </row>
    <row r="106" spans="1:22">
      <c r="A106" s="117">
        <v>105</v>
      </c>
      <c r="B106" s="120"/>
      <c r="C106" s="120"/>
      <c r="D106" s="120"/>
      <c r="E106" s="120"/>
      <c r="F106" s="120"/>
      <c r="G106" s="145"/>
      <c r="H106" s="149"/>
      <c r="I106" s="160"/>
      <c r="J106" s="175"/>
      <c r="K106" s="190"/>
      <c r="L106" s="124"/>
      <c r="M106" s="124"/>
      <c r="N106" s="124"/>
      <c r="O106" s="191"/>
      <c r="P106" s="181"/>
      <c r="Q106" s="124"/>
      <c r="R106" s="124"/>
      <c r="S106" s="124"/>
      <c r="T106" s="161"/>
      <c r="U106" s="155"/>
      <c r="V106" s="222"/>
    </row>
    <row r="107" spans="1:22">
      <c r="A107" s="117">
        <v>106</v>
      </c>
      <c r="B107" s="120"/>
      <c r="C107" s="120"/>
      <c r="D107" s="120"/>
      <c r="E107" s="120"/>
      <c r="F107" s="120"/>
      <c r="G107" s="145"/>
      <c r="H107" s="149"/>
      <c r="I107" s="160"/>
      <c r="J107" s="175"/>
      <c r="K107" s="190"/>
      <c r="L107" s="124"/>
      <c r="M107" s="124"/>
      <c r="N107" s="124"/>
      <c r="O107" s="191"/>
      <c r="P107" s="181"/>
      <c r="Q107" s="124"/>
      <c r="R107" s="124"/>
      <c r="S107" s="124"/>
      <c r="T107" s="161"/>
      <c r="U107" s="155"/>
      <c r="V107" s="222"/>
    </row>
    <row r="108" spans="1:22">
      <c r="A108" s="117">
        <v>107</v>
      </c>
      <c r="B108" s="120"/>
      <c r="C108" s="120"/>
      <c r="D108" s="120"/>
      <c r="E108" s="120"/>
      <c r="F108" s="120"/>
      <c r="G108" s="145"/>
      <c r="H108" s="149"/>
      <c r="I108" s="160"/>
      <c r="J108" s="175"/>
      <c r="K108" s="190"/>
      <c r="L108" s="124"/>
      <c r="M108" s="124"/>
      <c r="N108" s="124"/>
      <c r="O108" s="191"/>
      <c r="P108" s="181"/>
      <c r="Q108" s="124"/>
      <c r="R108" s="124"/>
      <c r="S108" s="124"/>
      <c r="T108" s="161"/>
      <c r="U108" s="155"/>
      <c r="V108" s="222"/>
    </row>
    <row r="109" spans="1:22">
      <c r="A109" s="117">
        <v>108</v>
      </c>
      <c r="B109" s="120"/>
      <c r="C109" s="120"/>
      <c r="D109" s="120"/>
      <c r="E109" s="120"/>
      <c r="F109" s="120"/>
      <c r="G109" s="145"/>
      <c r="H109" s="149"/>
      <c r="I109" s="160"/>
      <c r="J109" s="175"/>
      <c r="K109" s="190"/>
      <c r="L109" s="124"/>
      <c r="M109" s="124"/>
      <c r="N109" s="124"/>
      <c r="O109" s="191"/>
      <c r="P109" s="181"/>
      <c r="Q109" s="124"/>
      <c r="R109" s="124"/>
      <c r="S109" s="124"/>
      <c r="T109" s="161"/>
      <c r="U109" s="155"/>
      <c r="V109" s="222"/>
    </row>
    <row r="110" spans="1:22">
      <c r="A110" s="117">
        <v>109</v>
      </c>
      <c r="B110" s="120"/>
      <c r="C110" s="120"/>
      <c r="D110" s="120"/>
      <c r="E110" s="120"/>
      <c r="F110" s="120"/>
      <c r="G110" s="145"/>
      <c r="H110" s="149"/>
      <c r="I110" s="160"/>
      <c r="J110" s="175"/>
      <c r="K110" s="190"/>
      <c r="L110" s="124"/>
      <c r="M110" s="124"/>
      <c r="N110" s="124"/>
      <c r="O110" s="191"/>
      <c r="P110" s="181"/>
      <c r="Q110" s="124"/>
      <c r="R110" s="124"/>
      <c r="S110" s="124"/>
      <c r="T110" s="161"/>
      <c r="U110" s="155"/>
      <c r="V110" s="222"/>
    </row>
    <row r="111" spans="1:22">
      <c r="A111" s="117">
        <v>110</v>
      </c>
      <c r="B111" s="120"/>
      <c r="C111" s="120"/>
      <c r="D111" s="120"/>
      <c r="E111" s="120"/>
      <c r="F111" s="120"/>
      <c r="G111" s="145"/>
      <c r="H111" s="149"/>
      <c r="I111" s="160"/>
      <c r="J111" s="175"/>
      <c r="K111" s="190"/>
      <c r="L111" s="124"/>
      <c r="M111" s="124"/>
      <c r="N111" s="124"/>
      <c r="O111" s="191"/>
      <c r="P111" s="181"/>
      <c r="Q111" s="124"/>
      <c r="R111" s="124"/>
      <c r="S111" s="124"/>
      <c r="T111" s="161"/>
      <c r="U111" s="155"/>
      <c r="V111" s="222"/>
    </row>
    <row r="112" spans="1:22">
      <c r="A112" s="117">
        <v>111</v>
      </c>
      <c r="B112" s="120"/>
      <c r="C112" s="120"/>
      <c r="D112" s="120"/>
      <c r="E112" s="120"/>
      <c r="F112" s="120"/>
      <c r="G112" s="145"/>
      <c r="H112" s="149"/>
      <c r="I112" s="160"/>
      <c r="J112" s="175"/>
      <c r="K112" s="190"/>
      <c r="L112" s="124"/>
      <c r="M112" s="124"/>
      <c r="N112" s="124"/>
      <c r="O112" s="191"/>
      <c r="P112" s="181"/>
      <c r="Q112" s="124"/>
      <c r="R112" s="124"/>
      <c r="S112" s="124"/>
      <c r="T112" s="161"/>
      <c r="U112" s="155"/>
      <c r="V112" s="222"/>
    </row>
    <row r="113" spans="1:22">
      <c r="A113" s="117">
        <v>112</v>
      </c>
      <c r="B113" s="120"/>
      <c r="C113" s="120"/>
      <c r="D113" s="120"/>
      <c r="E113" s="120"/>
      <c r="F113" s="120"/>
      <c r="G113" s="145"/>
      <c r="H113" s="149"/>
      <c r="I113" s="160"/>
      <c r="J113" s="175"/>
      <c r="K113" s="190"/>
      <c r="L113" s="124"/>
      <c r="M113" s="124"/>
      <c r="N113" s="124"/>
      <c r="O113" s="191"/>
      <c r="P113" s="181"/>
      <c r="Q113" s="124"/>
      <c r="R113" s="124"/>
      <c r="S113" s="124"/>
      <c r="T113" s="161"/>
      <c r="U113" s="155"/>
      <c r="V113" s="222"/>
    </row>
    <row r="114" spans="1:22">
      <c r="A114" s="117">
        <v>113</v>
      </c>
      <c r="B114" s="120"/>
      <c r="C114" s="120"/>
      <c r="D114" s="120"/>
      <c r="E114" s="120"/>
      <c r="F114" s="120"/>
      <c r="G114" s="145"/>
      <c r="H114" s="149"/>
      <c r="I114" s="160"/>
      <c r="J114" s="175"/>
      <c r="K114" s="190"/>
      <c r="L114" s="124"/>
      <c r="M114" s="124"/>
      <c r="N114" s="124"/>
      <c r="O114" s="191"/>
      <c r="P114" s="181"/>
      <c r="Q114" s="124"/>
      <c r="R114" s="124"/>
      <c r="S114" s="124"/>
      <c r="T114" s="161"/>
      <c r="U114" s="155"/>
      <c r="V114" s="222"/>
    </row>
    <row r="115" spans="1:22">
      <c r="A115" s="117">
        <v>114</v>
      </c>
      <c r="B115" s="120"/>
      <c r="C115" s="120"/>
      <c r="D115" s="120"/>
      <c r="E115" s="120"/>
      <c r="F115" s="120"/>
      <c r="G115" s="145"/>
      <c r="H115" s="149"/>
      <c r="I115" s="160"/>
      <c r="J115" s="175"/>
      <c r="K115" s="190"/>
      <c r="L115" s="124"/>
      <c r="M115" s="124"/>
      <c r="N115" s="124"/>
      <c r="O115" s="191"/>
      <c r="P115" s="181"/>
      <c r="Q115" s="124"/>
      <c r="R115" s="124"/>
      <c r="S115" s="124"/>
      <c r="T115" s="161"/>
      <c r="U115" s="155"/>
      <c r="V115" s="222"/>
    </row>
    <row r="116" spans="1:22">
      <c r="A116" s="117">
        <v>115</v>
      </c>
      <c r="B116" s="120"/>
      <c r="C116" s="120"/>
      <c r="D116" s="120"/>
      <c r="E116" s="120"/>
      <c r="F116" s="120"/>
      <c r="G116" s="145"/>
      <c r="H116" s="149"/>
      <c r="I116" s="160"/>
      <c r="J116" s="175"/>
      <c r="K116" s="190"/>
      <c r="L116" s="124"/>
      <c r="M116" s="124"/>
      <c r="N116" s="124"/>
      <c r="O116" s="191"/>
      <c r="P116" s="181"/>
      <c r="Q116" s="124"/>
      <c r="R116" s="124"/>
      <c r="S116" s="124"/>
      <c r="T116" s="161"/>
      <c r="U116" s="155"/>
      <c r="V116" s="222"/>
    </row>
    <row r="117" spans="1:22">
      <c r="A117" s="117">
        <v>116</v>
      </c>
      <c r="B117" s="120"/>
      <c r="C117" s="120"/>
      <c r="D117" s="120"/>
      <c r="E117" s="120"/>
      <c r="F117" s="120"/>
      <c r="G117" s="145"/>
      <c r="H117" s="149"/>
      <c r="I117" s="160"/>
      <c r="J117" s="175"/>
      <c r="K117" s="190"/>
      <c r="L117" s="124"/>
      <c r="M117" s="124"/>
      <c r="N117" s="124"/>
      <c r="O117" s="191"/>
      <c r="P117" s="181"/>
      <c r="Q117" s="124"/>
      <c r="R117" s="124"/>
      <c r="S117" s="124"/>
      <c r="T117" s="161"/>
      <c r="U117" s="155"/>
      <c r="V117" s="222"/>
    </row>
    <row r="118" spans="1:22">
      <c r="A118" s="117">
        <v>117</v>
      </c>
      <c r="B118" s="120"/>
      <c r="C118" s="120"/>
      <c r="D118" s="120"/>
      <c r="E118" s="120"/>
      <c r="F118" s="120"/>
      <c r="G118" s="145"/>
      <c r="H118" s="149"/>
      <c r="I118" s="160"/>
      <c r="J118" s="175"/>
      <c r="K118" s="190"/>
      <c r="L118" s="124"/>
      <c r="M118" s="124"/>
      <c r="N118" s="124"/>
      <c r="O118" s="191"/>
      <c r="P118" s="181"/>
      <c r="Q118" s="124"/>
      <c r="R118" s="124"/>
      <c r="S118" s="124"/>
      <c r="T118" s="161"/>
      <c r="U118" s="155"/>
      <c r="V118" s="222"/>
    </row>
    <row r="119" spans="1:22">
      <c r="A119" s="117">
        <v>118</v>
      </c>
      <c r="B119" s="120"/>
      <c r="C119" s="120"/>
      <c r="D119" s="120"/>
      <c r="E119" s="120"/>
      <c r="F119" s="120"/>
      <c r="G119" s="145"/>
      <c r="H119" s="149"/>
      <c r="I119" s="160"/>
      <c r="J119" s="175"/>
      <c r="K119" s="190"/>
      <c r="L119" s="124"/>
      <c r="M119" s="124"/>
      <c r="N119" s="124"/>
      <c r="O119" s="191"/>
      <c r="P119" s="181"/>
      <c r="Q119" s="124"/>
      <c r="R119" s="124"/>
      <c r="S119" s="124"/>
      <c r="T119" s="161"/>
      <c r="U119" s="155"/>
      <c r="V119" s="222"/>
    </row>
    <row r="120" spans="1:22">
      <c r="A120" s="117">
        <v>119</v>
      </c>
      <c r="B120" s="120"/>
      <c r="C120" s="120"/>
      <c r="D120" s="120"/>
      <c r="E120" s="120"/>
      <c r="F120" s="120"/>
      <c r="G120" s="145"/>
      <c r="H120" s="149"/>
      <c r="I120" s="160"/>
      <c r="J120" s="175"/>
      <c r="K120" s="190"/>
      <c r="L120" s="124"/>
      <c r="M120" s="124"/>
      <c r="N120" s="124"/>
      <c r="O120" s="191"/>
      <c r="P120" s="181"/>
      <c r="Q120" s="124"/>
      <c r="R120" s="124"/>
      <c r="S120" s="124"/>
      <c r="T120" s="161"/>
      <c r="U120" s="155"/>
      <c r="V120" s="222"/>
    </row>
    <row r="121" spans="1:22">
      <c r="A121" s="117">
        <v>120</v>
      </c>
      <c r="B121" s="120"/>
      <c r="C121" s="120"/>
      <c r="D121" s="120"/>
      <c r="E121" s="120"/>
      <c r="F121" s="120"/>
      <c r="G121" s="145"/>
      <c r="H121" s="149"/>
      <c r="I121" s="163"/>
      <c r="J121" s="176"/>
      <c r="K121" s="192"/>
      <c r="L121" s="125"/>
      <c r="M121" s="125"/>
      <c r="N121" s="125"/>
      <c r="O121" s="193"/>
      <c r="P121" s="182"/>
      <c r="Q121" s="125"/>
      <c r="R121" s="125"/>
      <c r="S121" s="125"/>
      <c r="T121" s="162"/>
      <c r="U121" s="155"/>
      <c r="V121" s="222"/>
    </row>
    <row r="122" spans="1:22">
      <c r="A122" s="117">
        <v>121</v>
      </c>
      <c r="B122" s="120"/>
      <c r="C122" s="120"/>
      <c r="D122" s="120"/>
      <c r="E122" s="120"/>
      <c r="F122" s="120"/>
      <c r="G122" s="145"/>
      <c r="H122" s="149"/>
      <c r="I122" s="163"/>
      <c r="J122" s="176"/>
      <c r="K122" s="192"/>
      <c r="L122" s="125"/>
      <c r="M122" s="125"/>
      <c r="N122" s="125"/>
      <c r="O122" s="193"/>
      <c r="P122" s="182"/>
      <c r="Q122" s="125"/>
      <c r="R122" s="125"/>
      <c r="S122" s="125"/>
      <c r="T122" s="162"/>
      <c r="U122" s="155"/>
      <c r="V122" s="222"/>
    </row>
    <row r="123" spans="1:22">
      <c r="A123" s="117">
        <v>122</v>
      </c>
      <c r="B123" s="120"/>
      <c r="C123" s="120"/>
      <c r="D123" s="120"/>
      <c r="E123" s="120"/>
      <c r="F123" s="120"/>
      <c r="G123" s="145"/>
      <c r="H123" s="149"/>
      <c r="I123" s="163"/>
      <c r="J123" s="176"/>
      <c r="K123" s="192"/>
      <c r="L123" s="125"/>
      <c r="M123" s="125"/>
      <c r="N123" s="125"/>
      <c r="O123" s="193"/>
      <c r="P123" s="182"/>
      <c r="Q123" s="125"/>
      <c r="R123" s="125"/>
      <c r="S123" s="125"/>
      <c r="T123" s="162"/>
      <c r="U123" s="155"/>
      <c r="V123" s="222"/>
    </row>
    <row r="124" spans="1:22">
      <c r="A124" s="117">
        <v>123</v>
      </c>
      <c r="B124" s="120"/>
      <c r="C124" s="120"/>
      <c r="D124" s="120"/>
      <c r="E124" s="120"/>
      <c r="F124" s="120"/>
      <c r="G124" s="145"/>
      <c r="H124" s="149"/>
      <c r="I124" s="163"/>
      <c r="J124" s="176"/>
      <c r="K124" s="192"/>
      <c r="L124" s="125"/>
      <c r="M124" s="125"/>
      <c r="N124" s="125"/>
      <c r="O124" s="193"/>
      <c r="P124" s="182"/>
      <c r="Q124" s="125"/>
      <c r="R124" s="125"/>
      <c r="S124" s="125"/>
      <c r="T124" s="162"/>
      <c r="U124" s="155"/>
      <c r="V124" s="222"/>
    </row>
    <row r="125" spans="1:22">
      <c r="A125" s="117">
        <v>124</v>
      </c>
      <c r="B125" s="120"/>
      <c r="C125" s="120"/>
      <c r="D125" s="120"/>
      <c r="E125" s="120"/>
      <c r="F125" s="120"/>
      <c r="G125" s="145"/>
      <c r="H125" s="149"/>
      <c r="I125" s="163"/>
      <c r="J125" s="176"/>
      <c r="K125" s="192"/>
      <c r="L125" s="125"/>
      <c r="M125" s="125"/>
      <c r="N125" s="125"/>
      <c r="O125" s="193"/>
      <c r="P125" s="182"/>
      <c r="Q125" s="125"/>
      <c r="R125" s="125"/>
      <c r="S125" s="125"/>
      <c r="T125" s="162"/>
      <c r="U125" s="155"/>
      <c r="V125" s="222"/>
    </row>
    <row r="126" spans="1:22">
      <c r="A126" s="117">
        <v>125</v>
      </c>
      <c r="B126" s="120"/>
      <c r="C126" s="120"/>
      <c r="D126" s="120"/>
      <c r="E126" s="120"/>
      <c r="F126" s="120"/>
      <c r="G126" s="145"/>
      <c r="H126" s="149"/>
      <c r="I126" s="163"/>
      <c r="J126" s="176"/>
      <c r="K126" s="192"/>
      <c r="L126" s="125"/>
      <c r="M126" s="125"/>
      <c r="N126" s="125"/>
      <c r="O126" s="193"/>
      <c r="P126" s="182"/>
      <c r="Q126" s="125"/>
      <c r="R126" s="125"/>
      <c r="S126" s="125"/>
      <c r="T126" s="162"/>
      <c r="U126" s="155"/>
      <c r="V126" s="222"/>
    </row>
    <row r="127" spans="1:22">
      <c r="A127" s="117">
        <v>126</v>
      </c>
      <c r="B127" s="120"/>
      <c r="C127" s="120"/>
      <c r="D127" s="120"/>
      <c r="E127" s="120"/>
      <c r="F127" s="120"/>
      <c r="G127" s="145"/>
      <c r="H127" s="149"/>
      <c r="I127" s="163"/>
      <c r="J127" s="176"/>
      <c r="K127" s="192"/>
      <c r="L127" s="125"/>
      <c r="M127" s="125"/>
      <c r="N127" s="125"/>
      <c r="O127" s="193"/>
      <c r="P127" s="182"/>
      <c r="Q127" s="125"/>
      <c r="R127" s="125"/>
      <c r="S127" s="125"/>
      <c r="T127" s="162"/>
      <c r="U127" s="155"/>
      <c r="V127" s="222"/>
    </row>
    <row r="128" spans="1:22">
      <c r="A128" s="117">
        <v>127</v>
      </c>
      <c r="B128" s="120"/>
      <c r="C128" s="120"/>
      <c r="D128" s="120"/>
      <c r="E128" s="120"/>
      <c r="F128" s="120"/>
      <c r="G128" s="145"/>
      <c r="H128" s="149"/>
      <c r="I128" s="163"/>
      <c r="J128" s="176"/>
      <c r="K128" s="192"/>
      <c r="L128" s="125"/>
      <c r="M128" s="125"/>
      <c r="N128" s="125"/>
      <c r="O128" s="193"/>
      <c r="P128" s="182"/>
      <c r="Q128" s="125"/>
      <c r="R128" s="125"/>
      <c r="S128" s="125"/>
      <c r="T128" s="162"/>
      <c r="U128" s="155"/>
      <c r="V128" s="222"/>
    </row>
    <row r="129" spans="1:22">
      <c r="A129" s="117">
        <v>128</v>
      </c>
      <c r="B129" s="120"/>
      <c r="C129" s="120"/>
      <c r="D129" s="120"/>
      <c r="E129" s="120"/>
      <c r="F129" s="120"/>
      <c r="G129" s="145"/>
      <c r="H129" s="149"/>
      <c r="I129" s="163"/>
      <c r="J129" s="176"/>
      <c r="K129" s="192"/>
      <c r="L129" s="125"/>
      <c r="M129" s="125"/>
      <c r="N129" s="125"/>
      <c r="O129" s="193"/>
      <c r="P129" s="182"/>
      <c r="Q129" s="125"/>
      <c r="R129" s="125"/>
      <c r="S129" s="125"/>
      <c r="T129" s="162"/>
      <c r="U129" s="155"/>
      <c r="V129" s="222"/>
    </row>
    <row r="130" spans="1:22">
      <c r="A130" s="117">
        <v>129</v>
      </c>
      <c r="B130" s="120"/>
      <c r="C130" s="120"/>
      <c r="D130" s="120"/>
      <c r="E130" s="120"/>
      <c r="F130" s="120"/>
      <c r="G130" s="145"/>
      <c r="H130" s="149"/>
      <c r="I130" s="163"/>
      <c r="J130" s="176"/>
      <c r="K130" s="192"/>
      <c r="L130" s="125"/>
      <c r="M130" s="125"/>
      <c r="N130" s="125"/>
      <c r="O130" s="193"/>
      <c r="P130" s="182"/>
      <c r="Q130" s="125"/>
      <c r="R130" s="125"/>
      <c r="S130" s="125"/>
      <c r="T130" s="162"/>
      <c r="U130" s="155"/>
      <c r="V130" s="222"/>
    </row>
    <row r="131" spans="1:22">
      <c r="A131" s="117">
        <v>130</v>
      </c>
      <c r="B131" s="120"/>
      <c r="C131" s="120"/>
      <c r="D131" s="120"/>
      <c r="E131" s="120"/>
      <c r="F131" s="120"/>
      <c r="G131" s="145"/>
      <c r="H131" s="149"/>
      <c r="I131" s="163"/>
      <c r="J131" s="176"/>
      <c r="K131" s="192"/>
      <c r="L131" s="125"/>
      <c r="M131" s="125"/>
      <c r="N131" s="125"/>
      <c r="O131" s="193"/>
      <c r="P131" s="182"/>
      <c r="Q131" s="125"/>
      <c r="R131" s="125"/>
      <c r="S131" s="125"/>
      <c r="T131" s="162"/>
      <c r="U131" s="155"/>
      <c r="V131" s="222"/>
    </row>
    <row r="132" spans="1:22">
      <c r="A132" s="117">
        <v>131</v>
      </c>
      <c r="B132" s="120"/>
      <c r="C132" s="120"/>
      <c r="D132" s="120"/>
      <c r="E132" s="120"/>
      <c r="F132" s="120"/>
      <c r="G132" s="145"/>
      <c r="H132" s="149"/>
      <c r="I132" s="163"/>
      <c r="J132" s="176"/>
      <c r="K132" s="192"/>
      <c r="L132" s="125"/>
      <c r="M132" s="125"/>
      <c r="N132" s="125"/>
      <c r="O132" s="193"/>
      <c r="P132" s="182"/>
      <c r="Q132" s="125"/>
      <c r="R132" s="125"/>
      <c r="S132" s="125"/>
      <c r="T132" s="162"/>
      <c r="U132" s="155"/>
      <c r="V132" s="222"/>
    </row>
    <row r="133" spans="1:22">
      <c r="A133" s="117">
        <v>132</v>
      </c>
      <c r="B133" s="120"/>
      <c r="C133" s="120"/>
      <c r="D133" s="120"/>
      <c r="E133" s="120"/>
      <c r="F133" s="120"/>
      <c r="G133" s="145"/>
      <c r="H133" s="149"/>
      <c r="I133" s="163"/>
      <c r="J133" s="176"/>
      <c r="K133" s="192"/>
      <c r="L133" s="125"/>
      <c r="M133" s="125"/>
      <c r="N133" s="125"/>
      <c r="O133" s="193"/>
      <c r="P133" s="182"/>
      <c r="Q133" s="125"/>
      <c r="R133" s="125"/>
      <c r="S133" s="125"/>
      <c r="T133" s="162"/>
      <c r="U133" s="155"/>
      <c r="V133" s="222"/>
    </row>
    <row r="134" spans="1:22">
      <c r="A134" s="117">
        <v>133</v>
      </c>
      <c r="B134" s="120"/>
      <c r="C134" s="120"/>
      <c r="D134" s="120"/>
      <c r="E134" s="120"/>
      <c r="F134" s="120"/>
      <c r="G134" s="145"/>
      <c r="H134" s="149"/>
      <c r="I134" s="163"/>
      <c r="J134" s="176"/>
      <c r="K134" s="192"/>
      <c r="L134" s="125"/>
      <c r="M134" s="125"/>
      <c r="N134" s="125"/>
      <c r="O134" s="193"/>
      <c r="P134" s="182"/>
      <c r="Q134" s="125"/>
      <c r="R134" s="125"/>
      <c r="S134" s="125"/>
      <c r="T134" s="162"/>
      <c r="U134" s="155"/>
      <c r="V134" s="222"/>
    </row>
    <row r="135" spans="1:22">
      <c r="A135" s="117">
        <v>134</v>
      </c>
      <c r="B135" s="120"/>
      <c r="C135" s="120"/>
      <c r="D135" s="120"/>
      <c r="E135" s="120"/>
      <c r="F135" s="120"/>
      <c r="G135" s="145"/>
      <c r="H135" s="149"/>
      <c r="I135" s="163"/>
      <c r="J135" s="176"/>
      <c r="K135" s="192"/>
      <c r="L135" s="125"/>
      <c r="M135" s="125"/>
      <c r="N135" s="125"/>
      <c r="O135" s="193"/>
      <c r="P135" s="182"/>
      <c r="Q135" s="125"/>
      <c r="R135" s="125"/>
      <c r="S135" s="125"/>
      <c r="T135" s="162"/>
      <c r="U135" s="155"/>
      <c r="V135" s="222"/>
    </row>
    <row r="136" spans="1:22">
      <c r="A136" s="117">
        <v>135</v>
      </c>
      <c r="B136" s="120"/>
      <c r="C136" s="120"/>
      <c r="D136" s="120"/>
      <c r="E136" s="120"/>
      <c r="F136" s="120"/>
      <c r="G136" s="145"/>
      <c r="H136" s="149"/>
      <c r="I136" s="163"/>
      <c r="J136" s="176"/>
      <c r="K136" s="192"/>
      <c r="L136" s="125"/>
      <c r="M136" s="125"/>
      <c r="N136" s="125"/>
      <c r="O136" s="193"/>
      <c r="P136" s="182"/>
      <c r="Q136" s="125"/>
      <c r="R136" s="125"/>
      <c r="S136" s="125"/>
      <c r="T136" s="162"/>
      <c r="U136" s="155"/>
      <c r="V136" s="222"/>
    </row>
    <row r="137" spans="1:22">
      <c r="A137" s="117">
        <v>136</v>
      </c>
      <c r="B137" s="120"/>
      <c r="C137" s="120"/>
      <c r="D137" s="120"/>
      <c r="E137" s="120"/>
      <c r="F137" s="120"/>
      <c r="G137" s="145"/>
      <c r="H137" s="149"/>
      <c r="I137" s="163"/>
      <c r="J137" s="176"/>
      <c r="K137" s="192"/>
      <c r="L137" s="125"/>
      <c r="M137" s="125"/>
      <c r="N137" s="125"/>
      <c r="O137" s="193"/>
      <c r="P137" s="182"/>
      <c r="Q137" s="125"/>
      <c r="R137" s="125"/>
      <c r="S137" s="125"/>
      <c r="T137" s="162"/>
      <c r="U137" s="155"/>
      <c r="V137" s="222"/>
    </row>
    <row r="138" spans="1:22">
      <c r="A138" s="117">
        <v>137</v>
      </c>
      <c r="B138" s="120"/>
      <c r="C138" s="120"/>
      <c r="D138" s="120"/>
      <c r="E138" s="120"/>
      <c r="F138" s="120"/>
      <c r="G138" s="145"/>
      <c r="H138" s="149"/>
      <c r="I138" s="163"/>
      <c r="J138" s="176"/>
      <c r="K138" s="192"/>
      <c r="L138" s="125"/>
      <c r="M138" s="125"/>
      <c r="N138" s="125"/>
      <c r="O138" s="193"/>
      <c r="P138" s="182"/>
      <c r="Q138" s="125"/>
      <c r="R138" s="125"/>
      <c r="S138" s="125"/>
      <c r="T138" s="162"/>
      <c r="U138" s="155"/>
      <c r="V138" s="222"/>
    </row>
    <row r="139" spans="1:22">
      <c r="A139" s="117">
        <v>138</v>
      </c>
      <c r="B139" s="120"/>
      <c r="C139" s="120"/>
      <c r="D139" s="120"/>
      <c r="E139" s="120"/>
      <c r="F139" s="120"/>
      <c r="G139" s="145"/>
      <c r="H139" s="149"/>
      <c r="I139" s="163"/>
      <c r="J139" s="176"/>
      <c r="K139" s="192"/>
      <c r="L139" s="125"/>
      <c r="M139" s="125"/>
      <c r="N139" s="125"/>
      <c r="O139" s="193"/>
      <c r="P139" s="182"/>
      <c r="Q139" s="125"/>
      <c r="R139" s="125"/>
      <c r="S139" s="125"/>
      <c r="T139" s="162"/>
      <c r="U139" s="155"/>
      <c r="V139" s="222"/>
    </row>
    <row r="140" spans="1:22">
      <c r="A140" s="117">
        <v>139</v>
      </c>
      <c r="B140" s="120"/>
      <c r="C140" s="120"/>
      <c r="D140" s="120"/>
      <c r="E140" s="120"/>
      <c r="F140" s="120"/>
      <c r="G140" s="145"/>
      <c r="H140" s="149"/>
      <c r="I140" s="163"/>
      <c r="J140" s="176"/>
      <c r="K140" s="192"/>
      <c r="L140" s="125"/>
      <c r="M140" s="125"/>
      <c r="N140" s="125"/>
      <c r="O140" s="193"/>
      <c r="P140" s="182"/>
      <c r="Q140" s="125"/>
      <c r="R140" s="125"/>
      <c r="S140" s="125"/>
      <c r="T140" s="162"/>
      <c r="U140" s="155"/>
      <c r="V140" s="222"/>
    </row>
    <row r="141" spans="1:22">
      <c r="A141" s="117">
        <v>140</v>
      </c>
      <c r="B141" s="120"/>
      <c r="C141" s="120"/>
      <c r="D141" s="120"/>
      <c r="E141" s="120"/>
      <c r="F141" s="120"/>
      <c r="G141" s="145"/>
      <c r="H141" s="149"/>
      <c r="I141" s="163"/>
      <c r="J141" s="176"/>
      <c r="K141" s="192"/>
      <c r="L141" s="125"/>
      <c r="M141" s="125"/>
      <c r="N141" s="125"/>
      <c r="O141" s="193"/>
      <c r="P141" s="182"/>
      <c r="Q141" s="125"/>
      <c r="R141" s="125"/>
      <c r="S141" s="125"/>
      <c r="T141" s="162"/>
      <c r="U141" s="155"/>
      <c r="V141" s="222"/>
    </row>
    <row r="142" spans="1:22">
      <c r="A142" s="117">
        <v>141</v>
      </c>
      <c r="B142" s="120"/>
      <c r="C142" s="120"/>
      <c r="D142" s="120"/>
      <c r="E142" s="120"/>
      <c r="F142" s="120"/>
      <c r="G142" s="145"/>
      <c r="H142" s="149"/>
      <c r="I142" s="163"/>
      <c r="J142" s="176"/>
      <c r="K142" s="192"/>
      <c r="L142" s="125"/>
      <c r="M142" s="125"/>
      <c r="N142" s="125"/>
      <c r="O142" s="193"/>
      <c r="P142" s="182"/>
      <c r="Q142" s="125"/>
      <c r="R142" s="125"/>
      <c r="S142" s="125"/>
      <c r="T142" s="162"/>
      <c r="U142" s="155"/>
      <c r="V142" s="222"/>
    </row>
    <row r="143" spans="1:22">
      <c r="A143" s="117">
        <v>142</v>
      </c>
      <c r="B143" s="120"/>
      <c r="C143" s="120"/>
      <c r="D143" s="120"/>
      <c r="E143" s="120"/>
      <c r="F143" s="120"/>
      <c r="G143" s="145"/>
      <c r="H143" s="149"/>
      <c r="I143" s="163"/>
      <c r="J143" s="176"/>
      <c r="K143" s="192"/>
      <c r="L143" s="125"/>
      <c r="M143" s="125"/>
      <c r="N143" s="125"/>
      <c r="O143" s="193"/>
      <c r="P143" s="182"/>
      <c r="Q143" s="125"/>
      <c r="R143" s="125"/>
      <c r="S143" s="125"/>
      <c r="T143" s="162"/>
      <c r="U143" s="155"/>
      <c r="V143" s="222"/>
    </row>
    <row r="144" spans="1:22">
      <c r="A144" s="117">
        <v>143</v>
      </c>
      <c r="B144" s="120"/>
      <c r="C144" s="120"/>
      <c r="D144" s="120"/>
      <c r="E144" s="120"/>
      <c r="F144" s="120"/>
      <c r="G144" s="145"/>
      <c r="H144" s="149"/>
      <c r="I144" s="163"/>
      <c r="J144" s="176"/>
      <c r="K144" s="192"/>
      <c r="L144" s="125"/>
      <c r="M144" s="125"/>
      <c r="N144" s="125"/>
      <c r="O144" s="193"/>
      <c r="P144" s="182"/>
      <c r="Q144" s="125"/>
      <c r="R144" s="125"/>
      <c r="S144" s="125"/>
      <c r="T144" s="162"/>
      <c r="U144" s="155"/>
      <c r="V144" s="222"/>
    </row>
    <row r="145" spans="1:22">
      <c r="A145" s="117">
        <v>144</v>
      </c>
      <c r="B145" s="120"/>
      <c r="C145" s="120"/>
      <c r="D145" s="120"/>
      <c r="E145" s="120"/>
      <c r="F145" s="120"/>
      <c r="G145" s="145"/>
      <c r="H145" s="149"/>
      <c r="I145" s="163"/>
      <c r="J145" s="176"/>
      <c r="K145" s="192"/>
      <c r="L145" s="125"/>
      <c r="M145" s="125"/>
      <c r="N145" s="125"/>
      <c r="O145" s="193"/>
      <c r="P145" s="182"/>
      <c r="Q145" s="125"/>
      <c r="R145" s="125"/>
      <c r="S145" s="125"/>
      <c r="T145" s="162"/>
      <c r="U145" s="155"/>
      <c r="V145" s="222"/>
    </row>
    <row r="146" spans="1:22">
      <c r="A146" s="117">
        <v>145</v>
      </c>
      <c r="B146" s="120"/>
      <c r="C146" s="120"/>
      <c r="D146" s="120"/>
      <c r="E146" s="120"/>
      <c r="F146" s="120"/>
      <c r="G146" s="145"/>
      <c r="H146" s="149"/>
      <c r="I146" s="163"/>
      <c r="J146" s="176"/>
      <c r="K146" s="192"/>
      <c r="L146" s="125"/>
      <c r="M146" s="125"/>
      <c r="N146" s="125"/>
      <c r="O146" s="193"/>
      <c r="P146" s="182"/>
      <c r="Q146" s="125"/>
      <c r="R146" s="125"/>
      <c r="S146" s="125"/>
      <c r="T146" s="162"/>
      <c r="U146" s="155"/>
      <c r="V146" s="222"/>
    </row>
    <row r="147" spans="1:22">
      <c r="A147" s="117">
        <v>146</v>
      </c>
      <c r="B147" s="120"/>
      <c r="C147" s="120"/>
      <c r="D147" s="120"/>
      <c r="E147" s="120"/>
      <c r="F147" s="120"/>
      <c r="G147" s="145"/>
      <c r="H147" s="149"/>
      <c r="I147" s="163"/>
      <c r="J147" s="176"/>
      <c r="K147" s="192"/>
      <c r="L147" s="125"/>
      <c r="M147" s="125"/>
      <c r="N147" s="125"/>
      <c r="O147" s="193"/>
      <c r="P147" s="182"/>
      <c r="Q147" s="125"/>
      <c r="R147" s="125"/>
      <c r="S147" s="125"/>
      <c r="T147" s="162"/>
      <c r="U147" s="155"/>
      <c r="V147" s="222"/>
    </row>
    <row r="148" spans="1:22">
      <c r="A148" s="117">
        <v>147</v>
      </c>
      <c r="B148" s="120"/>
      <c r="C148" s="120"/>
      <c r="D148" s="120"/>
      <c r="E148" s="120"/>
      <c r="F148" s="120"/>
      <c r="G148" s="145"/>
      <c r="H148" s="149"/>
      <c r="I148" s="163"/>
      <c r="J148" s="176"/>
      <c r="K148" s="192"/>
      <c r="L148" s="125"/>
      <c r="M148" s="125"/>
      <c r="N148" s="125"/>
      <c r="O148" s="193"/>
      <c r="P148" s="182"/>
      <c r="Q148" s="125"/>
      <c r="R148" s="125"/>
      <c r="S148" s="125"/>
      <c r="T148" s="162"/>
      <c r="U148" s="155"/>
      <c r="V148" s="222"/>
    </row>
    <row r="149" spans="1:22">
      <c r="A149" s="117">
        <v>148</v>
      </c>
      <c r="B149" s="120"/>
      <c r="C149" s="120"/>
      <c r="D149" s="120"/>
      <c r="E149" s="120"/>
      <c r="F149" s="120"/>
      <c r="G149" s="145"/>
      <c r="H149" s="149"/>
      <c r="I149" s="163"/>
      <c r="J149" s="176"/>
      <c r="K149" s="192"/>
      <c r="L149" s="125"/>
      <c r="M149" s="125"/>
      <c r="N149" s="125"/>
      <c r="O149" s="193"/>
      <c r="P149" s="182"/>
      <c r="Q149" s="125"/>
      <c r="R149" s="125"/>
      <c r="S149" s="125"/>
      <c r="T149" s="162"/>
      <c r="U149" s="155"/>
      <c r="V149" s="222"/>
    </row>
    <row r="150" spans="1:22">
      <c r="A150" s="117">
        <v>149</v>
      </c>
      <c r="B150" s="120"/>
      <c r="C150" s="120"/>
      <c r="D150" s="120"/>
      <c r="E150" s="120"/>
      <c r="F150" s="120"/>
      <c r="G150" s="145"/>
      <c r="H150" s="149"/>
      <c r="I150" s="163"/>
      <c r="J150" s="176"/>
      <c r="K150" s="192"/>
      <c r="L150" s="125"/>
      <c r="M150" s="125"/>
      <c r="N150" s="125"/>
      <c r="O150" s="193"/>
      <c r="P150" s="182"/>
      <c r="Q150" s="125"/>
      <c r="R150" s="125"/>
      <c r="S150" s="125"/>
      <c r="T150" s="162"/>
      <c r="U150" s="155"/>
      <c r="V150" s="222"/>
    </row>
    <row r="151" spans="1:22">
      <c r="A151" s="117">
        <v>150</v>
      </c>
      <c r="B151" s="120"/>
      <c r="C151" s="120"/>
      <c r="D151" s="120"/>
      <c r="E151" s="120"/>
      <c r="F151" s="120"/>
      <c r="G151" s="145"/>
      <c r="H151" s="149"/>
      <c r="I151" s="163"/>
      <c r="J151" s="176"/>
      <c r="K151" s="192"/>
      <c r="L151" s="125"/>
      <c r="M151" s="125"/>
      <c r="N151" s="125"/>
      <c r="O151" s="193"/>
      <c r="P151" s="182"/>
      <c r="Q151" s="125"/>
      <c r="R151" s="125"/>
      <c r="S151" s="125"/>
      <c r="T151" s="162"/>
      <c r="U151" s="155"/>
      <c r="V151" s="222"/>
    </row>
    <row r="152" spans="1:22">
      <c r="A152" s="117">
        <v>151</v>
      </c>
      <c r="B152" s="120"/>
      <c r="C152" s="120"/>
      <c r="D152" s="120"/>
      <c r="E152" s="120"/>
      <c r="F152" s="120"/>
      <c r="G152" s="145"/>
      <c r="H152" s="149"/>
      <c r="I152" s="163"/>
      <c r="J152" s="176"/>
      <c r="K152" s="192"/>
      <c r="L152" s="125"/>
      <c r="M152" s="125"/>
      <c r="N152" s="125"/>
      <c r="O152" s="193"/>
      <c r="P152" s="182"/>
      <c r="Q152" s="125"/>
      <c r="R152" s="125"/>
      <c r="S152" s="125"/>
      <c r="T152" s="162"/>
      <c r="U152" s="155"/>
      <c r="V152" s="222"/>
    </row>
    <row r="153" spans="1:22">
      <c r="A153" s="117">
        <v>152</v>
      </c>
      <c r="B153" s="120"/>
      <c r="C153" s="120"/>
      <c r="D153" s="120"/>
      <c r="E153" s="120"/>
      <c r="F153" s="120"/>
      <c r="G153" s="145"/>
      <c r="H153" s="149"/>
      <c r="I153" s="163"/>
      <c r="J153" s="176"/>
      <c r="K153" s="192"/>
      <c r="L153" s="125"/>
      <c r="M153" s="125"/>
      <c r="N153" s="125"/>
      <c r="O153" s="193"/>
      <c r="P153" s="182"/>
      <c r="Q153" s="125"/>
      <c r="R153" s="125"/>
      <c r="S153" s="125"/>
      <c r="T153" s="162"/>
      <c r="U153" s="155"/>
      <c r="V153" s="222"/>
    </row>
    <row r="154" spans="1:22">
      <c r="A154" s="117">
        <v>153</v>
      </c>
      <c r="B154" s="120"/>
      <c r="C154" s="120"/>
      <c r="D154" s="120"/>
      <c r="E154" s="120"/>
      <c r="F154" s="120"/>
      <c r="G154" s="145"/>
      <c r="H154" s="149"/>
      <c r="I154" s="163"/>
      <c r="J154" s="176"/>
      <c r="K154" s="192"/>
      <c r="L154" s="125"/>
      <c r="M154" s="125"/>
      <c r="N154" s="125"/>
      <c r="O154" s="193"/>
      <c r="P154" s="182"/>
      <c r="Q154" s="125"/>
      <c r="R154" s="125"/>
      <c r="S154" s="125"/>
      <c r="T154" s="162"/>
      <c r="U154" s="155"/>
      <c r="V154" s="222"/>
    </row>
    <row r="155" spans="1:22">
      <c r="A155" s="117">
        <v>154</v>
      </c>
      <c r="B155" s="120"/>
      <c r="C155" s="120"/>
      <c r="D155" s="120"/>
      <c r="E155" s="120"/>
      <c r="F155" s="120"/>
      <c r="G155" s="145"/>
      <c r="H155" s="149"/>
      <c r="I155" s="163"/>
      <c r="J155" s="176"/>
      <c r="K155" s="192"/>
      <c r="L155" s="125"/>
      <c r="M155" s="125"/>
      <c r="N155" s="125"/>
      <c r="O155" s="193"/>
      <c r="P155" s="182"/>
      <c r="Q155" s="125"/>
      <c r="R155" s="125"/>
      <c r="S155" s="125"/>
      <c r="T155" s="162"/>
      <c r="U155" s="155"/>
      <c r="V155" s="222"/>
    </row>
    <row r="156" spans="1:22">
      <c r="A156" s="117">
        <v>155</v>
      </c>
      <c r="B156" s="120"/>
      <c r="C156" s="120"/>
      <c r="D156" s="120"/>
      <c r="E156" s="120"/>
      <c r="F156" s="120"/>
      <c r="G156" s="145"/>
      <c r="H156" s="149"/>
      <c r="I156" s="163"/>
      <c r="J156" s="176"/>
      <c r="K156" s="192"/>
      <c r="L156" s="125"/>
      <c r="M156" s="125"/>
      <c r="N156" s="125"/>
      <c r="O156" s="193"/>
      <c r="P156" s="182"/>
      <c r="Q156" s="125"/>
      <c r="R156" s="125"/>
      <c r="S156" s="125"/>
      <c r="T156" s="162"/>
      <c r="U156" s="155"/>
      <c r="V156" s="222"/>
    </row>
    <row r="157" spans="1:22">
      <c r="A157" s="117">
        <v>156</v>
      </c>
      <c r="B157" s="120"/>
      <c r="C157" s="120"/>
      <c r="D157" s="120"/>
      <c r="E157" s="120"/>
      <c r="F157" s="120"/>
      <c r="G157" s="145"/>
      <c r="H157" s="149"/>
      <c r="I157" s="163"/>
      <c r="J157" s="176"/>
      <c r="K157" s="192"/>
      <c r="L157" s="125"/>
      <c r="M157" s="125"/>
      <c r="N157" s="125"/>
      <c r="O157" s="193"/>
      <c r="P157" s="182"/>
      <c r="Q157" s="125"/>
      <c r="R157" s="125"/>
      <c r="S157" s="125"/>
      <c r="T157" s="162"/>
      <c r="U157" s="155"/>
      <c r="V157" s="222"/>
    </row>
    <row r="158" spans="1:22">
      <c r="A158" s="117">
        <v>157</v>
      </c>
      <c r="B158" s="120"/>
      <c r="C158" s="120"/>
      <c r="D158" s="120"/>
      <c r="E158" s="120"/>
      <c r="F158" s="120"/>
      <c r="G158" s="145"/>
      <c r="H158" s="149"/>
      <c r="I158" s="163"/>
      <c r="J158" s="176"/>
      <c r="K158" s="192"/>
      <c r="L158" s="125"/>
      <c r="M158" s="125"/>
      <c r="N158" s="125"/>
      <c r="O158" s="193"/>
      <c r="P158" s="182"/>
      <c r="Q158" s="125"/>
      <c r="R158" s="125"/>
      <c r="S158" s="125"/>
      <c r="T158" s="162"/>
      <c r="U158" s="155"/>
      <c r="V158" s="222"/>
    </row>
    <row r="159" spans="1:22">
      <c r="A159" s="117">
        <v>158</v>
      </c>
      <c r="B159" s="120"/>
      <c r="C159" s="120"/>
      <c r="D159" s="120"/>
      <c r="E159" s="120"/>
      <c r="F159" s="120"/>
      <c r="G159" s="145"/>
      <c r="H159" s="149"/>
      <c r="I159" s="163"/>
      <c r="J159" s="176"/>
      <c r="K159" s="192"/>
      <c r="L159" s="125"/>
      <c r="M159" s="125"/>
      <c r="N159" s="125"/>
      <c r="O159" s="193"/>
      <c r="P159" s="182"/>
      <c r="Q159" s="125"/>
      <c r="R159" s="125"/>
      <c r="S159" s="125"/>
      <c r="T159" s="162"/>
      <c r="U159" s="155"/>
      <c r="V159" s="222"/>
    </row>
    <row r="160" spans="1:22">
      <c r="A160" s="117">
        <v>159</v>
      </c>
      <c r="B160" s="120"/>
      <c r="C160" s="120"/>
      <c r="D160" s="120"/>
      <c r="E160" s="120"/>
      <c r="F160" s="120"/>
      <c r="G160" s="145"/>
      <c r="H160" s="149"/>
      <c r="I160" s="163"/>
      <c r="J160" s="176"/>
      <c r="K160" s="192"/>
      <c r="L160" s="125"/>
      <c r="M160" s="125"/>
      <c r="N160" s="125"/>
      <c r="O160" s="193"/>
      <c r="P160" s="182"/>
      <c r="Q160" s="125"/>
      <c r="R160" s="125"/>
      <c r="S160" s="125"/>
      <c r="T160" s="162"/>
      <c r="U160" s="155"/>
      <c r="V160" s="222"/>
    </row>
    <row r="161" spans="1:22">
      <c r="A161" s="117">
        <v>160</v>
      </c>
      <c r="B161" s="120"/>
      <c r="C161" s="120"/>
      <c r="D161" s="120"/>
      <c r="E161" s="120"/>
      <c r="F161" s="120"/>
      <c r="G161" s="145"/>
      <c r="H161" s="149"/>
      <c r="I161" s="163"/>
      <c r="J161" s="176"/>
      <c r="K161" s="192"/>
      <c r="L161" s="125"/>
      <c r="M161" s="125"/>
      <c r="N161" s="125"/>
      <c r="O161" s="193"/>
      <c r="P161" s="182"/>
      <c r="Q161" s="125"/>
      <c r="R161" s="125"/>
      <c r="S161" s="125"/>
      <c r="T161" s="162"/>
      <c r="U161" s="155"/>
      <c r="V161" s="222"/>
    </row>
    <row r="162" spans="1:22">
      <c r="A162" s="117">
        <v>161</v>
      </c>
      <c r="B162" s="120"/>
      <c r="C162" s="120"/>
      <c r="D162" s="120"/>
      <c r="E162" s="120"/>
      <c r="F162" s="120"/>
      <c r="G162" s="145"/>
      <c r="H162" s="149"/>
      <c r="I162" s="163"/>
      <c r="J162" s="176"/>
      <c r="K162" s="192"/>
      <c r="L162" s="125"/>
      <c r="M162" s="125"/>
      <c r="N162" s="125"/>
      <c r="O162" s="193"/>
      <c r="P162" s="182"/>
      <c r="Q162" s="125"/>
      <c r="R162" s="125"/>
      <c r="S162" s="125"/>
      <c r="T162" s="162"/>
      <c r="U162" s="155"/>
      <c r="V162" s="222"/>
    </row>
    <row r="163" spans="1:22">
      <c r="A163" s="117">
        <v>162</v>
      </c>
      <c r="B163" s="120"/>
      <c r="C163" s="120"/>
      <c r="D163" s="120"/>
      <c r="E163" s="120"/>
      <c r="F163" s="120"/>
      <c r="G163" s="145"/>
      <c r="H163" s="149"/>
      <c r="I163" s="163"/>
      <c r="J163" s="176"/>
      <c r="K163" s="192"/>
      <c r="L163" s="125"/>
      <c r="M163" s="125"/>
      <c r="N163" s="125"/>
      <c r="O163" s="193"/>
      <c r="P163" s="182"/>
      <c r="Q163" s="125"/>
      <c r="R163" s="125"/>
      <c r="S163" s="125"/>
      <c r="T163" s="162"/>
      <c r="U163" s="155"/>
      <c r="V163" s="222"/>
    </row>
    <row r="164" spans="1:22">
      <c r="A164" s="117">
        <v>163</v>
      </c>
      <c r="B164" s="120"/>
      <c r="C164" s="120"/>
      <c r="D164" s="120"/>
      <c r="E164" s="120"/>
      <c r="F164" s="120"/>
      <c r="G164" s="145"/>
      <c r="H164" s="149"/>
      <c r="I164" s="163"/>
      <c r="J164" s="176"/>
      <c r="K164" s="192"/>
      <c r="L164" s="125"/>
      <c r="M164" s="125"/>
      <c r="N164" s="125"/>
      <c r="O164" s="193"/>
      <c r="P164" s="182"/>
      <c r="Q164" s="125"/>
      <c r="R164" s="125"/>
      <c r="S164" s="125"/>
      <c r="T164" s="162"/>
      <c r="U164" s="155"/>
      <c r="V164" s="222"/>
    </row>
    <row r="165" spans="1:22">
      <c r="A165" s="117">
        <v>164</v>
      </c>
      <c r="B165" s="120"/>
      <c r="C165" s="120"/>
      <c r="D165" s="120"/>
      <c r="E165" s="120"/>
      <c r="F165" s="120"/>
      <c r="G165" s="145"/>
      <c r="H165" s="149"/>
      <c r="I165" s="163"/>
      <c r="J165" s="176"/>
      <c r="K165" s="192"/>
      <c r="L165" s="125"/>
      <c r="M165" s="125"/>
      <c r="N165" s="125"/>
      <c r="O165" s="193"/>
      <c r="P165" s="182"/>
      <c r="Q165" s="125"/>
      <c r="R165" s="125"/>
      <c r="S165" s="125"/>
      <c r="T165" s="162"/>
      <c r="U165" s="155"/>
      <c r="V165" s="222"/>
    </row>
    <row r="166" spans="1:22">
      <c r="A166" s="117">
        <v>165</v>
      </c>
      <c r="B166" s="120"/>
      <c r="C166" s="120"/>
      <c r="D166" s="120"/>
      <c r="E166" s="120"/>
      <c r="F166" s="120"/>
      <c r="G166" s="145"/>
      <c r="H166" s="149"/>
      <c r="I166" s="163"/>
      <c r="J166" s="176"/>
      <c r="K166" s="192"/>
      <c r="L166" s="125"/>
      <c r="M166" s="125"/>
      <c r="N166" s="125"/>
      <c r="O166" s="193"/>
      <c r="P166" s="182"/>
      <c r="Q166" s="125"/>
      <c r="R166" s="125"/>
      <c r="S166" s="125"/>
      <c r="T166" s="162"/>
      <c r="U166" s="155"/>
      <c r="V166" s="222"/>
    </row>
    <row r="167" spans="1:22">
      <c r="A167" s="117">
        <v>166</v>
      </c>
      <c r="B167" s="120"/>
      <c r="C167" s="120"/>
      <c r="D167" s="120"/>
      <c r="E167" s="120"/>
      <c r="F167" s="120"/>
      <c r="G167" s="145"/>
      <c r="H167" s="149"/>
      <c r="I167" s="163"/>
      <c r="J167" s="176"/>
      <c r="K167" s="192"/>
      <c r="L167" s="125"/>
      <c r="M167" s="125"/>
      <c r="N167" s="125"/>
      <c r="O167" s="193"/>
      <c r="P167" s="182"/>
      <c r="Q167" s="125"/>
      <c r="R167" s="125"/>
      <c r="S167" s="125"/>
      <c r="T167" s="162"/>
      <c r="U167" s="155"/>
      <c r="V167" s="222"/>
    </row>
    <row r="168" spans="1:22">
      <c r="A168" s="117">
        <v>167</v>
      </c>
      <c r="B168" s="120"/>
      <c r="C168" s="120"/>
      <c r="D168" s="120"/>
      <c r="E168" s="120"/>
      <c r="F168" s="120"/>
      <c r="G168" s="145"/>
      <c r="H168" s="149"/>
      <c r="I168" s="163"/>
      <c r="J168" s="176"/>
      <c r="K168" s="192"/>
      <c r="L168" s="125"/>
      <c r="M168" s="125"/>
      <c r="N168" s="125"/>
      <c r="O168" s="193"/>
      <c r="P168" s="182"/>
      <c r="Q168" s="125"/>
      <c r="R168" s="125"/>
      <c r="S168" s="125"/>
      <c r="T168" s="162"/>
      <c r="U168" s="155"/>
      <c r="V168" s="222"/>
    </row>
    <row r="169" spans="1:22">
      <c r="A169" s="117">
        <v>168</v>
      </c>
      <c r="B169" s="120"/>
      <c r="C169" s="120"/>
      <c r="D169" s="120"/>
      <c r="E169" s="120"/>
      <c r="F169" s="120"/>
      <c r="G169" s="145"/>
      <c r="H169" s="149"/>
      <c r="I169" s="163"/>
      <c r="J169" s="176"/>
      <c r="K169" s="192"/>
      <c r="L169" s="125"/>
      <c r="M169" s="125"/>
      <c r="N169" s="125"/>
      <c r="O169" s="193"/>
      <c r="P169" s="182"/>
      <c r="Q169" s="125"/>
      <c r="R169" s="125"/>
      <c r="S169" s="125"/>
      <c r="T169" s="162"/>
      <c r="U169" s="155"/>
      <c r="V169" s="222"/>
    </row>
    <row r="170" spans="1:22">
      <c r="A170" s="117">
        <v>169</v>
      </c>
      <c r="B170" s="120"/>
      <c r="C170" s="120"/>
      <c r="D170" s="120"/>
      <c r="E170" s="120"/>
      <c r="F170" s="120"/>
      <c r="G170" s="145"/>
      <c r="H170" s="149"/>
      <c r="I170" s="163"/>
      <c r="J170" s="176"/>
      <c r="K170" s="192"/>
      <c r="L170" s="125"/>
      <c r="M170" s="125"/>
      <c r="N170" s="125"/>
      <c r="O170" s="193"/>
      <c r="P170" s="182"/>
      <c r="Q170" s="125"/>
      <c r="R170" s="125"/>
      <c r="S170" s="125"/>
      <c r="T170" s="162"/>
      <c r="U170" s="155"/>
      <c r="V170" s="222"/>
    </row>
    <row r="171" spans="1:22">
      <c r="A171" s="117">
        <v>170</v>
      </c>
      <c r="B171" s="120"/>
      <c r="C171" s="120"/>
      <c r="D171" s="120"/>
      <c r="E171" s="120"/>
      <c r="F171" s="120"/>
      <c r="G171" s="145"/>
      <c r="H171" s="149"/>
      <c r="I171" s="163"/>
      <c r="J171" s="176"/>
      <c r="K171" s="192"/>
      <c r="L171" s="125"/>
      <c r="M171" s="125"/>
      <c r="N171" s="125"/>
      <c r="O171" s="193"/>
      <c r="P171" s="182"/>
      <c r="Q171" s="125"/>
      <c r="R171" s="125"/>
      <c r="S171" s="125"/>
      <c r="T171" s="162"/>
      <c r="U171" s="155"/>
      <c r="V171" s="222"/>
    </row>
    <row r="172" spans="1:22">
      <c r="A172" s="117">
        <v>171</v>
      </c>
      <c r="B172" s="120"/>
      <c r="C172" s="120"/>
      <c r="D172" s="120"/>
      <c r="E172" s="120"/>
      <c r="F172" s="120"/>
      <c r="G172" s="145"/>
      <c r="H172" s="149"/>
      <c r="I172" s="163"/>
      <c r="J172" s="176"/>
      <c r="K172" s="192"/>
      <c r="L172" s="125"/>
      <c r="M172" s="125"/>
      <c r="N172" s="125"/>
      <c r="O172" s="193"/>
      <c r="P172" s="182"/>
      <c r="Q172" s="125"/>
      <c r="R172" s="125"/>
      <c r="S172" s="125"/>
      <c r="T172" s="162"/>
      <c r="U172" s="155"/>
      <c r="V172" s="222"/>
    </row>
    <row r="173" spans="1:22">
      <c r="A173" s="117">
        <v>172</v>
      </c>
      <c r="B173" s="120"/>
      <c r="C173" s="120"/>
      <c r="D173" s="120"/>
      <c r="E173" s="120"/>
      <c r="F173" s="120"/>
      <c r="G173" s="145"/>
      <c r="H173" s="149"/>
      <c r="I173" s="163"/>
      <c r="J173" s="176"/>
      <c r="K173" s="192"/>
      <c r="L173" s="125"/>
      <c r="M173" s="125"/>
      <c r="N173" s="125"/>
      <c r="O173" s="193"/>
      <c r="P173" s="182"/>
      <c r="Q173" s="125"/>
      <c r="R173" s="125"/>
      <c r="S173" s="125"/>
      <c r="T173" s="162"/>
      <c r="U173" s="155"/>
      <c r="V173" s="222"/>
    </row>
    <row r="174" spans="1:22">
      <c r="A174" s="117">
        <v>173</v>
      </c>
      <c r="B174" s="120"/>
      <c r="C174" s="120"/>
      <c r="D174" s="120"/>
      <c r="E174" s="120"/>
      <c r="F174" s="120"/>
      <c r="G174" s="145"/>
      <c r="H174" s="149"/>
      <c r="I174" s="163"/>
      <c r="J174" s="176"/>
      <c r="K174" s="192"/>
      <c r="L174" s="125"/>
      <c r="M174" s="125"/>
      <c r="N174" s="125"/>
      <c r="O174" s="193"/>
      <c r="P174" s="182"/>
      <c r="Q174" s="125"/>
      <c r="R174" s="125"/>
      <c r="S174" s="125"/>
      <c r="T174" s="162"/>
      <c r="U174" s="155"/>
      <c r="V174" s="222"/>
    </row>
    <row r="175" spans="1:22">
      <c r="A175" s="117">
        <v>174</v>
      </c>
      <c r="B175" s="120"/>
      <c r="C175" s="120"/>
      <c r="D175" s="120"/>
      <c r="E175" s="120"/>
      <c r="F175" s="120"/>
      <c r="G175" s="145"/>
      <c r="H175" s="149"/>
      <c r="I175" s="163"/>
      <c r="J175" s="176"/>
      <c r="K175" s="192"/>
      <c r="L175" s="125"/>
      <c r="M175" s="125"/>
      <c r="N175" s="125"/>
      <c r="O175" s="193"/>
      <c r="P175" s="182"/>
      <c r="Q175" s="125"/>
      <c r="R175" s="125"/>
      <c r="S175" s="125"/>
      <c r="T175" s="162"/>
      <c r="U175" s="155"/>
      <c r="V175" s="222"/>
    </row>
    <row r="176" spans="1:22">
      <c r="A176" s="117">
        <v>175</v>
      </c>
      <c r="B176" s="120"/>
      <c r="C176" s="120"/>
      <c r="D176" s="120"/>
      <c r="E176" s="120"/>
      <c r="F176" s="120"/>
      <c r="G176" s="145"/>
      <c r="H176" s="149"/>
      <c r="I176" s="163"/>
      <c r="J176" s="176"/>
      <c r="K176" s="192"/>
      <c r="L176" s="125"/>
      <c r="M176" s="125"/>
      <c r="N176" s="125"/>
      <c r="O176" s="193"/>
      <c r="P176" s="182"/>
      <c r="Q176" s="125"/>
      <c r="R176" s="125"/>
      <c r="S176" s="125"/>
      <c r="T176" s="162"/>
      <c r="U176" s="155"/>
      <c r="V176" s="222"/>
    </row>
    <row r="177" spans="1:22">
      <c r="A177" s="117">
        <v>176</v>
      </c>
      <c r="B177" s="120"/>
      <c r="C177" s="120"/>
      <c r="D177" s="120"/>
      <c r="E177" s="120"/>
      <c r="F177" s="120"/>
      <c r="G177" s="145"/>
      <c r="H177" s="149"/>
      <c r="I177" s="163"/>
      <c r="J177" s="176"/>
      <c r="K177" s="192"/>
      <c r="L177" s="125"/>
      <c r="M177" s="125"/>
      <c r="N177" s="125"/>
      <c r="O177" s="193"/>
      <c r="P177" s="182"/>
      <c r="Q177" s="125"/>
      <c r="R177" s="125"/>
      <c r="S177" s="125"/>
      <c r="T177" s="162"/>
      <c r="U177" s="155"/>
      <c r="V177" s="222"/>
    </row>
    <row r="178" spans="1:22">
      <c r="A178" s="117">
        <v>177</v>
      </c>
      <c r="B178" s="120"/>
      <c r="C178" s="120"/>
      <c r="D178" s="120"/>
      <c r="E178" s="120"/>
      <c r="F178" s="120"/>
      <c r="G178" s="145"/>
      <c r="H178" s="149"/>
      <c r="I178" s="163"/>
      <c r="J178" s="176"/>
      <c r="K178" s="192"/>
      <c r="L178" s="125"/>
      <c r="M178" s="125"/>
      <c r="N178" s="125"/>
      <c r="O178" s="193"/>
      <c r="P178" s="182"/>
      <c r="Q178" s="125"/>
      <c r="R178" s="125"/>
      <c r="S178" s="125"/>
      <c r="T178" s="162"/>
      <c r="U178" s="155"/>
      <c r="V178" s="222"/>
    </row>
    <row r="179" spans="1:22">
      <c r="A179" s="117">
        <v>178</v>
      </c>
      <c r="B179" s="120"/>
      <c r="C179" s="120"/>
      <c r="D179" s="120"/>
      <c r="E179" s="120"/>
      <c r="F179" s="120"/>
      <c r="G179" s="145"/>
      <c r="H179" s="149"/>
      <c r="I179" s="163"/>
      <c r="J179" s="176"/>
      <c r="K179" s="192"/>
      <c r="L179" s="125"/>
      <c r="M179" s="125"/>
      <c r="N179" s="125"/>
      <c r="O179" s="193"/>
      <c r="P179" s="182"/>
      <c r="Q179" s="125"/>
      <c r="R179" s="125"/>
      <c r="S179" s="125"/>
      <c r="T179" s="162"/>
      <c r="U179" s="155"/>
      <c r="V179" s="222"/>
    </row>
    <row r="180" spans="1:22">
      <c r="A180" s="117">
        <v>179</v>
      </c>
      <c r="B180" s="120"/>
      <c r="C180" s="120"/>
      <c r="D180" s="120"/>
      <c r="E180" s="120"/>
      <c r="F180" s="120"/>
      <c r="G180" s="145"/>
      <c r="H180" s="149"/>
      <c r="I180" s="163"/>
      <c r="J180" s="176"/>
      <c r="K180" s="192"/>
      <c r="L180" s="125"/>
      <c r="M180" s="125"/>
      <c r="N180" s="125"/>
      <c r="O180" s="193"/>
      <c r="P180" s="182"/>
      <c r="Q180" s="125"/>
      <c r="R180" s="125"/>
      <c r="S180" s="125"/>
      <c r="T180" s="162"/>
      <c r="U180" s="155"/>
      <c r="V180" s="222"/>
    </row>
    <row r="181" spans="1:22">
      <c r="A181" s="117">
        <v>180</v>
      </c>
      <c r="B181" s="120"/>
      <c r="C181" s="120"/>
      <c r="D181" s="120"/>
      <c r="E181" s="120"/>
      <c r="F181" s="120"/>
      <c r="G181" s="145"/>
      <c r="H181" s="149"/>
      <c r="I181" s="163"/>
      <c r="J181" s="176"/>
      <c r="K181" s="192"/>
      <c r="L181" s="125"/>
      <c r="M181" s="125"/>
      <c r="N181" s="125"/>
      <c r="O181" s="193"/>
      <c r="P181" s="182"/>
      <c r="Q181" s="125"/>
      <c r="R181" s="125"/>
      <c r="S181" s="125"/>
      <c r="T181" s="162"/>
      <c r="U181" s="155"/>
      <c r="V181" s="222"/>
    </row>
    <row r="182" spans="1:22">
      <c r="A182" s="117">
        <v>181</v>
      </c>
      <c r="B182" s="120"/>
      <c r="C182" s="120"/>
      <c r="D182" s="120"/>
      <c r="E182" s="120"/>
      <c r="F182" s="120"/>
      <c r="G182" s="145"/>
      <c r="H182" s="149"/>
      <c r="I182" s="163"/>
      <c r="J182" s="176"/>
      <c r="K182" s="192"/>
      <c r="L182" s="125"/>
      <c r="M182" s="125"/>
      <c r="N182" s="125"/>
      <c r="O182" s="193"/>
      <c r="P182" s="182"/>
      <c r="Q182" s="125"/>
      <c r="R182" s="125"/>
      <c r="S182" s="125"/>
      <c r="T182" s="162"/>
      <c r="U182" s="155"/>
      <c r="V182" s="222"/>
    </row>
    <row r="183" spans="1:22">
      <c r="A183" s="117">
        <v>182</v>
      </c>
      <c r="B183" s="120"/>
      <c r="C183" s="120"/>
      <c r="D183" s="120"/>
      <c r="E183" s="120"/>
      <c r="F183" s="120"/>
      <c r="G183" s="145"/>
      <c r="H183" s="149"/>
      <c r="I183" s="163"/>
      <c r="J183" s="176"/>
      <c r="K183" s="192"/>
      <c r="L183" s="125"/>
      <c r="M183" s="125"/>
      <c r="N183" s="125"/>
      <c r="O183" s="193"/>
      <c r="P183" s="182"/>
      <c r="Q183" s="125"/>
      <c r="R183" s="125"/>
      <c r="S183" s="125"/>
      <c r="T183" s="162"/>
      <c r="U183" s="155"/>
      <c r="V183" s="222"/>
    </row>
    <row r="184" spans="1:22">
      <c r="A184" s="117">
        <v>183</v>
      </c>
      <c r="B184" s="120"/>
      <c r="C184" s="120"/>
      <c r="D184" s="120"/>
      <c r="E184" s="120"/>
      <c r="F184" s="120"/>
      <c r="G184" s="145"/>
      <c r="H184" s="149"/>
      <c r="I184" s="163"/>
      <c r="J184" s="176"/>
      <c r="K184" s="192"/>
      <c r="L184" s="125"/>
      <c r="M184" s="125"/>
      <c r="N184" s="125"/>
      <c r="O184" s="193"/>
      <c r="P184" s="182"/>
      <c r="Q184" s="125"/>
      <c r="R184" s="125"/>
      <c r="S184" s="125"/>
      <c r="T184" s="162"/>
      <c r="U184" s="155"/>
      <c r="V184" s="222"/>
    </row>
    <row r="185" spans="1:22">
      <c r="A185" s="117">
        <v>184</v>
      </c>
      <c r="B185" s="120"/>
      <c r="C185" s="120"/>
      <c r="D185" s="120"/>
      <c r="E185" s="120"/>
      <c r="F185" s="120"/>
      <c r="G185" s="145"/>
      <c r="H185" s="149"/>
      <c r="I185" s="163"/>
      <c r="J185" s="176"/>
      <c r="K185" s="192"/>
      <c r="L185" s="125"/>
      <c r="M185" s="125"/>
      <c r="N185" s="125"/>
      <c r="O185" s="193"/>
      <c r="P185" s="182"/>
      <c r="Q185" s="125"/>
      <c r="R185" s="125"/>
      <c r="S185" s="125"/>
      <c r="T185" s="162"/>
      <c r="U185" s="155"/>
      <c r="V185" s="222"/>
    </row>
    <row r="186" spans="1:22">
      <c r="A186" s="117">
        <v>185</v>
      </c>
      <c r="B186" s="120"/>
      <c r="C186" s="120"/>
      <c r="D186" s="120"/>
      <c r="E186" s="120"/>
      <c r="F186" s="120"/>
      <c r="G186" s="145"/>
      <c r="H186" s="149"/>
      <c r="I186" s="163"/>
      <c r="J186" s="176"/>
      <c r="K186" s="192"/>
      <c r="L186" s="125"/>
      <c r="M186" s="125"/>
      <c r="N186" s="125"/>
      <c r="O186" s="193"/>
      <c r="P186" s="182"/>
      <c r="Q186" s="125"/>
      <c r="R186" s="125"/>
      <c r="S186" s="125"/>
      <c r="T186" s="162"/>
      <c r="U186" s="155"/>
      <c r="V186" s="222"/>
    </row>
    <row r="187" spans="1:22">
      <c r="A187" s="117">
        <v>186</v>
      </c>
      <c r="B187" s="120"/>
      <c r="C187" s="120"/>
      <c r="D187" s="120"/>
      <c r="E187" s="120"/>
      <c r="F187" s="120"/>
      <c r="G187" s="145"/>
      <c r="H187" s="149"/>
      <c r="I187" s="163"/>
      <c r="J187" s="176"/>
      <c r="K187" s="192"/>
      <c r="L187" s="125"/>
      <c r="M187" s="125"/>
      <c r="N187" s="125"/>
      <c r="O187" s="193"/>
      <c r="P187" s="182"/>
      <c r="Q187" s="125"/>
      <c r="R187" s="125"/>
      <c r="S187" s="125"/>
      <c r="T187" s="162"/>
      <c r="U187" s="155"/>
      <c r="V187" s="222"/>
    </row>
    <row r="188" spans="1:22">
      <c r="A188" s="117">
        <v>187</v>
      </c>
      <c r="B188" s="120"/>
      <c r="C188" s="120"/>
      <c r="D188" s="120"/>
      <c r="E188" s="120"/>
      <c r="F188" s="120"/>
      <c r="G188" s="145"/>
      <c r="H188" s="149"/>
      <c r="I188" s="163"/>
      <c r="J188" s="176"/>
      <c r="K188" s="192"/>
      <c r="L188" s="125"/>
      <c r="M188" s="125"/>
      <c r="N188" s="125"/>
      <c r="O188" s="193"/>
      <c r="P188" s="182"/>
      <c r="Q188" s="125"/>
      <c r="R188" s="125"/>
      <c r="S188" s="125"/>
      <c r="T188" s="162"/>
      <c r="U188" s="155"/>
      <c r="V188" s="222"/>
    </row>
    <row r="189" spans="1:22">
      <c r="A189" s="117">
        <v>188</v>
      </c>
      <c r="B189" s="120"/>
      <c r="C189" s="120"/>
      <c r="D189" s="120"/>
      <c r="E189" s="120"/>
      <c r="F189" s="120"/>
      <c r="G189" s="145"/>
      <c r="H189" s="149"/>
      <c r="I189" s="163"/>
      <c r="J189" s="176"/>
      <c r="K189" s="192"/>
      <c r="L189" s="125"/>
      <c r="M189" s="125"/>
      <c r="N189" s="125"/>
      <c r="O189" s="193"/>
      <c r="P189" s="182"/>
      <c r="Q189" s="125"/>
      <c r="R189" s="125"/>
      <c r="S189" s="125"/>
      <c r="T189" s="162"/>
      <c r="U189" s="155"/>
      <c r="V189" s="222"/>
    </row>
    <row r="190" spans="1:22">
      <c r="A190" s="117">
        <v>189</v>
      </c>
      <c r="B190" s="120"/>
      <c r="C190" s="120"/>
      <c r="D190" s="120"/>
      <c r="E190" s="120"/>
      <c r="F190" s="120"/>
      <c r="G190" s="145"/>
      <c r="H190" s="149"/>
      <c r="I190" s="163"/>
      <c r="J190" s="176"/>
      <c r="K190" s="192"/>
      <c r="L190" s="125"/>
      <c r="M190" s="125"/>
      <c r="N190" s="125"/>
      <c r="O190" s="193"/>
      <c r="P190" s="182"/>
      <c r="Q190" s="125"/>
      <c r="R190" s="125"/>
      <c r="S190" s="125"/>
      <c r="T190" s="162"/>
      <c r="U190" s="155"/>
      <c r="V190" s="222"/>
    </row>
    <row r="191" spans="1:22">
      <c r="A191" s="117">
        <v>190</v>
      </c>
      <c r="B191" s="120"/>
      <c r="C191" s="120"/>
      <c r="D191" s="120"/>
      <c r="E191" s="120"/>
      <c r="F191" s="120"/>
      <c r="G191" s="145"/>
      <c r="H191" s="149"/>
      <c r="I191" s="163"/>
      <c r="J191" s="176"/>
      <c r="K191" s="192"/>
      <c r="L191" s="125"/>
      <c r="M191" s="125"/>
      <c r="N191" s="125"/>
      <c r="O191" s="193"/>
      <c r="P191" s="182"/>
      <c r="Q191" s="125"/>
      <c r="R191" s="125"/>
      <c r="S191" s="125"/>
      <c r="T191" s="162"/>
      <c r="U191" s="155"/>
      <c r="V191" s="222"/>
    </row>
    <row r="192" spans="1:22">
      <c r="A192" s="117">
        <v>191</v>
      </c>
      <c r="B192" s="120"/>
      <c r="C192" s="120"/>
      <c r="D192" s="120"/>
      <c r="E192" s="120"/>
      <c r="F192" s="120"/>
      <c r="G192" s="145"/>
      <c r="H192" s="149"/>
      <c r="I192" s="163"/>
      <c r="J192" s="176"/>
      <c r="K192" s="192"/>
      <c r="L192" s="125"/>
      <c r="M192" s="125"/>
      <c r="N192" s="125"/>
      <c r="O192" s="193"/>
      <c r="P192" s="182"/>
      <c r="Q192" s="125"/>
      <c r="R192" s="125"/>
      <c r="S192" s="125"/>
      <c r="T192" s="162"/>
      <c r="U192" s="155"/>
      <c r="V192" s="222"/>
    </row>
    <row r="193" spans="1:22">
      <c r="A193" s="117">
        <v>192</v>
      </c>
      <c r="B193" s="120"/>
      <c r="C193" s="120"/>
      <c r="D193" s="120"/>
      <c r="E193" s="120"/>
      <c r="F193" s="120"/>
      <c r="G193" s="145"/>
      <c r="H193" s="149"/>
      <c r="I193" s="163"/>
      <c r="J193" s="176"/>
      <c r="K193" s="192"/>
      <c r="L193" s="125"/>
      <c r="M193" s="125"/>
      <c r="N193" s="125"/>
      <c r="O193" s="193"/>
      <c r="P193" s="182"/>
      <c r="Q193" s="125"/>
      <c r="R193" s="125"/>
      <c r="S193" s="125"/>
      <c r="T193" s="162"/>
      <c r="U193" s="155"/>
      <c r="V193" s="222"/>
    </row>
    <row r="194" spans="1:22">
      <c r="A194" s="117">
        <v>193</v>
      </c>
      <c r="B194" s="120"/>
      <c r="C194" s="120"/>
      <c r="D194" s="120"/>
      <c r="E194" s="120"/>
      <c r="F194" s="120"/>
      <c r="G194" s="145"/>
      <c r="H194" s="149"/>
      <c r="I194" s="163"/>
      <c r="J194" s="176"/>
      <c r="K194" s="192"/>
      <c r="L194" s="125"/>
      <c r="M194" s="125"/>
      <c r="N194" s="125"/>
      <c r="O194" s="193"/>
      <c r="P194" s="182"/>
      <c r="Q194" s="125"/>
      <c r="R194" s="125"/>
      <c r="S194" s="125"/>
      <c r="T194" s="162"/>
      <c r="U194" s="155"/>
      <c r="V194" s="222"/>
    </row>
    <row r="195" spans="1:22">
      <c r="A195" s="117">
        <v>194</v>
      </c>
      <c r="B195" s="120"/>
      <c r="C195" s="120"/>
      <c r="D195" s="120"/>
      <c r="E195" s="120"/>
      <c r="F195" s="120"/>
      <c r="G195" s="145"/>
      <c r="H195" s="149"/>
      <c r="I195" s="163"/>
      <c r="J195" s="176"/>
      <c r="K195" s="192"/>
      <c r="L195" s="125"/>
      <c r="M195" s="125"/>
      <c r="N195" s="125"/>
      <c r="O195" s="193"/>
      <c r="P195" s="182"/>
      <c r="Q195" s="125"/>
      <c r="R195" s="125"/>
      <c r="S195" s="125"/>
      <c r="T195" s="162"/>
      <c r="U195" s="155"/>
      <c r="V195" s="222"/>
    </row>
    <row r="196" spans="1:22">
      <c r="A196" s="117">
        <v>195</v>
      </c>
      <c r="B196" s="120"/>
      <c r="C196" s="120"/>
      <c r="D196" s="120"/>
      <c r="E196" s="120"/>
      <c r="F196" s="120"/>
      <c r="G196" s="145"/>
      <c r="H196" s="149"/>
      <c r="I196" s="163"/>
      <c r="J196" s="176"/>
      <c r="K196" s="192"/>
      <c r="L196" s="125"/>
      <c r="M196" s="125"/>
      <c r="N196" s="125"/>
      <c r="O196" s="193"/>
      <c r="P196" s="182"/>
      <c r="Q196" s="125"/>
      <c r="R196" s="125"/>
      <c r="S196" s="125"/>
      <c r="T196" s="162"/>
      <c r="U196" s="155"/>
      <c r="V196" s="222"/>
    </row>
    <row r="197" spans="1:22">
      <c r="A197" s="117">
        <v>196</v>
      </c>
      <c r="B197" s="120"/>
      <c r="C197" s="120"/>
      <c r="D197" s="120"/>
      <c r="E197" s="120"/>
      <c r="F197" s="120"/>
      <c r="G197" s="145"/>
      <c r="H197" s="149"/>
      <c r="I197" s="163"/>
      <c r="J197" s="176"/>
      <c r="K197" s="192"/>
      <c r="L197" s="125"/>
      <c r="M197" s="125"/>
      <c r="N197" s="125"/>
      <c r="O197" s="193"/>
      <c r="P197" s="182"/>
      <c r="Q197" s="125"/>
      <c r="R197" s="125"/>
      <c r="S197" s="125"/>
      <c r="T197" s="162"/>
      <c r="U197" s="155"/>
      <c r="V197" s="222"/>
    </row>
    <row r="198" spans="1:22">
      <c r="A198" s="117">
        <v>197</v>
      </c>
      <c r="B198" s="120"/>
      <c r="C198" s="120"/>
      <c r="D198" s="120"/>
      <c r="E198" s="120"/>
      <c r="F198" s="120"/>
      <c r="G198" s="145"/>
      <c r="H198" s="149"/>
      <c r="I198" s="163"/>
      <c r="J198" s="176"/>
      <c r="K198" s="192"/>
      <c r="L198" s="125"/>
      <c r="M198" s="125"/>
      <c r="N198" s="125"/>
      <c r="O198" s="193"/>
      <c r="P198" s="182"/>
      <c r="Q198" s="125"/>
      <c r="R198" s="125"/>
      <c r="S198" s="125"/>
      <c r="T198" s="162"/>
      <c r="U198" s="155"/>
      <c r="V198" s="222"/>
    </row>
    <row r="199" spans="1:22">
      <c r="A199" s="117">
        <v>198</v>
      </c>
      <c r="B199" s="120"/>
      <c r="C199" s="120"/>
      <c r="D199" s="120"/>
      <c r="E199" s="120"/>
      <c r="F199" s="120"/>
      <c r="G199" s="145"/>
      <c r="H199" s="149"/>
      <c r="I199" s="163"/>
      <c r="J199" s="176"/>
      <c r="K199" s="192"/>
      <c r="L199" s="125"/>
      <c r="M199" s="125"/>
      <c r="N199" s="125"/>
      <c r="O199" s="193"/>
      <c r="P199" s="182"/>
      <c r="Q199" s="125"/>
      <c r="R199" s="125"/>
      <c r="S199" s="125"/>
      <c r="T199" s="162"/>
      <c r="U199" s="155"/>
      <c r="V199" s="222"/>
    </row>
    <row r="200" spans="1:22">
      <c r="A200" s="117">
        <v>199</v>
      </c>
      <c r="B200" s="120"/>
      <c r="C200" s="120"/>
      <c r="D200" s="120"/>
      <c r="E200" s="120"/>
      <c r="F200" s="120"/>
      <c r="G200" s="145"/>
      <c r="H200" s="149"/>
      <c r="I200" s="163"/>
      <c r="J200" s="176"/>
      <c r="K200" s="192"/>
      <c r="L200" s="125"/>
      <c r="M200" s="125"/>
      <c r="N200" s="125"/>
      <c r="O200" s="193"/>
      <c r="P200" s="182"/>
      <c r="Q200" s="125"/>
      <c r="R200" s="125"/>
      <c r="S200" s="125"/>
      <c r="T200" s="162"/>
      <c r="U200" s="155"/>
      <c r="V200" s="222"/>
    </row>
    <row r="201" spans="1:22">
      <c r="A201" s="118">
        <v>200</v>
      </c>
      <c r="B201" s="121"/>
      <c r="C201" s="121"/>
      <c r="D201" s="121"/>
      <c r="E201" s="121"/>
      <c r="F201" s="121"/>
      <c r="G201" s="146"/>
      <c r="H201" s="150"/>
      <c r="I201" s="164"/>
      <c r="J201" s="177"/>
      <c r="K201" s="194"/>
      <c r="L201" s="126"/>
      <c r="M201" s="126"/>
      <c r="N201" s="126"/>
      <c r="O201" s="195"/>
      <c r="P201" s="183"/>
      <c r="Q201" s="126"/>
      <c r="R201" s="126"/>
      <c r="S201" s="126"/>
      <c r="T201" s="165"/>
      <c r="U201" s="156"/>
      <c r="V201" s="223"/>
    </row>
  </sheetData>
  <sortState xmlns:xlrd2="http://schemas.microsoft.com/office/spreadsheetml/2017/richdata2" ref="AB2:AB23">
    <sortCondition ref="AB2:AB23"/>
  </sortState>
  <phoneticPr fontId="1"/>
  <dataValidations count="1">
    <dataValidation type="list" allowBlank="1" showInputMessage="1" showErrorMessage="1" sqref="V2:V41" xr:uid="{FF917ACC-1E58-438A-A6AC-B73C235A4DDA}">
      <formula1>$AB$2:$AB$41</formula1>
    </dataValidation>
  </dataValidation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0493-4AD1-4A8E-973B-1B93F92F2C91}">
  <dimension ref="A1:R500"/>
  <sheetViews>
    <sheetView topLeftCell="A12" workbookViewId="0">
      <selection activeCell="G26" sqref="G26:R27"/>
    </sheetView>
  </sheetViews>
  <sheetFormatPr defaultRowHeight="18.75"/>
  <cols>
    <col min="1" max="1" width="19.375" bestFit="1" customWidth="1"/>
    <col min="2" max="2" width="9" style="133"/>
    <col min="3" max="5" width="9" style="130"/>
    <col min="6" max="6" width="9" style="134"/>
    <col min="7" max="7" width="9" style="204"/>
    <col min="8" max="17" width="9" style="205"/>
    <col min="18" max="18" width="9" style="206"/>
  </cols>
  <sheetData>
    <row r="1" spans="1:18" ht="19.5" thickBot="1">
      <c r="A1" s="135" t="s">
        <v>8</v>
      </c>
      <c r="B1" s="136" t="s">
        <v>735</v>
      </c>
      <c r="C1" s="137" t="s">
        <v>736</v>
      </c>
      <c r="D1" s="137" t="s">
        <v>737</v>
      </c>
      <c r="E1" s="137" t="s">
        <v>738</v>
      </c>
      <c r="F1" s="138" t="s">
        <v>739</v>
      </c>
      <c r="G1" s="139" t="s">
        <v>740</v>
      </c>
      <c r="H1" s="135" t="s">
        <v>741</v>
      </c>
      <c r="I1" s="135" t="s">
        <v>742</v>
      </c>
      <c r="J1" s="135" t="s">
        <v>743</v>
      </c>
      <c r="K1" s="135" t="s">
        <v>744</v>
      </c>
      <c r="L1" s="135" t="s">
        <v>745</v>
      </c>
      <c r="M1" s="135"/>
      <c r="N1" s="135" t="s">
        <v>100</v>
      </c>
      <c r="O1" s="135" t="s">
        <v>101</v>
      </c>
      <c r="P1" s="135" t="s">
        <v>89</v>
      </c>
      <c r="Q1" s="135" t="s">
        <v>102</v>
      </c>
      <c r="R1" s="140" t="s">
        <v>93</v>
      </c>
    </row>
    <row r="2" spans="1:18" ht="19.5" thickTop="1">
      <c r="A2" s="128">
        <v>1407</v>
      </c>
      <c r="B2" s="131" t="s">
        <v>2518</v>
      </c>
      <c r="C2" s="129">
        <v>1</v>
      </c>
      <c r="D2" s="129">
        <v>12000</v>
      </c>
      <c r="E2" s="129">
        <v>177.9</v>
      </c>
      <c r="F2" s="132" t="s">
        <v>10</v>
      </c>
      <c r="G2" s="198" t="s">
        <v>2520</v>
      </c>
      <c r="H2" s="199" t="s">
        <v>2521</v>
      </c>
      <c r="I2" s="199" t="s">
        <v>2522</v>
      </c>
      <c r="J2" s="199" t="s">
        <v>2523</v>
      </c>
      <c r="K2" s="199" t="s">
        <v>2524</v>
      </c>
      <c r="L2" s="199" t="s">
        <v>2525</v>
      </c>
      <c r="M2" s="199"/>
      <c r="N2" s="199" t="s">
        <v>2526</v>
      </c>
      <c r="O2" s="199" t="s">
        <v>2527</v>
      </c>
      <c r="P2" s="199" t="s">
        <v>2528</v>
      </c>
      <c r="Q2" s="199" t="s">
        <v>2529</v>
      </c>
      <c r="R2" s="200" t="s">
        <v>2530</v>
      </c>
    </row>
    <row r="3" spans="1:18">
      <c r="A3" s="128">
        <v>1409</v>
      </c>
      <c r="B3" s="131" t="s">
        <v>2531</v>
      </c>
      <c r="C3" s="129">
        <v>1</v>
      </c>
      <c r="D3" s="129">
        <v>3960</v>
      </c>
      <c r="E3" s="129">
        <v>93.9</v>
      </c>
      <c r="F3" s="132" t="s">
        <v>10</v>
      </c>
      <c r="G3" s="198" t="s">
        <v>2533</v>
      </c>
      <c r="H3" s="199" t="s">
        <v>2534</v>
      </c>
      <c r="I3" s="199"/>
      <c r="J3" s="199"/>
      <c r="K3" s="199"/>
      <c r="L3" s="199"/>
      <c r="M3" s="199"/>
      <c r="N3" s="199" t="s">
        <v>2535</v>
      </c>
      <c r="O3" s="199" t="s">
        <v>2536</v>
      </c>
      <c r="P3" s="199" t="s">
        <v>2537</v>
      </c>
      <c r="Q3" s="199" t="s">
        <v>2538</v>
      </c>
      <c r="R3" s="200" t="s">
        <v>2539</v>
      </c>
    </row>
    <row r="4" spans="1:18">
      <c r="A4" s="128">
        <v>1418</v>
      </c>
      <c r="B4" s="131" t="s">
        <v>2540</v>
      </c>
      <c r="C4" s="129">
        <v>1</v>
      </c>
      <c r="D4" s="129">
        <v>22222</v>
      </c>
      <c r="E4" s="129">
        <v>328.9</v>
      </c>
      <c r="F4" s="132" t="s">
        <v>10</v>
      </c>
      <c r="G4" s="198" t="s">
        <v>2542</v>
      </c>
      <c r="H4" s="199" t="s">
        <v>2543</v>
      </c>
      <c r="I4" s="199" t="s">
        <v>2544</v>
      </c>
      <c r="J4" s="199" t="s">
        <v>2545</v>
      </c>
      <c r="K4" s="199" t="s">
        <v>2546</v>
      </c>
      <c r="L4" s="199"/>
      <c r="M4" s="199"/>
      <c r="N4" s="199" t="s">
        <v>2547</v>
      </c>
      <c r="O4" s="199" t="s">
        <v>2548</v>
      </c>
      <c r="P4" s="199" t="s">
        <v>2549</v>
      </c>
      <c r="Q4" s="199" t="s">
        <v>2550</v>
      </c>
      <c r="R4" s="200" t="s">
        <v>2551</v>
      </c>
    </row>
    <row r="5" spans="1:18">
      <c r="A5" s="128">
        <v>1421</v>
      </c>
      <c r="B5" s="131" t="s">
        <v>2552</v>
      </c>
      <c r="C5" s="129">
        <v>1</v>
      </c>
      <c r="D5" s="129">
        <v>10500</v>
      </c>
      <c r="E5" s="129">
        <v>197.9</v>
      </c>
      <c r="F5" s="132" t="s">
        <v>10</v>
      </c>
      <c r="G5" s="198" t="s">
        <v>2554</v>
      </c>
      <c r="H5" s="199" t="s">
        <v>2555</v>
      </c>
      <c r="I5" s="199"/>
      <c r="J5" s="199"/>
      <c r="K5" s="199"/>
      <c r="L5" s="199"/>
      <c r="M5" s="199"/>
      <c r="N5" s="199" t="s">
        <v>2556</v>
      </c>
      <c r="O5" s="199" t="s">
        <v>2557</v>
      </c>
      <c r="P5" s="199" t="s">
        <v>2558</v>
      </c>
      <c r="Q5" s="199" t="s">
        <v>2559</v>
      </c>
      <c r="R5" s="200" t="s">
        <v>2560</v>
      </c>
    </row>
    <row r="6" spans="1:18">
      <c r="A6" s="128">
        <v>1425</v>
      </c>
      <c r="B6" s="131" t="s">
        <v>2561</v>
      </c>
      <c r="C6" s="129">
        <v>1</v>
      </c>
      <c r="D6" s="129">
        <v>11580</v>
      </c>
      <c r="E6" s="129">
        <v>173.9</v>
      </c>
      <c r="F6" s="132" t="s">
        <v>10</v>
      </c>
      <c r="G6" s="198" t="s">
        <v>2563</v>
      </c>
      <c r="H6" s="199" t="s">
        <v>2564</v>
      </c>
      <c r="I6" s="199"/>
      <c r="J6" s="199"/>
      <c r="K6" s="199"/>
      <c r="L6" s="199"/>
      <c r="M6" s="199"/>
      <c r="N6" s="199" t="s">
        <v>2565</v>
      </c>
      <c r="O6" s="199" t="s">
        <v>2566</v>
      </c>
      <c r="P6" s="199" t="s">
        <v>2567</v>
      </c>
      <c r="Q6" s="199" t="s">
        <v>2568</v>
      </c>
      <c r="R6" s="200" t="s">
        <v>2569</v>
      </c>
    </row>
    <row r="7" spans="1:18">
      <c r="A7" s="128">
        <v>1441</v>
      </c>
      <c r="B7" s="131" t="s">
        <v>2570</v>
      </c>
      <c r="C7" s="129">
        <v>1</v>
      </c>
      <c r="D7" s="129">
        <v>7900</v>
      </c>
      <c r="E7" s="129">
        <v>135.9</v>
      </c>
      <c r="F7" s="132" t="s">
        <v>10</v>
      </c>
      <c r="G7" s="198" t="s">
        <v>2572</v>
      </c>
      <c r="H7" s="199" t="s">
        <v>2573</v>
      </c>
      <c r="I7" s="199" t="s">
        <v>2574</v>
      </c>
      <c r="J7" s="199"/>
      <c r="K7" s="199"/>
      <c r="L7" s="199"/>
      <c r="M7" s="199"/>
      <c r="N7" s="199" t="s">
        <v>2575</v>
      </c>
      <c r="O7" s="199" t="s">
        <v>2576</v>
      </c>
      <c r="P7" s="199" t="s">
        <v>2577</v>
      </c>
      <c r="Q7" s="199" t="s">
        <v>2578</v>
      </c>
      <c r="R7" s="200" t="s">
        <v>2579</v>
      </c>
    </row>
    <row r="8" spans="1:18">
      <c r="A8" s="128">
        <v>1467</v>
      </c>
      <c r="B8" s="131" t="s">
        <v>2580</v>
      </c>
      <c r="C8" s="129">
        <v>1</v>
      </c>
      <c r="D8" s="129">
        <v>2000</v>
      </c>
      <c r="E8" s="129">
        <v>70.900000000000006</v>
      </c>
      <c r="F8" s="132" t="s">
        <v>10</v>
      </c>
      <c r="G8" s="198" t="s">
        <v>2582</v>
      </c>
      <c r="H8" s="199" t="s">
        <v>2583</v>
      </c>
      <c r="I8" s="199" t="s">
        <v>2584</v>
      </c>
      <c r="J8" s="199" t="s">
        <v>2585</v>
      </c>
      <c r="K8" s="199"/>
      <c r="L8" s="199"/>
      <c r="M8" s="199"/>
      <c r="N8" s="199" t="s">
        <v>2586</v>
      </c>
      <c r="O8" s="199" t="s">
        <v>2587</v>
      </c>
      <c r="P8" s="199" t="s">
        <v>2588</v>
      </c>
      <c r="Q8" s="199" t="s">
        <v>2589</v>
      </c>
      <c r="R8" s="200" t="s">
        <v>2590</v>
      </c>
    </row>
    <row r="9" spans="1:18">
      <c r="A9" s="128">
        <v>1417</v>
      </c>
      <c r="B9" s="131" t="s">
        <v>2591</v>
      </c>
      <c r="C9" s="129">
        <v>1</v>
      </c>
      <c r="D9" s="129">
        <v>2600</v>
      </c>
      <c r="E9" s="129">
        <v>103.95</v>
      </c>
      <c r="F9" s="132" t="s">
        <v>11</v>
      </c>
      <c r="G9" s="198" t="s">
        <v>2593</v>
      </c>
      <c r="H9" s="199" t="s">
        <v>2594</v>
      </c>
      <c r="I9" s="199" t="s">
        <v>2595</v>
      </c>
      <c r="J9" s="199" t="s">
        <v>2596</v>
      </c>
      <c r="K9" s="199"/>
      <c r="L9" s="199"/>
      <c r="M9" s="199"/>
      <c r="N9" s="199" t="s">
        <v>2597</v>
      </c>
      <c r="O9" s="199" t="s">
        <v>2598</v>
      </c>
      <c r="P9" s="199" t="s">
        <v>2599</v>
      </c>
      <c r="Q9" s="199" t="s">
        <v>2600</v>
      </c>
      <c r="R9" s="200" t="s">
        <v>2601</v>
      </c>
    </row>
    <row r="10" spans="1:18">
      <c r="A10" s="128">
        <v>1419</v>
      </c>
      <c r="B10" s="131" t="s">
        <v>2602</v>
      </c>
      <c r="C10" s="129">
        <v>1</v>
      </c>
      <c r="D10" s="129">
        <v>8180</v>
      </c>
      <c r="E10" s="129">
        <v>148.9</v>
      </c>
      <c r="F10" s="132" t="s">
        <v>11</v>
      </c>
      <c r="G10" s="198" t="s">
        <v>2604</v>
      </c>
      <c r="H10" s="199" t="s">
        <v>2605</v>
      </c>
      <c r="I10" s="199" t="s">
        <v>2606</v>
      </c>
      <c r="J10" s="199"/>
      <c r="K10" s="199"/>
      <c r="L10" s="199"/>
      <c r="M10" s="199"/>
      <c r="N10" s="199" t="s">
        <v>2607</v>
      </c>
      <c r="O10" s="199" t="s">
        <v>2608</v>
      </c>
      <c r="P10" s="199" t="s">
        <v>2609</v>
      </c>
      <c r="Q10" s="199" t="s">
        <v>2610</v>
      </c>
      <c r="R10" s="200" t="s">
        <v>2611</v>
      </c>
    </row>
    <row r="11" spans="1:18">
      <c r="A11" s="128">
        <v>1422</v>
      </c>
      <c r="B11" s="131" t="s">
        <v>2612</v>
      </c>
      <c r="C11" s="129">
        <v>1</v>
      </c>
      <c r="D11" s="129">
        <v>6100</v>
      </c>
      <c r="E11" s="129">
        <v>129.9</v>
      </c>
      <c r="F11" s="132" t="s">
        <v>10</v>
      </c>
      <c r="G11" s="198" t="s">
        <v>2614</v>
      </c>
      <c r="H11" s="199" t="s">
        <v>2615</v>
      </c>
      <c r="I11" s="199"/>
      <c r="J11" s="199"/>
      <c r="K11" s="199"/>
      <c r="L11" s="199"/>
      <c r="M11" s="199"/>
      <c r="N11" s="199" t="s">
        <v>2616</v>
      </c>
      <c r="O11" s="199" t="s">
        <v>2617</v>
      </c>
      <c r="P11" s="199" t="s">
        <v>2618</v>
      </c>
      <c r="Q11" s="199" t="s">
        <v>2619</v>
      </c>
      <c r="R11" s="200" t="s">
        <v>2620</v>
      </c>
    </row>
    <row r="12" spans="1:18">
      <c r="A12" s="128">
        <v>1423</v>
      </c>
      <c r="B12" s="131" t="s">
        <v>2639</v>
      </c>
      <c r="C12" s="129">
        <v>1</v>
      </c>
      <c r="D12" s="129">
        <v>25200</v>
      </c>
      <c r="E12" s="129">
        <v>304.89999999999998</v>
      </c>
      <c r="F12" s="132" t="s">
        <v>10</v>
      </c>
      <c r="G12" s="198" t="s">
        <v>2641</v>
      </c>
      <c r="H12" s="199" t="s">
        <v>2642</v>
      </c>
      <c r="I12" s="199" t="s">
        <v>2643</v>
      </c>
      <c r="J12" s="199"/>
      <c r="K12" s="199"/>
      <c r="L12" s="199"/>
      <c r="M12" s="199"/>
      <c r="N12" s="199" t="s">
        <v>2644</v>
      </c>
      <c r="O12" s="199" t="s">
        <v>2645</v>
      </c>
      <c r="P12" s="199" t="s">
        <v>2646</v>
      </c>
      <c r="Q12" s="199" t="s">
        <v>2647</v>
      </c>
      <c r="R12" s="200" t="s">
        <v>2648</v>
      </c>
    </row>
    <row r="13" spans="1:18">
      <c r="A13" s="128">
        <v>1426</v>
      </c>
      <c r="B13" s="131" t="s">
        <v>2649</v>
      </c>
      <c r="C13" s="129">
        <v>1</v>
      </c>
      <c r="D13" s="129">
        <v>14800</v>
      </c>
      <c r="E13" s="129">
        <v>205.9</v>
      </c>
      <c r="F13" s="132" t="s">
        <v>10</v>
      </c>
      <c r="G13" s="198" t="s">
        <v>2651</v>
      </c>
      <c r="H13" s="199" t="s">
        <v>2652</v>
      </c>
      <c r="I13" s="199" t="s">
        <v>2653</v>
      </c>
      <c r="J13" s="199"/>
      <c r="K13" s="199"/>
      <c r="L13" s="199"/>
      <c r="M13" s="199"/>
      <c r="N13" s="199" t="s">
        <v>2654</v>
      </c>
      <c r="O13" s="199" t="s">
        <v>2655</v>
      </c>
      <c r="P13" s="199" t="s">
        <v>2656</v>
      </c>
      <c r="Q13" s="199" t="s">
        <v>2657</v>
      </c>
      <c r="R13" s="200" t="s">
        <v>2658</v>
      </c>
    </row>
    <row r="14" spans="1:18">
      <c r="A14" s="128">
        <v>1427</v>
      </c>
      <c r="B14" s="131" t="s">
        <v>2659</v>
      </c>
      <c r="C14" s="129">
        <v>1</v>
      </c>
      <c r="D14" s="129">
        <v>17326</v>
      </c>
      <c r="E14" s="129">
        <v>224.9</v>
      </c>
      <c r="F14" s="132" t="s">
        <v>10</v>
      </c>
      <c r="G14" s="198" t="s">
        <v>2661</v>
      </c>
      <c r="H14" s="199" t="s">
        <v>2662</v>
      </c>
      <c r="I14" s="199" t="s">
        <v>2663</v>
      </c>
      <c r="J14" s="199"/>
      <c r="K14" s="199"/>
      <c r="L14" s="199"/>
      <c r="M14" s="199"/>
      <c r="N14" s="199" t="s">
        <v>2664</v>
      </c>
      <c r="O14" s="199" t="s">
        <v>2665</v>
      </c>
      <c r="P14" s="199" t="s">
        <v>2666</v>
      </c>
      <c r="Q14" s="199" t="s">
        <v>2667</v>
      </c>
      <c r="R14" s="200" t="s">
        <v>2668</v>
      </c>
    </row>
    <row r="15" spans="1:18">
      <c r="A15" s="128">
        <v>1430</v>
      </c>
      <c r="B15" s="131" t="s">
        <v>2756</v>
      </c>
      <c r="C15" s="129">
        <v>1</v>
      </c>
      <c r="D15" s="129">
        <v>16160</v>
      </c>
      <c r="E15" s="129">
        <v>267.89999999999998</v>
      </c>
      <c r="F15" s="132" t="s">
        <v>18</v>
      </c>
      <c r="G15" s="198" t="s">
        <v>2758</v>
      </c>
      <c r="H15" s="199" t="s">
        <v>2759</v>
      </c>
      <c r="I15" s="199" t="s">
        <v>2760</v>
      </c>
      <c r="J15" s="199"/>
      <c r="K15" s="199"/>
      <c r="L15" s="199"/>
      <c r="M15" s="199"/>
      <c r="N15" s="199" t="s">
        <v>2761</v>
      </c>
      <c r="O15" s="199" t="s">
        <v>2762</v>
      </c>
      <c r="P15" s="199" t="s">
        <v>2763</v>
      </c>
      <c r="Q15" s="199" t="s">
        <v>2764</v>
      </c>
      <c r="R15" s="200" t="s">
        <v>2765</v>
      </c>
    </row>
    <row r="16" spans="1:18">
      <c r="A16" s="128">
        <v>1431</v>
      </c>
      <c r="B16" s="131" t="s">
        <v>2766</v>
      </c>
      <c r="C16" s="129">
        <v>1</v>
      </c>
      <c r="D16" s="129">
        <v>17999</v>
      </c>
      <c r="E16" s="129">
        <v>222.9</v>
      </c>
      <c r="F16" s="132" t="s">
        <v>10</v>
      </c>
      <c r="G16" s="198" t="s">
        <v>2768</v>
      </c>
      <c r="H16" s="199" t="s">
        <v>2769</v>
      </c>
      <c r="I16" s="199"/>
      <c r="J16" s="199"/>
      <c r="K16" s="199"/>
      <c r="L16" s="199"/>
      <c r="M16" s="199"/>
      <c r="N16" s="199" t="s">
        <v>2770</v>
      </c>
      <c r="O16" s="199" t="s">
        <v>2771</v>
      </c>
      <c r="P16" s="199" t="s">
        <v>2772</v>
      </c>
      <c r="Q16" s="199" t="s">
        <v>2773</v>
      </c>
      <c r="R16" s="200" t="s">
        <v>2774</v>
      </c>
    </row>
    <row r="17" spans="1:18">
      <c r="A17" s="128">
        <v>1434</v>
      </c>
      <c r="B17" s="131" t="s">
        <v>3071</v>
      </c>
      <c r="C17" s="129">
        <v>1</v>
      </c>
      <c r="D17" s="129">
        <v>43600</v>
      </c>
      <c r="E17" s="129">
        <v>504.9</v>
      </c>
      <c r="F17" s="132" t="s">
        <v>14</v>
      </c>
      <c r="G17" s="198" t="s">
        <v>3073</v>
      </c>
      <c r="H17" s="199" t="s">
        <v>3074</v>
      </c>
      <c r="I17" s="199" t="s">
        <v>3075</v>
      </c>
      <c r="J17" s="199" t="s">
        <v>3076</v>
      </c>
      <c r="K17" s="199" t="s">
        <v>3077</v>
      </c>
      <c r="L17" s="199"/>
      <c r="M17" s="199"/>
      <c r="N17" s="199" t="s">
        <v>3078</v>
      </c>
      <c r="O17" s="199" t="s">
        <v>3079</v>
      </c>
      <c r="P17" s="199" t="s">
        <v>3080</v>
      </c>
      <c r="Q17" s="199" t="s">
        <v>3081</v>
      </c>
      <c r="R17" s="200" t="s">
        <v>3082</v>
      </c>
    </row>
    <row r="18" spans="1:18">
      <c r="A18" s="128">
        <v>1435</v>
      </c>
      <c r="B18" s="131" t="s">
        <v>3083</v>
      </c>
      <c r="C18" s="129">
        <v>1</v>
      </c>
      <c r="D18" s="129">
        <v>40100</v>
      </c>
      <c r="E18" s="129">
        <v>509.9</v>
      </c>
      <c r="F18" s="132" t="s">
        <v>10</v>
      </c>
      <c r="G18" s="198" t="s">
        <v>3085</v>
      </c>
      <c r="H18" s="199" t="s">
        <v>3086</v>
      </c>
      <c r="I18" s="199"/>
      <c r="J18" s="199"/>
      <c r="K18" s="199"/>
      <c r="L18" s="199"/>
      <c r="M18" s="199"/>
      <c r="N18" s="199" t="s">
        <v>3087</v>
      </c>
      <c r="O18" s="199" t="s">
        <v>3088</v>
      </c>
      <c r="P18" s="199" t="s">
        <v>3089</v>
      </c>
      <c r="Q18" s="199" t="s">
        <v>3090</v>
      </c>
      <c r="R18" s="200" t="s">
        <v>3091</v>
      </c>
    </row>
    <row r="19" spans="1:18">
      <c r="A19" s="128">
        <v>1436</v>
      </c>
      <c r="B19" s="131" t="s">
        <v>3092</v>
      </c>
      <c r="C19" s="129">
        <v>1</v>
      </c>
      <c r="D19" s="129">
        <v>40100</v>
      </c>
      <c r="E19" s="129">
        <v>509.9</v>
      </c>
      <c r="F19" s="132" t="s">
        <v>10</v>
      </c>
      <c r="G19" s="201" t="s">
        <v>3094</v>
      </c>
      <c r="H19" s="202" t="s">
        <v>3095</v>
      </c>
      <c r="I19" s="202"/>
      <c r="J19" s="202"/>
      <c r="K19" s="202"/>
      <c r="L19" s="202"/>
      <c r="M19" s="202"/>
      <c r="N19" s="202" t="s">
        <v>3096</v>
      </c>
      <c r="O19" s="202" t="s">
        <v>3097</v>
      </c>
      <c r="P19" s="202" t="s">
        <v>3098</v>
      </c>
      <c r="Q19" s="202" t="s">
        <v>3099</v>
      </c>
      <c r="R19" s="203" t="s">
        <v>3100</v>
      </c>
    </row>
    <row r="20" spans="1:18">
      <c r="A20" s="128">
        <v>1437</v>
      </c>
      <c r="B20" s="131" t="s">
        <v>3101</v>
      </c>
      <c r="C20" s="129">
        <v>1</v>
      </c>
      <c r="D20" s="129">
        <v>75000</v>
      </c>
      <c r="E20" s="129">
        <v>909.9</v>
      </c>
      <c r="F20" s="132" t="s">
        <v>10</v>
      </c>
      <c r="G20" s="201" t="s">
        <v>3103</v>
      </c>
      <c r="H20" s="202" t="s">
        <v>3104</v>
      </c>
      <c r="I20" s="202"/>
      <c r="J20" s="202"/>
      <c r="K20" s="202"/>
      <c r="L20" s="202"/>
      <c r="M20" s="202"/>
      <c r="N20" s="202" t="s">
        <v>3105</v>
      </c>
      <c r="O20" s="202" t="s">
        <v>3106</v>
      </c>
      <c r="P20" s="202" t="s">
        <v>3107</v>
      </c>
      <c r="Q20" s="202" t="s">
        <v>3108</v>
      </c>
      <c r="R20" s="203" t="s">
        <v>3109</v>
      </c>
    </row>
    <row r="21" spans="1:18">
      <c r="A21" s="128">
        <v>1438</v>
      </c>
      <c r="B21" s="131" t="s">
        <v>3139</v>
      </c>
      <c r="C21" s="129">
        <v>1</v>
      </c>
      <c r="D21" s="129">
        <v>99999</v>
      </c>
      <c r="E21" s="129">
        <v>1109.9000000000001</v>
      </c>
      <c r="F21" s="132" t="s">
        <v>21</v>
      </c>
      <c r="G21" s="201" t="s">
        <v>3141</v>
      </c>
      <c r="H21" s="202" t="s">
        <v>3142</v>
      </c>
      <c r="I21" s="202"/>
      <c r="J21" s="202"/>
      <c r="K21" s="202"/>
      <c r="L21" s="202"/>
      <c r="M21" s="202"/>
      <c r="N21" s="202" t="s">
        <v>3143</v>
      </c>
      <c r="O21" s="202" t="s">
        <v>3144</v>
      </c>
      <c r="P21" s="202" t="s">
        <v>3145</v>
      </c>
      <c r="Q21" s="202" t="s">
        <v>3146</v>
      </c>
      <c r="R21" s="203" t="s">
        <v>3147</v>
      </c>
    </row>
    <row r="22" spans="1:18">
      <c r="A22" s="128">
        <v>1439</v>
      </c>
      <c r="B22" s="131" t="s">
        <v>3148</v>
      </c>
      <c r="C22" s="129">
        <v>1</v>
      </c>
      <c r="D22" s="129">
        <v>238900</v>
      </c>
      <c r="E22" s="129">
        <v>2688.9</v>
      </c>
      <c r="F22" s="132" t="s">
        <v>25</v>
      </c>
      <c r="G22" s="201" t="s">
        <v>3150</v>
      </c>
      <c r="H22" s="202" t="s">
        <v>3151</v>
      </c>
      <c r="I22" s="202"/>
      <c r="J22" s="202"/>
      <c r="K22" s="202"/>
      <c r="L22" s="202"/>
      <c r="M22" s="202"/>
      <c r="N22" s="202" t="s">
        <v>3152</v>
      </c>
      <c r="O22" s="202" t="s">
        <v>3153</v>
      </c>
      <c r="P22" s="202" t="s">
        <v>3154</v>
      </c>
      <c r="Q22" s="202" t="s">
        <v>3155</v>
      </c>
      <c r="R22" s="203" t="s">
        <v>3156</v>
      </c>
    </row>
    <row r="23" spans="1:18">
      <c r="A23" s="128">
        <v>1443</v>
      </c>
      <c r="B23" s="131" t="s">
        <v>3157</v>
      </c>
      <c r="C23" s="129">
        <v>1</v>
      </c>
      <c r="D23" s="129">
        <v>23333</v>
      </c>
      <c r="E23" s="129">
        <v>319.89999999999998</v>
      </c>
      <c r="F23" s="132" t="s">
        <v>10</v>
      </c>
      <c r="G23" s="201" t="s">
        <v>3159</v>
      </c>
      <c r="H23" s="202" t="s">
        <v>3160</v>
      </c>
      <c r="I23" s="202" t="s">
        <v>3161</v>
      </c>
      <c r="J23" s="202" t="s">
        <v>3162</v>
      </c>
      <c r="K23" s="202" t="s">
        <v>3163</v>
      </c>
      <c r="L23" s="202" t="s">
        <v>3164</v>
      </c>
      <c r="M23" s="202"/>
      <c r="N23" s="202" t="s">
        <v>3165</v>
      </c>
      <c r="O23" s="202" t="s">
        <v>3166</v>
      </c>
      <c r="P23" s="202" t="s">
        <v>3167</v>
      </c>
      <c r="Q23" s="202" t="s">
        <v>3168</v>
      </c>
      <c r="R23" s="203" t="s">
        <v>3169</v>
      </c>
    </row>
    <row r="24" spans="1:18">
      <c r="A24" s="128">
        <v>1444</v>
      </c>
      <c r="B24" s="131" t="s">
        <v>3170</v>
      </c>
      <c r="C24" s="129">
        <v>1</v>
      </c>
      <c r="D24" s="129">
        <v>25000</v>
      </c>
      <c r="E24" s="129">
        <v>368.9</v>
      </c>
      <c r="F24" s="132" t="s">
        <v>11</v>
      </c>
      <c r="G24" s="201" t="s">
        <v>3172</v>
      </c>
      <c r="H24" s="202" t="s">
        <v>3173</v>
      </c>
      <c r="I24" s="202" t="s">
        <v>3174</v>
      </c>
      <c r="J24" s="202" t="s">
        <v>3175</v>
      </c>
      <c r="K24" s="202"/>
      <c r="L24" s="202"/>
      <c r="M24" s="202"/>
      <c r="N24" s="202" t="s">
        <v>3176</v>
      </c>
      <c r="O24" s="202" t="s">
        <v>3177</v>
      </c>
      <c r="P24" s="202" t="s">
        <v>3178</v>
      </c>
      <c r="Q24" s="202" t="s">
        <v>3179</v>
      </c>
      <c r="R24" s="203" t="s">
        <v>3180</v>
      </c>
    </row>
    <row r="25" spans="1:18">
      <c r="A25" s="128">
        <v>1447</v>
      </c>
      <c r="B25" s="131" t="s">
        <v>3251</v>
      </c>
      <c r="C25" s="129">
        <v>1</v>
      </c>
      <c r="D25" s="129">
        <v>8000</v>
      </c>
      <c r="E25" s="129">
        <v>184.8</v>
      </c>
      <c r="F25" s="132" t="s">
        <v>10</v>
      </c>
      <c r="G25" s="201" t="s">
        <v>3253</v>
      </c>
      <c r="H25" s="202" t="s">
        <v>3254</v>
      </c>
      <c r="I25" s="202" t="s">
        <v>3255</v>
      </c>
      <c r="J25" s="202" t="s">
        <v>3256</v>
      </c>
      <c r="K25" s="202"/>
      <c r="L25" s="202"/>
      <c r="M25" s="202"/>
      <c r="N25" s="202" t="s">
        <v>3257</v>
      </c>
      <c r="O25" s="202" t="s">
        <v>3258</v>
      </c>
      <c r="P25" s="202" t="s">
        <v>3259</v>
      </c>
      <c r="Q25" s="202" t="s">
        <v>3260</v>
      </c>
      <c r="R25" s="203" t="s">
        <v>3261</v>
      </c>
    </row>
    <row r="26" spans="1:18">
      <c r="A26" s="128">
        <v>1449</v>
      </c>
      <c r="B26" s="131" t="s">
        <v>3262</v>
      </c>
      <c r="C26" s="129">
        <v>1</v>
      </c>
      <c r="D26" s="129">
        <v>26900</v>
      </c>
      <c r="E26" s="129">
        <v>309.3</v>
      </c>
      <c r="F26" s="132" t="s">
        <v>11</v>
      </c>
      <c r="G26" s="201" t="s">
        <v>3264</v>
      </c>
      <c r="H26" s="202" t="s">
        <v>3265</v>
      </c>
      <c r="I26" s="202"/>
      <c r="J26" s="202"/>
      <c r="K26" s="202"/>
      <c r="L26" s="202"/>
      <c r="M26" s="202"/>
      <c r="N26" s="202" t="s">
        <v>3266</v>
      </c>
      <c r="O26" s="202" t="s">
        <v>3267</v>
      </c>
      <c r="P26" s="202" t="s">
        <v>3268</v>
      </c>
      <c r="Q26" s="202" t="s">
        <v>3269</v>
      </c>
      <c r="R26" s="203" t="s">
        <v>3270</v>
      </c>
    </row>
    <row r="27" spans="1:18">
      <c r="A27" s="128">
        <v>1450</v>
      </c>
      <c r="B27" s="131" t="s">
        <v>3271</v>
      </c>
      <c r="C27" s="129">
        <v>1</v>
      </c>
      <c r="D27" s="129">
        <v>19100</v>
      </c>
      <c r="E27" s="129">
        <v>297.89999999999998</v>
      </c>
      <c r="F27" s="132" t="s">
        <v>16</v>
      </c>
      <c r="G27" s="201" t="s">
        <v>3273</v>
      </c>
      <c r="H27" s="202" t="s">
        <v>3274</v>
      </c>
      <c r="I27" s="202"/>
      <c r="J27" s="202"/>
      <c r="K27" s="202"/>
      <c r="L27" s="202"/>
      <c r="M27" s="202"/>
      <c r="N27" s="202" t="s">
        <v>3275</v>
      </c>
      <c r="O27" s="202" t="s">
        <v>3276</v>
      </c>
      <c r="P27" s="202" t="s">
        <v>3277</v>
      </c>
      <c r="Q27" s="202" t="s">
        <v>3278</v>
      </c>
      <c r="R27" s="203" t="s">
        <v>3279</v>
      </c>
    </row>
    <row r="28" spans="1:18">
      <c r="A28" s="128">
        <v>1452</v>
      </c>
      <c r="B28" s="131"/>
      <c r="C28" s="129"/>
      <c r="D28" s="129"/>
      <c r="E28" s="129"/>
      <c r="F28" s="132"/>
      <c r="G28" s="201"/>
      <c r="H28" s="202"/>
      <c r="I28" s="202"/>
      <c r="J28" s="202"/>
      <c r="K28" s="202"/>
      <c r="L28" s="202"/>
      <c r="M28" s="202"/>
      <c r="N28" s="202"/>
      <c r="O28" s="202"/>
      <c r="P28" s="202"/>
      <c r="Q28" s="202"/>
      <c r="R28" s="203"/>
    </row>
    <row r="29" spans="1:18">
      <c r="A29" s="128">
        <v>1454</v>
      </c>
      <c r="B29" s="131"/>
      <c r="C29" s="129"/>
      <c r="D29" s="129"/>
      <c r="E29" s="129"/>
      <c r="F29" s="132"/>
      <c r="G29" s="201"/>
      <c r="H29" s="202"/>
      <c r="I29" s="202"/>
      <c r="J29" s="202"/>
      <c r="K29" s="202"/>
      <c r="L29" s="202"/>
      <c r="M29" s="202"/>
      <c r="N29" s="202"/>
      <c r="O29" s="202"/>
      <c r="P29" s="202"/>
      <c r="Q29" s="202"/>
      <c r="R29" s="203"/>
    </row>
    <row r="30" spans="1:18">
      <c r="A30" s="128">
        <v>1457</v>
      </c>
      <c r="B30" s="131"/>
      <c r="C30" s="129"/>
      <c r="D30" s="129"/>
      <c r="E30" s="129"/>
      <c r="F30" s="132"/>
      <c r="G30" s="201"/>
      <c r="H30" s="202"/>
      <c r="I30" s="202"/>
      <c r="J30" s="202"/>
      <c r="K30" s="202"/>
      <c r="L30" s="202"/>
      <c r="M30" s="202"/>
      <c r="N30" s="202"/>
      <c r="O30" s="202"/>
      <c r="P30" s="202"/>
      <c r="Q30" s="202"/>
      <c r="R30" s="203"/>
    </row>
    <row r="31" spans="1:18">
      <c r="A31" s="128">
        <v>1458</v>
      </c>
      <c r="B31" s="131"/>
      <c r="C31" s="129"/>
      <c r="D31" s="129"/>
      <c r="E31" s="129"/>
      <c r="F31" s="132"/>
      <c r="G31" s="201"/>
      <c r="H31" s="202"/>
      <c r="I31" s="202"/>
      <c r="J31" s="202"/>
      <c r="K31" s="202"/>
      <c r="L31" s="202"/>
      <c r="M31" s="202"/>
      <c r="N31" s="202"/>
      <c r="O31" s="202"/>
      <c r="P31" s="202"/>
      <c r="Q31" s="202"/>
      <c r="R31" s="203"/>
    </row>
    <row r="32" spans="1:18">
      <c r="A32" s="128">
        <v>1459</v>
      </c>
      <c r="B32" s="131"/>
      <c r="C32" s="129"/>
      <c r="D32" s="129"/>
      <c r="E32" s="129"/>
      <c r="F32" s="132"/>
      <c r="G32" s="201"/>
      <c r="H32" s="202"/>
      <c r="I32" s="202"/>
      <c r="J32" s="202"/>
      <c r="K32" s="202"/>
      <c r="L32" s="202"/>
      <c r="M32" s="202"/>
      <c r="N32" s="202"/>
      <c r="O32" s="202"/>
      <c r="P32" s="202"/>
      <c r="Q32" s="202"/>
      <c r="R32" s="203"/>
    </row>
    <row r="33" spans="1:18">
      <c r="A33" s="128">
        <v>1462</v>
      </c>
      <c r="B33" s="131"/>
      <c r="C33" s="129"/>
      <c r="D33" s="129"/>
      <c r="E33" s="129"/>
      <c r="F33" s="132"/>
      <c r="G33" s="201"/>
      <c r="H33" s="202"/>
      <c r="I33" s="202"/>
      <c r="J33" s="202"/>
      <c r="K33" s="202"/>
      <c r="L33" s="202"/>
      <c r="M33" s="202"/>
      <c r="N33" s="202"/>
      <c r="O33" s="202"/>
      <c r="P33" s="202"/>
      <c r="Q33" s="202"/>
      <c r="R33" s="203"/>
    </row>
    <row r="34" spans="1:18">
      <c r="A34" s="128">
        <v>1465</v>
      </c>
      <c r="B34" s="131"/>
      <c r="C34" s="129"/>
      <c r="D34" s="129"/>
      <c r="E34" s="129"/>
      <c r="F34" s="132"/>
      <c r="G34" s="201"/>
      <c r="H34" s="202"/>
      <c r="I34" s="202"/>
      <c r="J34" s="202"/>
      <c r="K34" s="202"/>
      <c r="L34" s="202"/>
      <c r="M34" s="202"/>
      <c r="N34" s="202"/>
      <c r="O34" s="202"/>
      <c r="P34" s="202"/>
      <c r="Q34" s="202"/>
      <c r="R34" s="203"/>
    </row>
    <row r="35" spans="1:18">
      <c r="A35" s="128">
        <v>1487</v>
      </c>
      <c r="B35" s="131"/>
      <c r="C35" s="129"/>
      <c r="D35" s="129"/>
      <c r="E35" s="129"/>
      <c r="F35" s="132"/>
      <c r="G35" s="201"/>
      <c r="H35" s="202"/>
      <c r="I35" s="202"/>
      <c r="J35" s="202"/>
      <c r="K35" s="202"/>
      <c r="L35" s="202"/>
      <c r="M35" s="202"/>
      <c r="N35" s="202"/>
      <c r="O35" s="202"/>
      <c r="P35" s="202"/>
      <c r="Q35" s="202"/>
      <c r="R35" s="203"/>
    </row>
    <row r="36" spans="1:18">
      <c r="A36" s="128">
        <v>1494</v>
      </c>
      <c r="B36" s="131"/>
      <c r="C36" s="129"/>
      <c r="D36" s="129"/>
      <c r="E36" s="129"/>
      <c r="F36" s="132"/>
      <c r="G36" s="201"/>
      <c r="H36" s="202"/>
      <c r="I36" s="202"/>
      <c r="J36" s="202"/>
      <c r="K36" s="202"/>
      <c r="L36" s="202"/>
      <c r="M36" s="202"/>
      <c r="N36" s="202"/>
      <c r="O36" s="202"/>
      <c r="P36" s="202"/>
      <c r="Q36" s="202"/>
      <c r="R36" s="203"/>
    </row>
    <row r="37" spans="1:18">
      <c r="A37" s="128">
        <v>1504</v>
      </c>
      <c r="B37" s="131"/>
      <c r="C37" s="129"/>
      <c r="D37" s="129"/>
      <c r="E37" s="129"/>
      <c r="F37" s="132"/>
      <c r="G37" s="201"/>
      <c r="H37" s="202"/>
      <c r="I37" s="202"/>
      <c r="J37" s="202"/>
      <c r="K37" s="202"/>
      <c r="L37" s="202"/>
      <c r="M37" s="202"/>
      <c r="N37" s="202"/>
      <c r="O37" s="202"/>
      <c r="P37" s="202"/>
      <c r="Q37" s="202"/>
      <c r="R37" s="203"/>
    </row>
    <row r="38" spans="1:18">
      <c r="A38" s="128">
        <v>1529</v>
      </c>
      <c r="B38" s="131"/>
      <c r="C38" s="129"/>
      <c r="D38" s="129"/>
      <c r="E38" s="129"/>
      <c r="F38" s="132"/>
      <c r="G38" s="201"/>
      <c r="H38" s="202"/>
      <c r="I38" s="202"/>
      <c r="J38" s="202"/>
      <c r="K38" s="202"/>
      <c r="L38" s="202"/>
      <c r="M38" s="202"/>
      <c r="N38" s="202"/>
      <c r="O38" s="202"/>
      <c r="P38" s="202"/>
      <c r="Q38" s="202"/>
      <c r="R38" s="203"/>
    </row>
    <row r="39" spans="1:18">
      <c r="A39" s="128">
        <v>1538</v>
      </c>
      <c r="B39" s="131"/>
      <c r="C39" s="129"/>
      <c r="D39" s="129"/>
      <c r="E39" s="129"/>
      <c r="F39" s="132"/>
      <c r="G39" s="201"/>
      <c r="H39" s="202"/>
      <c r="I39" s="202"/>
      <c r="J39" s="202"/>
      <c r="K39" s="202"/>
      <c r="L39" s="202"/>
      <c r="M39" s="202"/>
      <c r="N39" s="202"/>
      <c r="O39" s="202"/>
      <c r="P39" s="202"/>
      <c r="Q39" s="202"/>
      <c r="R39" s="203"/>
    </row>
    <row r="40" spans="1:18">
      <c r="A40" s="128">
        <v>1540</v>
      </c>
      <c r="B40" s="131"/>
      <c r="C40" s="129"/>
      <c r="D40" s="129"/>
      <c r="E40" s="129"/>
      <c r="F40" s="132"/>
      <c r="G40" s="201"/>
      <c r="H40" s="202"/>
      <c r="I40" s="202"/>
      <c r="J40" s="202"/>
      <c r="K40" s="202"/>
      <c r="L40" s="202"/>
      <c r="M40" s="202"/>
      <c r="N40" s="202"/>
      <c r="O40" s="202"/>
      <c r="P40" s="202"/>
      <c r="Q40" s="202"/>
      <c r="R40" s="203"/>
    </row>
    <row r="41" spans="1:18">
      <c r="A41" s="128">
        <v>1561</v>
      </c>
      <c r="B41" s="131"/>
      <c r="C41" s="129"/>
      <c r="D41" s="129"/>
      <c r="E41" s="129"/>
      <c r="F41" s="132"/>
      <c r="G41" s="201"/>
      <c r="H41" s="202"/>
      <c r="I41" s="202"/>
      <c r="J41" s="202"/>
      <c r="K41" s="202"/>
      <c r="L41" s="202"/>
      <c r="M41" s="202"/>
      <c r="N41" s="202"/>
      <c r="O41" s="202"/>
      <c r="P41" s="202"/>
      <c r="Q41" s="202"/>
      <c r="R41" s="203"/>
    </row>
    <row r="42" spans="1:18">
      <c r="A42" s="128">
        <v>1572</v>
      </c>
      <c r="B42" s="131"/>
      <c r="C42" s="129"/>
      <c r="D42" s="129"/>
      <c r="E42" s="129"/>
      <c r="F42" s="132"/>
      <c r="G42" s="201"/>
      <c r="H42" s="202"/>
      <c r="I42" s="202"/>
      <c r="J42" s="202"/>
      <c r="K42" s="202"/>
      <c r="L42" s="202"/>
      <c r="M42" s="202"/>
      <c r="N42" s="202"/>
      <c r="O42" s="202"/>
      <c r="P42" s="202"/>
      <c r="Q42" s="202"/>
      <c r="R42" s="203"/>
    </row>
    <row r="43" spans="1:18">
      <c r="A43" s="128">
        <v>1593</v>
      </c>
      <c r="B43" s="131"/>
      <c r="C43" s="129"/>
      <c r="D43" s="129"/>
      <c r="E43" s="129"/>
      <c r="F43" s="132"/>
      <c r="G43" s="201"/>
      <c r="H43" s="202"/>
      <c r="I43" s="202"/>
      <c r="J43" s="202"/>
      <c r="K43" s="202"/>
      <c r="L43" s="202"/>
      <c r="M43" s="202"/>
      <c r="N43" s="202"/>
      <c r="O43" s="202"/>
      <c r="P43" s="202"/>
      <c r="Q43" s="202"/>
      <c r="R43" s="203"/>
    </row>
    <row r="44" spans="1:18">
      <c r="A44" s="128">
        <v>1597</v>
      </c>
      <c r="B44" s="131"/>
      <c r="C44" s="129"/>
      <c r="D44" s="129"/>
      <c r="E44" s="129"/>
      <c r="F44" s="132"/>
      <c r="G44" s="201"/>
      <c r="H44" s="202"/>
      <c r="I44" s="202"/>
      <c r="J44" s="202"/>
      <c r="K44" s="202"/>
      <c r="L44" s="202"/>
      <c r="M44" s="202"/>
      <c r="N44" s="202"/>
      <c r="O44" s="202"/>
      <c r="P44" s="202"/>
      <c r="Q44" s="202"/>
      <c r="R44" s="203"/>
    </row>
    <row r="45" spans="1:18">
      <c r="A45" s="128"/>
      <c r="B45" s="131"/>
      <c r="C45" s="129"/>
      <c r="D45" s="129"/>
      <c r="E45" s="129"/>
      <c r="F45" s="132"/>
      <c r="G45" s="201"/>
      <c r="H45" s="202"/>
      <c r="I45" s="202"/>
      <c r="J45" s="202"/>
      <c r="K45" s="202"/>
      <c r="L45" s="202"/>
      <c r="M45" s="202"/>
      <c r="N45" s="202"/>
      <c r="O45" s="202"/>
      <c r="P45" s="202"/>
      <c r="Q45" s="202"/>
      <c r="R45" s="203"/>
    </row>
    <row r="46" spans="1:18">
      <c r="A46" s="128"/>
      <c r="B46" s="131"/>
      <c r="C46" s="129"/>
      <c r="D46" s="129"/>
      <c r="E46" s="129"/>
      <c r="F46" s="132"/>
      <c r="G46" s="201"/>
      <c r="H46" s="202"/>
      <c r="I46" s="202"/>
      <c r="J46" s="202"/>
      <c r="K46" s="202"/>
      <c r="L46" s="202"/>
      <c r="M46" s="202"/>
      <c r="N46" s="202"/>
      <c r="O46" s="202"/>
      <c r="P46" s="202"/>
      <c r="Q46" s="202"/>
      <c r="R46" s="203"/>
    </row>
    <row r="47" spans="1:18">
      <c r="A47" s="128"/>
      <c r="B47" s="131"/>
      <c r="C47" s="129"/>
      <c r="D47" s="129"/>
      <c r="E47" s="129"/>
      <c r="F47" s="132"/>
      <c r="G47" s="201"/>
      <c r="H47" s="202"/>
      <c r="I47" s="202"/>
      <c r="J47" s="202"/>
      <c r="K47" s="202"/>
      <c r="L47" s="202"/>
      <c r="M47" s="202"/>
      <c r="N47" s="202"/>
      <c r="O47" s="202"/>
      <c r="P47" s="202"/>
      <c r="Q47" s="202"/>
      <c r="R47" s="203"/>
    </row>
    <row r="48" spans="1:18">
      <c r="A48" s="128"/>
      <c r="B48" s="131"/>
      <c r="C48" s="129"/>
      <c r="D48" s="129"/>
      <c r="E48" s="129"/>
      <c r="F48" s="132"/>
      <c r="G48" s="201"/>
      <c r="H48" s="202"/>
      <c r="I48" s="202"/>
      <c r="J48" s="202"/>
      <c r="K48" s="202"/>
      <c r="L48" s="202"/>
      <c r="M48" s="202"/>
      <c r="N48" s="202"/>
      <c r="O48" s="202"/>
      <c r="P48" s="202"/>
      <c r="Q48" s="202"/>
      <c r="R48" s="203"/>
    </row>
    <row r="49" spans="1:18">
      <c r="A49" s="128"/>
      <c r="B49" s="131"/>
      <c r="C49" s="129"/>
      <c r="D49" s="129"/>
      <c r="E49" s="129"/>
      <c r="F49" s="132"/>
      <c r="G49" s="201"/>
      <c r="H49" s="202"/>
      <c r="I49" s="202"/>
      <c r="J49" s="202"/>
      <c r="K49" s="202"/>
      <c r="L49" s="202"/>
      <c r="M49" s="202"/>
      <c r="N49" s="202"/>
      <c r="O49" s="202"/>
      <c r="P49" s="202"/>
      <c r="Q49" s="202"/>
      <c r="R49" s="203"/>
    </row>
    <row r="50" spans="1:18">
      <c r="A50" s="128"/>
      <c r="B50" s="131"/>
      <c r="C50" s="129"/>
      <c r="D50" s="129"/>
      <c r="E50" s="129"/>
      <c r="F50" s="132"/>
      <c r="G50" s="201"/>
      <c r="H50" s="202"/>
      <c r="I50" s="202"/>
      <c r="J50" s="202"/>
      <c r="K50" s="202"/>
      <c r="L50" s="202"/>
      <c r="M50" s="202"/>
      <c r="N50" s="202"/>
      <c r="O50" s="202"/>
      <c r="P50" s="202"/>
      <c r="Q50" s="202"/>
      <c r="R50" s="203"/>
    </row>
    <row r="51" spans="1:18">
      <c r="A51" s="128"/>
      <c r="B51" s="131"/>
      <c r="C51" s="129"/>
      <c r="D51" s="129"/>
      <c r="E51" s="129"/>
      <c r="F51" s="132"/>
      <c r="G51" s="201"/>
      <c r="H51" s="202"/>
      <c r="I51" s="202"/>
      <c r="J51" s="202"/>
      <c r="K51" s="202"/>
      <c r="L51" s="202"/>
      <c r="M51" s="202"/>
      <c r="N51" s="202"/>
      <c r="O51" s="202"/>
      <c r="P51" s="202"/>
      <c r="Q51" s="202"/>
      <c r="R51" s="203"/>
    </row>
    <row r="52" spans="1:18">
      <c r="A52" s="128"/>
      <c r="B52" s="131"/>
      <c r="C52" s="129"/>
      <c r="D52" s="129"/>
      <c r="E52" s="129"/>
      <c r="F52" s="132"/>
      <c r="G52" s="201"/>
      <c r="H52" s="202"/>
      <c r="I52" s="202"/>
      <c r="J52" s="202"/>
      <c r="K52" s="202"/>
      <c r="L52" s="202"/>
      <c r="M52" s="202"/>
      <c r="N52" s="202"/>
      <c r="O52" s="202"/>
      <c r="P52" s="202"/>
      <c r="Q52" s="202"/>
      <c r="R52" s="203"/>
    </row>
    <row r="53" spans="1:18">
      <c r="A53" s="128"/>
      <c r="B53" s="131"/>
      <c r="C53" s="129"/>
      <c r="D53" s="129"/>
      <c r="E53" s="129"/>
      <c r="F53" s="132"/>
      <c r="G53" s="201"/>
      <c r="H53" s="202"/>
      <c r="I53" s="202"/>
      <c r="J53" s="202"/>
      <c r="K53" s="202"/>
      <c r="L53" s="202"/>
      <c r="M53" s="202"/>
      <c r="N53" s="202"/>
      <c r="O53" s="202"/>
      <c r="P53" s="202"/>
      <c r="Q53" s="202"/>
      <c r="R53" s="203"/>
    </row>
    <row r="54" spans="1:18">
      <c r="A54" s="128"/>
      <c r="B54" s="131"/>
      <c r="C54" s="129"/>
      <c r="D54" s="129"/>
      <c r="E54" s="129"/>
      <c r="F54" s="132"/>
      <c r="G54" s="201"/>
      <c r="H54" s="202"/>
      <c r="I54" s="202"/>
      <c r="J54" s="202"/>
      <c r="K54" s="202"/>
      <c r="L54" s="202"/>
      <c r="M54" s="202"/>
      <c r="N54" s="202"/>
      <c r="O54" s="202"/>
      <c r="P54" s="202"/>
      <c r="Q54" s="202"/>
      <c r="R54" s="203"/>
    </row>
    <row r="55" spans="1:18">
      <c r="A55" s="128"/>
      <c r="B55" s="131"/>
      <c r="C55" s="129"/>
      <c r="D55" s="129"/>
      <c r="E55" s="129"/>
      <c r="F55" s="132"/>
      <c r="G55" s="201"/>
      <c r="H55" s="202"/>
      <c r="I55" s="202"/>
      <c r="J55" s="202"/>
      <c r="K55" s="202"/>
      <c r="L55" s="202"/>
      <c r="M55" s="202"/>
      <c r="N55" s="202"/>
      <c r="O55" s="202"/>
      <c r="P55" s="202"/>
      <c r="Q55" s="202"/>
      <c r="R55" s="203"/>
    </row>
    <row r="56" spans="1:18">
      <c r="A56" s="128"/>
      <c r="B56" s="131"/>
      <c r="C56" s="129"/>
      <c r="D56" s="129"/>
      <c r="E56" s="129"/>
      <c r="F56" s="132"/>
      <c r="G56" s="201"/>
      <c r="H56" s="202"/>
      <c r="I56" s="202"/>
      <c r="J56" s="202"/>
      <c r="K56" s="202"/>
      <c r="L56" s="202"/>
      <c r="M56" s="202"/>
      <c r="N56" s="202"/>
      <c r="O56" s="202"/>
      <c r="P56" s="202"/>
      <c r="Q56" s="202"/>
      <c r="R56" s="203"/>
    </row>
    <row r="57" spans="1:18">
      <c r="A57" s="128"/>
      <c r="B57" s="131"/>
      <c r="C57" s="129"/>
      <c r="D57" s="129"/>
      <c r="E57" s="129"/>
      <c r="F57" s="132"/>
      <c r="G57" s="201"/>
      <c r="H57" s="202"/>
      <c r="I57" s="202"/>
      <c r="J57" s="202"/>
      <c r="K57" s="202"/>
      <c r="L57" s="202"/>
      <c r="M57" s="202"/>
      <c r="N57" s="202"/>
      <c r="O57" s="202"/>
      <c r="P57" s="202"/>
      <c r="Q57" s="202"/>
      <c r="R57" s="203"/>
    </row>
    <row r="58" spans="1:18">
      <c r="A58" s="128"/>
      <c r="B58" s="131"/>
      <c r="C58" s="129"/>
      <c r="D58" s="129"/>
      <c r="E58" s="129"/>
      <c r="F58" s="132"/>
      <c r="G58" s="201"/>
      <c r="H58" s="202"/>
      <c r="I58" s="202"/>
      <c r="J58" s="202"/>
      <c r="K58" s="202"/>
      <c r="L58" s="202"/>
      <c r="M58" s="202"/>
      <c r="N58" s="202"/>
      <c r="O58" s="202"/>
      <c r="P58" s="202"/>
      <c r="Q58" s="202"/>
      <c r="R58" s="203"/>
    </row>
    <row r="59" spans="1:18">
      <c r="A59" s="128"/>
      <c r="B59" s="131"/>
      <c r="C59" s="129"/>
      <c r="D59" s="129"/>
      <c r="E59" s="129"/>
      <c r="F59" s="132"/>
      <c r="G59" s="201"/>
      <c r="H59" s="202"/>
      <c r="I59" s="202"/>
      <c r="J59" s="202"/>
      <c r="K59" s="202"/>
      <c r="L59" s="202"/>
      <c r="M59" s="202"/>
      <c r="N59" s="202"/>
      <c r="O59" s="202"/>
      <c r="P59" s="202"/>
      <c r="Q59" s="202"/>
      <c r="R59" s="203"/>
    </row>
    <row r="60" spans="1:18">
      <c r="A60" s="128"/>
      <c r="B60" s="131"/>
      <c r="C60" s="129"/>
      <c r="D60" s="129"/>
      <c r="E60" s="129"/>
      <c r="F60" s="132"/>
      <c r="G60" s="201"/>
      <c r="H60" s="202"/>
      <c r="I60" s="202"/>
      <c r="J60" s="202"/>
      <c r="K60" s="202"/>
      <c r="L60" s="202"/>
      <c r="M60" s="202"/>
      <c r="N60" s="202"/>
      <c r="O60" s="202"/>
      <c r="P60" s="202"/>
      <c r="Q60" s="202"/>
      <c r="R60" s="203"/>
    </row>
    <row r="61" spans="1:18">
      <c r="A61" s="128"/>
      <c r="B61" s="131"/>
      <c r="C61" s="129"/>
      <c r="D61" s="129"/>
      <c r="E61" s="129"/>
      <c r="F61" s="132"/>
      <c r="G61" s="201"/>
      <c r="H61" s="202"/>
      <c r="I61" s="202"/>
      <c r="J61" s="202"/>
      <c r="K61" s="202"/>
      <c r="L61" s="202"/>
      <c r="M61" s="202"/>
      <c r="N61" s="202"/>
      <c r="O61" s="202"/>
      <c r="P61" s="202"/>
      <c r="Q61" s="202"/>
      <c r="R61" s="203"/>
    </row>
    <row r="62" spans="1:18">
      <c r="A62" s="128"/>
      <c r="B62" s="131"/>
      <c r="C62" s="129"/>
      <c r="D62" s="129"/>
      <c r="E62" s="129"/>
      <c r="F62" s="132"/>
      <c r="G62" s="201"/>
      <c r="H62" s="202"/>
      <c r="I62" s="202"/>
      <c r="J62" s="202"/>
      <c r="K62" s="202"/>
      <c r="L62" s="202"/>
      <c r="M62" s="202"/>
      <c r="N62" s="202"/>
      <c r="O62" s="202"/>
      <c r="P62" s="202"/>
      <c r="Q62" s="202"/>
      <c r="R62" s="203"/>
    </row>
    <row r="63" spans="1:18">
      <c r="A63" s="128"/>
      <c r="B63" s="131"/>
      <c r="C63" s="129"/>
      <c r="D63" s="129"/>
      <c r="E63" s="129"/>
      <c r="F63" s="132"/>
      <c r="G63" s="201"/>
      <c r="H63" s="202"/>
      <c r="I63" s="202"/>
      <c r="J63" s="202"/>
      <c r="K63" s="202"/>
      <c r="L63" s="202"/>
      <c r="M63" s="202"/>
      <c r="N63" s="202"/>
      <c r="O63" s="202"/>
      <c r="P63" s="202"/>
      <c r="Q63" s="202"/>
      <c r="R63" s="203"/>
    </row>
    <row r="64" spans="1:18">
      <c r="A64" s="128"/>
      <c r="B64" s="131"/>
      <c r="C64" s="129"/>
      <c r="D64" s="129"/>
      <c r="E64" s="129"/>
      <c r="F64" s="132"/>
      <c r="G64" s="201"/>
      <c r="H64" s="202"/>
      <c r="I64" s="202"/>
      <c r="J64" s="202"/>
      <c r="K64" s="202"/>
      <c r="L64" s="202"/>
      <c r="M64" s="202"/>
      <c r="N64" s="202"/>
      <c r="O64" s="202"/>
      <c r="P64" s="202"/>
      <c r="Q64" s="202"/>
      <c r="R64" s="203"/>
    </row>
    <row r="65" spans="1:18">
      <c r="A65" s="128"/>
      <c r="B65" s="131"/>
      <c r="C65" s="129"/>
      <c r="D65" s="129"/>
      <c r="E65" s="129"/>
      <c r="F65" s="132"/>
      <c r="G65" s="201"/>
      <c r="H65" s="202"/>
      <c r="I65" s="202"/>
      <c r="J65" s="202"/>
      <c r="K65" s="202"/>
      <c r="L65" s="202"/>
      <c r="M65" s="202"/>
      <c r="N65" s="202"/>
      <c r="O65" s="202"/>
      <c r="P65" s="202"/>
      <c r="Q65" s="202"/>
      <c r="R65" s="203"/>
    </row>
    <row r="66" spans="1:18">
      <c r="A66" s="128"/>
      <c r="B66" s="131"/>
      <c r="C66" s="129"/>
      <c r="D66" s="129"/>
      <c r="E66" s="129"/>
      <c r="F66" s="132"/>
      <c r="G66" s="201"/>
      <c r="H66" s="202"/>
      <c r="I66" s="202"/>
      <c r="J66" s="202"/>
      <c r="K66" s="202"/>
      <c r="L66" s="202"/>
      <c r="M66" s="202"/>
      <c r="N66" s="202"/>
      <c r="O66" s="202"/>
      <c r="P66" s="202"/>
      <c r="Q66" s="202"/>
      <c r="R66" s="203"/>
    </row>
    <row r="67" spans="1:18">
      <c r="A67" s="128"/>
      <c r="B67" s="131"/>
      <c r="C67" s="129"/>
      <c r="D67" s="129"/>
      <c r="E67" s="129"/>
      <c r="F67" s="132"/>
      <c r="G67" s="201"/>
      <c r="H67" s="202"/>
      <c r="I67" s="202"/>
      <c r="J67" s="202"/>
      <c r="K67" s="202"/>
      <c r="L67" s="202"/>
      <c r="M67" s="202"/>
      <c r="N67" s="202"/>
      <c r="O67" s="202"/>
      <c r="P67" s="202"/>
      <c r="Q67" s="202"/>
      <c r="R67" s="203"/>
    </row>
    <row r="68" spans="1:18">
      <c r="A68" s="128"/>
      <c r="B68" s="131"/>
      <c r="C68" s="129"/>
      <c r="D68" s="129"/>
      <c r="E68" s="129"/>
      <c r="F68" s="132"/>
      <c r="G68" s="201"/>
      <c r="H68" s="202"/>
      <c r="I68" s="202"/>
      <c r="J68" s="202"/>
      <c r="K68" s="202"/>
      <c r="L68" s="202"/>
      <c r="M68" s="202"/>
      <c r="N68" s="202"/>
      <c r="O68" s="202"/>
      <c r="P68" s="202"/>
      <c r="Q68" s="202"/>
      <c r="R68" s="203"/>
    </row>
    <row r="69" spans="1:18">
      <c r="A69" s="128"/>
      <c r="B69" s="131"/>
      <c r="C69" s="129"/>
      <c r="D69" s="129"/>
      <c r="E69" s="129"/>
      <c r="F69" s="132"/>
      <c r="G69" s="201"/>
      <c r="H69" s="202"/>
      <c r="I69" s="202"/>
      <c r="J69" s="202"/>
      <c r="K69" s="202"/>
      <c r="L69" s="202"/>
      <c r="M69" s="202"/>
      <c r="N69" s="202"/>
      <c r="O69" s="202"/>
      <c r="P69" s="202"/>
      <c r="Q69" s="202"/>
      <c r="R69" s="203"/>
    </row>
    <row r="70" spans="1:18">
      <c r="A70" s="128"/>
      <c r="B70" s="131"/>
      <c r="C70" s="129"/>
      <c r="D70" s="129"/>
      <c r="E70" s="129"/>
      <c r="F70" s="132"/>
      <c r="G70" s="201"/>
      <c r="H70" s="202"/>
      <c r="I70" s="202"/>
      <c r="J70" s="202"/>
      <c r="K70" s="202"/>
      <c r="L70" s="202"/>
      <c r="M70" s="202"/>
      <c r="N70" s="202"/>
      <c r="O70" s="202"/>
      <c r="P70" s="202"/>
      <c r="Q70" s="202"/>
      <c r="R70" s="203"/>
    </row>
    <row r="71" spans="1:18">
      <c r="A71" s="128"/>
      <c r="B71" s="131"/>
      <c r="C71" s="129"/>
      <c r="D71" s="129"/>
      <c r="E71" s="129"/>
      <c r="F71" s="132"/>
      <c r="G71" s="201"/>
      <c r="H71" s="202"/>
      <c r="I71" s="202"/>
      <c r="J71" s="202"/>
      <c r="K71" s="202"/>
      <c r="L71" s="202"/>
      <c r="M71" s="202"/>
      <c r="N71" s="202"/>
      <c r="O71" s="202"/>
      <c r="P71" s="202"/>
      <c r="Q71" s="202"/>
      <c r="R71" s="203"/>
    </row>
    <row r="72" spans="1:18">
      <c r="A72" s="128"/>
      <c r="B72" s="131"/>
      <c r="C72" s="129"/>
      <c r="D72" s="129"/>
      <c r="E72" s="129"/>
      <c r="F72" s="132"/>
      <c r="G72" s="201"/>
      <c r="H72" s="202"/>
      <c r="I72" s="202"/>
      <c r="J72" s="202"/>
      <c r="K72" s="202"/>
      <c r="L72" s="202"/>
      <c r="M72" s="202"/>
      <c r="N72" s="202"/>
      <c r="O72" s="202"/>
      <c r="P72" s="202"/>
      <c r="Q72" s="202"/>
      <c r="R72" s="203"/>
    </row>
    <row r="73" spans="1:18">
      <c r="A73" s="128"/>
      <c r="B73" s="131"/>
      <c r="C73" s="129"/>
      <c r="D73" s="129"/>
      <c r="E73" s="129"/>
      <c r="F73" s="132"/>
      <c r="G73" s="201"/>
      <c r="H73" s="202"/>
      <c r="I73" s="202"/>
      <c r="J73" s="202"/>
      <c r="K73" s="202"/>
      <c r="L73" s="202"/>
      <c r="M73" s="202"/>
      <c r="N73" s="202"/>
      <c r="O73" s="202"/>
      <c r="P73" s="202"/>
      <c r="Q73" s="202"/>
      <c r="R73" s="203"/>
    </row>
    <row r="74" spans="1:18">
      <c r="A74" s="128"/>
      <c r="B74" s="131"/>
      <c r="C74" s="129"/>
      <c r="D74" s="129"/>
      <c r="E74" s="129"/>
      <c r="F74" s="132"/>
      <c r="G74" s="201"/>
      <c r="H74" s="202"/>
      <c r="I74" s="202"/>
      <c r="J74" s="202"/>
      <c r="K74" s="202"/>
      <c r="L74" s="202"/>
      <c r="M74" s="202"/>
      <c r="N74" s="202"/>
      <c r="O74" s="202"/>
      <c r="P74" s="202"/>
      <c r="Q74" s="202"/>
      <c r="R74" s="203"/>
    </row>
    <row r="75" spans="1:18">
      <c r="A75" s="128"/>
      <c r="B75" s="131"/>
      <c r="C75" s="129"/>
      <c r="D75" s="129"/>
      <c r="E75" s="129"/>
      <c r="F75" s="132"/>
      <c r="G75" s="201"/>
      <c r="H75" s="202"/>
      <c r="I75" s="202"/>
      <c r="J75" s="202"/>
      <c r="K75" s="202"/>
      <c r="L75" s="202"/>
      <c r="M75" s="202"/>
      <c r="N75" s="202"/>
      <c r="O75" s="202"/>
      <c r="P75" s="202"/>
      <c r="Q75" s="202"/>
      <c r="R75" s="203"/>
    </row>
    <row r="76" spans="1:18">
      <c r="A76" s="128"/>
      <c r="B76" s="131"/>
      <c r="C76" s="129"/>
      <c r="D76" s="129"/>
      <c r="E76" s="129"/>
      <c r="F76" s="132"/>
      <c r="G76" s="201"/>
      <c r="H76" s="202"/>
      <c r="I76" s="202"/>
      <c r="J76" s="202"/>
      <c r="K76" s="202"/>
      <c r="L76" s="202"/>
      <c r="M76" s="202"/>
      <c r="N76" s="202"/>
      <c r="O76" s="202"/>
      <c r="P76" s="202"/>
      <c r="Q76" s="202"/>
      <c r="R76" s="203"/>
    </row>
    <row r="77" spans="1:18">
      <c r="A77" s="128"/>
      <c r="B77" s="131"/>
      <c r="C77" s="129"/>
      <c r="D77" s="129"/>
      <c r="E77" s="129"/>
      <c r="F77" s="132"/>
      <c r="G77" s="201"/>
      <c r="H77" s="202"/>
      <c r="I77" s="202"/>
      <c r="J77" s="202"/>
      <c r="K77" s="202"/>
      <c r="L77" s="202"/>
      <c r="M77" s="202"/>
      <c r="N77" s="202"/>
      <c r="O77" s="202"/>
      <c r="P77" s="202"/>
      <c r="Q77" s="202"/>
      <c r="R77" s="203"/>
    </row>
    <row r="78" spans="1:18">
      <c r="A78" s="128"/>
      <c r="B78" s="131"/>
      <c r="C78" s="129"/>
      <c r="D78" s="129"/>
      <c r="E78" s="129"/>
      <c r="F78" s="132"/>
      <c r="G78" s="201"/>
      <c r="H78" s="202"/>
      <c r="I78" s="202"/>
      <c r="J78" s="202"/>
      <c r="K78" s="202"/>
      <c r="L78" s="202"/>
      <c r="M78" s="202"/>
      <c r="N78" s="202"/>
      <c r="O78" s="202"/>
      <c r="P78" s="202"/>
      <c r="Q78" s="202"/>
      <c r="R78" s="203"/>
    </row>
    <row r="79" spans="1:18">
      <c r="A79" s="128"/>
      <c r="B79" s="131"/>
      <c r="C79" s="129"/>
      <c r="D79" s="129"/>
      <c r="E79" s="129"/>
      <c r="F79" s="132"/>
      <c r="G79" s="201"/>
      <c r="H79" s="202"/>
      <c r="I79" s="202"/>
      <c r="J79" s="202"/>
      <c r="K79" s="202"/>
      <c r="L79" s="202"/>
      <c r="M79" s="202"/>
      <c r="N79" s="202"/>
      <c r="O79" s="202"/>
      <c r="P79" s="202"/>
      <c r="Q79" s="202"/>
      <c r="R79" s="203"/>
    </row>
    <row r="80" spans="1:18">
      <c r="A80" s="128"/>
      <c r="B80" s="131"/>
      <c r="C80" s="129"/>
      <c r="D80" s="129"/>
      <c r="E80" s="129"/>
      <c r="F80" s="132"/>
      <c r="G80" s="201"/>
      <c r="H80" s="202"/>
      <c r="I80" s="202"/>
      <c r="J80" s="202"/>
      <c r="K80" s="202"/>
      <c r="L80" s="202"/>
      <c r="M80" s="202"/>
      <c r="N80" s="202"/>
      <c r="O80" s="202"/>
      <c r="P80" s="202"/>
      <c r="Q80" s="202"/>
      <c r="R80" s="203"/>
    </row>
    <row r="81" spans="1:18">
      <c r="A81" s="128"/>
      <c r="B81" s="131"/>
      <c r="C81" s="129"/>
      <c r="D81" s="129"/>
      <c r="E81" s="129"/>
      <c r="F81" s="132"/>
      <c r="G81" s="201"/>
      <c r="H81" s="202"/>
      <c r="I81" s="202"/>
      <c r="J81" s="202"/>
      <c r="K81" s="202"/>
      <c r="L81" s="202"/>
      <c r="M81" s="202"/>
      <c r="N81" s="202"/>
      <c r="O81" s="202"/>
      <c r="P81" s="202"/>
      <c r="Q81" s="202"/>
      <c r="R81" s="203"/>
    </row>
    <row r="82" spans="1:18">
      <c r="A82" s="128"/>
      <c r="B82" s="131"/>
      <c r="C82" s="129"/>
      <c r="D82" s="129"/>
      <c r="E82" s="129"/>
      <c r="F82" s="132"/>
      <c r="G82" s="201"/>
      <c r="H82" s="202"/>
      <c r="I82" s="202"/>
      <c r="J82" s="202"/>
      <c r="K82" s="202"/>
      <c r="L82" s="202"/>
      <c r="M82" s="202"/>
      <c r="N82" s="202"/>
      <c r="O82" s="202"/>
      <c r="P82" s="202"/>
      <c r="Q82" s="202"/>
      <c r="R82" s="203"/>
    </row>
    <row r="83" spans="1:18">
      <c r="A83" s="128"/>
      <c r="B83" s="131"/>
      <c r="C83" s="129"/>
      <c r="D83" s="129"/>
      <c r="E83" s="129"/>
      <c r="F83" s="132"/>
      <c r="G83" s="201"/>
      <c r="H83" s="202"/>
      <c r="I83" s="202"/>
      <c r="J83" s="202"/>
      <c r="K83" s="202"/>
      <c r="L83" s="202"/>
      <c r="M83" s="202"/>
      <c r="N83" s="202"/>
      <c r="O83" s="202"/>
      <c r="P83" s="202"/>
      <c r="Q83" s="202"/>
      <c r="R83" s="203"/>
    </row>
    <row r="84" spans="1:18">
      <c r="A84" s="128"/>
      <c r="B84" s="131"/>
      <c r="C84" s="129"/>
      <c r="D84" s="129"/>
      <c r="E84" s="129"/>
      <c r="F84" s="132"/>
      <c r="G84" s="201"/>
      <c r="H84" s="202"/>
      <c r="I84" s="202"/>
      <c r="J84" s="202"/>
      <c r="K84" s="202"/>
      <c r="L84" s="202"/>
      <c r="M84" s="202"/>
      <c r="N84" s="202"/>
      <c r="O84" s="202"/>
      <c r="P84" s="202"/>
      <c r="Q84" s="202"/>
      <c r="R84" s="203"/>
    </row>
    <row r="85" spans="1:18">
      <c r="A85" s="128"/>
      <c r="B85" s="131"/>
      <c r="C85" s="129"/>
      <c r="D85" s="129"/>
      <c r="E85" s="129"/>
      <c r="F85" s="132"/>
      <c r="G85" s="201"/>
      <c r="H85" s="202"/>
      <c r="I85" s="202"/>
      <c r="J85" s="202"/>
      <c r="K85" s="202"/>
      <c r="L85" s="202"/>
      <c r="M85" s="202"/>
      <c r="N85" s="202"/>
      <c r="O85" s="202"/>
      <c r="P85" s="202"/>
      <c r="Q85" s="202"/>
      <c r="R85" s="203"/>
    </row>
    <row r="86" spans="1:18">
      <c r="A86" s="128"/>
      <c r="B86" s="131"/>
      <c r="C86" s="129"/>
      <c r="D86" s="129"/>
      <c r="E86" s="129"/>
      <c r="F86" s="132"/>
      <c r="G86" s="201"/>
      <c r="H86" s="202"/>
      <c r="I86" s="202"/>
      <c r="J86" s="202"/>
      <c r="K86" s="202"/>
      <c r="L86" s="202"/>
      <c r="M86" s="202"/>
      <c r="N86" s="202"/>
      <c r="O86" s="202"/>
      <c r="P86" s="202"/>
      <c r="Q86" s="202"/>
      <c r="R86" s="203"/>
    </row>
    <row r="87" spans="1:18">
      <c r="A87" s="128"/>
      <c r="B87" s="131"/>
      <c r="C87" s="129"/>
      <c r="D87" s="129"/>
      <c r="E87" s="129"/>
      <c r="F87" s="132"/>
      <c r="G87" s="201"/>
      <c r="H87" s="202"/>
      <c r="I87" s="202"/>
      <c r="J87" s="202"/>
      <c r="K87" s="202"/>
      <c r="L87" s="202"/>
      <c r="M87" s="202"/>
      <c r="N87" s="202"/>
      <c r="O87" s="202"/>
      <c r="P87" s="202"/>
      <c r="Q87" s="202"/>
      <c r="R87" s="203"/>
    </row>
    <row r="88" spans="1:18">
      <c r="A88" s="128"/>
      <c r="B88" s="131"/>
      <c r="C88" s="129"/>
      <c r="D88" s="129"/>
      <c r="E88" s="129"/>
      <c r="F88" s="132"/>
      <c r="G88" s="201"/>
      <c r="H88" s="202"/>
      <c r="I88" s="202"/>
      <c r="J88" s="202"/>
      <c r="K88" s="202"/>
      <c r="L88" s="202"/>
      <c r="M88" s="202"/>
      <c r="N88" s="202"/>
      <c r="O88" s="202"/>
      <c r="P88" s="202"/>
      <c r="Q88" s="202"/>
      <c r="R88" s="203"/>
    </row>
    <row r="89" spans="1:18">
      <c r="A89" s="128"/>
      <c r="B89" s="131"/>
      <c r="C89" s="129"/>
      <c r="D89" s="129"/>
      <c r="E89" s="129"/>
      <c r="F89" s="132"/>
      <c r="G89" s="201"/>
      <c r="H89" s="202"/>
      <c r="I89" s="202"/>
      <c r="J89" s="202"/>
      <c r="K89" s="202"/>
      <c r="L89" s="202"/>
      <c r="M89" s="202"/>
      <c r="N89" s="202"/>
      <c r="O89" s="202"/>
      <c r="P89" s="202"/>
      <c r="Q89" s="202"/>
      <c r="R89" s="203"/>
    </row>
    <row r="90" spans="1:18">
      <c r="A90" s="128"/>
      <c r="B90" s="131"/>
      <c r="C90" s="129"/>
      <c r="D90" s="129"/>
      <c r="E90" s="129"/>
      <c r="F90" s="132"/>
      <c r="G90" s="201"/>
      <c r="H90" s="202"/>
      <c r="I90" s="202"/>
      <c r="J90" s="202"/>
      <c r="K90" s="202"/>
      <c r="L90" s="202"/>
      <c r="M90" s="202"/>
      <c r="N90" s="202"/>
      <c r="O90" s="202"/>
      <c r="P90" s="202"/>
      <c r="Q90" s="202"/>
      <c r="R90" s="203"/>
    </row>
    <row r="91" spans="1:18">
      <c r="A91" s="128"/>
      <c r="B91" s="131"/>
      <c r="C91" s="129"/>
      <c r="D91" s="129"/>
      <c r="E91" s="129"/>
      <c r="F91" s="132"/>
      <c r="G91" s="201"/>
      <c r="H91" s="202"/>
      <c r="I91" s="202"/>
      <c r="J91" s="202"/>
      <c r="K91" s="202"/>
      <c r="L91" s="202"/>
      <c r="M91" s="202"/>
      <c r="N91" s="202"/>
      <c r="O91" s="202"/>
      <c r="P91" s="202"/>
      <c r="Q91" s="202"/>
      <c r="R91" s="203"/>
    </row>
    <row r="92" spans="1:18">
      <c r="A92" s="128"/>
      <c r="B92" s="131"/>
      <c r="C92" s="129"/>
      <c r="D92" s="129"/>
      <c r="E92" s="129"/>
      <c r="F92" s="132"/>
      <c r="G92" s="201"/>
      <c r="H92" s="202"/>
      <c r="I92" s="202"/>
      <c r="J92" s="202"/>
      <c r="K92" s="202"/>
      <c r="L92" s="202"/>
      <c r="M92" s="202"/>
      <c r="N92" s="202"/>
      <c r="O92" s="202"/>
      <c r="P92" s="202"/>
      <c r="Q92" s="202"/>
      <c r="R92" s="203"/>
    </row>
    <row r="93" spans="1:18">
      <c r="A93" s="128"/>
      <c r="B93" s="131"/>
      <c r="C93" s="129"/>
      <c r="D93" s="129"/>
      <c r="E93" s="129"/>
      <c r="F93" s="132"/>
      <c r="G93" s="201"/>
      <c r="H93" s="202"/>
      <c r="I93" s="202"/>
      <c r="J93" s="202"/>
      <c r="K93" s="202"/>
      <c r="L93" s="202"/>
      <c r="M93" s="202"/>
      <c r="N93" s="202"/>
      <c r="O93" s="202"/>
      <c r="P93" s="202"/>
      <c r="Q93" s="202"/>
      <c r="R93" s="203"/>
    </row>
    <row r="94" spans="1:18">
      <c r="A94" s="128"/>
      <c r="B94" s="131"/>
      <c r="C94" s="129"/>
      <c r="D94" s="129"/>
      <c r="E94" s="129"/>
      <c r="F94" s="132"/>
      <c r="G94" s="201"/>
      <c r="H94" s="202"/>
      <c r="I94" s="202"/>
      <c r="J94" s="202"/>
      <c r="K94" s="202"/>
      <c r="L94" s="202"/>
      <c r="M94" s="202"/>
      <c r="N94" s="202"/>
      <c r="O94" s="202"/>
      <c r="P94" s="202"/>
      <c r="Q94" s="202"/>
      <c r="R94" s="203"/>
    </row>
    <row r="95" spans="1:18">
      <c r="A95" s="128"/>
      <c r="B95" s="131"/>
      <c r="C95" s="129"/>
      <c r="D95" s="129"/>
      <c r="E95" s="129"/>
      <c r="F95" s="132"/>
      <c r="G95" s="201"/>
      <c r="H95" s="202"/>
      <c r="I95" s="202"/>
      <c r="J95" s="202"/>
      <c r="K95" s="202"/>
      <c r="L95" s="202"/>
      <c r="M95" s="202"/>
      <c r="N95" s="202"/>
      <c r="O95" s="202"/>
      <c r="P95" s="202"/>
      <c r="Q95" s="202"/>
      <c r="R95" s="203"/>
    </row>
    <row r="96" spans="1:18">
      <c r="A96" s="128"/>
      <c r="B96" s="131"/>
      <c r="C96" s="129"/>
      <c r="D96" s="129"/>
      <c r="E96" s="129"/>
      <c r="F96" s="132"/>
      <c r="G96" s="201"/>
      <c r="H96" s="202"/>
      <c r="I96" s="202"/>
      <c r="J96" s="202"/>
      <c r="K96" s="202"/>
      <c r="L96" s="202"/>
      <c r="M96" s="202"/>
      <c r="N96" s="202"/>
      <c r="O96" s="202"/>
      <c r="P96" s="202"/>
      <c r="Q96" s="202"/>
      <c r="R96" s="203"/>
    </row>
    <row r="97" spans="1:18">
      <c r="A97" s="128"/>
      <c r="B97" s="131"/>
      <c r="C97" s="129"/>
      <c r="D97" s="129"/>
      <c r="E97" s="129"/>
      <c r="F97" s="132"/>
      <c r="G97" s="201"/>
      <c r="H97" s="202"/>
      <c r="I97" s="202"/>
      <c r="J97" s="202"/>
      <c r="K97" s="202"/>
      <c r="L97" s="202"/>
      <c r="M97" s="202"/>
      <c r="N97" s="202"/>
      <c r="O97" s="202"/>
      <c r="P97" s="202"/>
      <c r="Q97" s="202"/>
      <c r="R97" s="203"/>
    </row>
    <row r="98" spans="1:18">
      <c r="A98" s="128"/>
      <c r="B98" s="131"/>
      <c r="C98" s="129"/>
      <c r="D98" s="129"/>
      <c r="E98" s="129"/>
      <c r="F98" s="132"/>
      <c r="G98" s="201"/>
      <c r="H98" s="202"/>
      <c r="I98" s="202"/>
      <c r="J98" s="202"/>
      <c r="K98" s="202"/>
      <c r="L98" s="202"/>
      <c r="M98" s="202"/>
      <c r="N98" s="202"/>
      <c r="O98" s="202"/>
      <c r="P98" s="202"/>
      <c r="Q98" s="202"/>
      <c r="R98" s="203"/>
    </row>
    <row r="99" spans="1:18">
      <c r="A99" s="128"/>
      <c r="B99" s="131"/>
      <c r="C99" s="129"/>
      <c r="D99" s="129"/>
      <c r="E99" s="129"/>
      <c r="F99" s="132"/>
      <c r="G99" s="201"/>
      <c r="H99" s="202"/>
      <c r="I99" s="202"/>
      <c r="J99" s="202"/>
      <c r="K99" s="202"/>
      <c r="L99" s="202"/>
      <c r="M99" s="202"/>
      <c r="N99" s="202"/>
      <c r="O99" s="202"/>
      <c r="P99" s="202"/>
      <c r="Q99" s="202"/>
      <c r="R99" s="203"/>
    </row>
    <row r="100" spans="1:18">
      <c r="A100" s="128"/>
      <c r="B100" s="131"/>
      <c r="C100" s="129"/>
      <c r="D100" s="129"/>
      <c r="E100" s="129"/>
      <c r="F100" s="132"/>
      <c r="G100" s="201"/>
      <c r="H100" s="202"/>
      <c r="I100" s="202"/>
      <c r="J100" s="202"/>
      <c r="K100" s="202"/>
      <c r="L100" s="202"/>
      <c r="M100" s="202"/>
      <c r="N100" s="202"/>
      <c r="O100" s="202"/>
      <c r="P100" s="202"/>
      <c r="Q100" s="202"/>
      <c r="R100" s="203"/>
    </row>
    <row r="101" spans="1:18">
      <c r="A101" s="128"/>
      <c r="B101" s="131"/>
      <c r="C101" s="129"/>
      <c r="D101" s="129"/>
      <c r="E101" s="129"/>
      <c r="F101" s="132"/>
      <c r="G101" s="201"/>
      <c r="H101" s="202"/>
      <c r="I101" s="202"/>
      <c r="J101" s="202"/>
      <c r="K101" s="202"/>
      <c r="L101" s="202"/>
      <c r="M101" s="202"/>
      <c r="N101" s="202"/>
      <c r="O101" s="202"/>
      <c r="P101" s="202"/>
      <c r="Q101" s="202"/>
      <c r="R101" s="203"/>
    </row>
    <row r="102" spans="1:18">
      <c r="A102" s="128"/>
      <c r="B102" s="131"/>
      <c r="C102" s="129"/>
      <c r="D102" s="129"/>
      <c r="E102" s="129"/>
      <c r="F102" s="132"/>
      <c r="G102" s="201"/>
      <c r="H102" s="202"/>
      <c r="I102" s="202"/>
      <c r="J102" s="202"/>
      <c r="K102" s="202"/>
      <c r="L102" s="202"/>
      <c r="M102" s="202"/>
      <c r="N102" s="202"/>
      <c r="O102" s="202"/>
      <c r="P102" s="202"/>
      <c r="Q102" s="202"/>
      <c r="R102" s="203"/>
    </row>
    <row r="103" spans="1:18">
      <c r="A103" s="128"/>
      <c r="B103" s="131"/>
      <c r="C103" s="129"/>
      <c r="D103" s="129"/>
      <c r="E103" s="129"/>
      <c r="F103" s="132"/>
      <c r="G103" s="201"/>
      <c r="H103" s="202"/>
      <c r="I103" s="202"/>
      <c r="J103" s="202"/>
      <c r="K103" s="202"/>
      <c r="L103" s="202"/>
      <c r="M103" s="202"/>
      <c r="N103" s="202"/>
      <c r="O103" s="202"/>
      <c r="P103" s="202"/>
      <c r="Q103" s="202"/>
      <c r="R103" s="203"/>
    </row>
    <row r="104" spans="1:18">
      <c r="A104" s="128"/>
      <c r="B104" s="131"/>
      <c r="C104" s="129"/>
      <c r="D104" s="129"/>
      <c r="E104" s="129"/>
      <c r="F104" s="132"/>
      <c r="G104" s="201"/>
      <c r="H104" s="202"/>
      <c r="I104" s="202"/>
      <c r="J104" s="202"/>
      <c r="K104" s="202"/>
      <c r="L104" s="202"/>
      <c r="M104" s="202"/>
      <c r="N104" s="202"/>
      <c r="O104" s="202"/>
      <c r="P104" s="202"/>
      <c r="Q104" s="202"/>
      <c r="R104" s="203"/>
    </row>
    <row r="105" spans="1:18">
      <c r="A105" s="128"/>
      <c r="B105" s="131"/>
      <c r="C105" s="129"/>
      <c r="D105" s="129"/>
      <c r="E105" s="129"/>
      <c r="F105" s="132"/>
      <c r="G105" s="201"/>
      <c r="H105" s="202"/>
      <c r="I105" s="202"/>
      <c r="J105" s="202"/>
      <c r="K105" s="202"/>
      <c r="L105" s="202"/>
      <c r="M105" s="202"/>
      <c r="N105" s="202"/>
      <c r="O105" s="202"/>
      <c r="P105" s="202"/>
      <c r="Q105" s="202"/>
      <c r="R105" s="203"/>
    </row>
    <row r="106" spans="1:18">
      <c r="A106" s="128"/>
      <c r="B106" s="131"/>
      <c r="C106" s="129"/>
      <c r="D106" s="129"/>
      <c r="E106" s="129"/>
      <c r="F106" s="132"/>
      <c r="G106" s="201"/>
      <c r="H106" s="202"/>
      <c r="I106" s="202"/>
      <c r="J106" s="202"/>
      <c r="K106" s="202"/>
      <c r="L106" s="202"/>
      <c r="M106" s="202"/>
      <c r="N106" s="202"/>
      <c r="O106" s="202"/>
      <c r="P106" s="202"/>
      <c r="Q106" s="202"/>
      <c r="R106" s="203"/>
    </row>
    <row r="107" spans="1:18">
      <c r="A107" s="128"/>
      <c r="B107" s="131"/>
      <c r="C107" s="129"/>
      <c r="D107" s="129"/>
      <c r="E107" s="129"/>
      <c r="F107" s="132"/>
      <c r="G107" s="201"/>
      <c r="H107" s="202"/>
      <c r="I107" s="202"/>
      <c r="J107" s="202"/>
      <c r="K107" s="202"/>
      <c r="L107" s="202"/>
      <c r="M107" s="202"/>
      <c r="N107" s="202"/>
      <c r="O107" s="202"/>
      <c r="P107" s="202"/>
      <c r="Q107" s="202"/>
      <c r="R107" s="203"/>
    </row>
    <row r="108" spans="1:18">
      <c r="A108" s="128"/>
      <c r="B108" s="131"/>
      <c r="C108" s="129"/>
      <c r="D108" s="129"/>
      <c r="E108" s="129"/>
      <c r="F108" s="132"/>
      <c r="G108" s="201"/>
      <c r="H108" s="202"/>
      <c r="I108" s="202"/>
      <c r="J108" s="202"/>
      <c r="K108" s="202"/>
      <c r="L108" s="202"/>
      <c r="M108" s="202"/>
      <c r="N108" s="202"/>
      <c r="O108" s="202"/>
      <c r="P108" s="202"/>
      <c r="Q108" s="202"/>
      <c r="R108" s="203"/>
    </row>
    <row r="109" spans="1:18">
      <c r="A109" s="128"/>
      <c r="B109" s="131"/>
      <c r="C109" s="129"/>
      <c r="D109" s="129"/>
      <c r="E109" s="129"/>
      <c r="F109" s="132"/>
      <c r="G109" s="201"/>
      <c r="H109" s="202"/>
      <c r="I109" s="202"/>
      <c r="J109" s="202"/>
      <c r="K109" s="202"/>
      <c r="L109" s="202"/>
      <c r="M109" s="202"/>
      <c r="N109" s="202"/>
      <c r="O109" s="202"/>
      <c r="P109" s="202"/>
      <c r="Q109" s="202"/>
      <c r="R109" s="203"/>
    </row>
    <row r="110" spans="1:18">
      <c r="A110" s="128"/>
      <c r="B110" s="131"/>
      <c r="C110" s="129"/>
      <c r="D110" s="129"/>
      <c r="E110" s="129"/>
      <c r="F110" s="132"/>
      <c r="G110" s="201"/>
      <c r="H110" s="202"/>
      <c r="I110" s="202"/>
      <c r="J110" s="202"/>
      <c r="K110" s="202"/>
      <c r="L110" s="202"/>
      <c r="M110" s="202"/>
      <c r="N110" s="202"/>
      <c r="O110" s="202"/>
      <c r="P110" s="202"/>
      <c r="Q110" s="202"/>
      <c r="R110" s="203"/>
    </row>
    <row r="111" spans="1:18">
      <c r="A111" s="128"/>
      <c r="B111" s="131"/>
      <c r="C111" s="129"/>
      <c r="D111" s="129"/>
      <c r="E111" s="129"/>
      <c r="F111" s="132"/>
      <c r="G111" s="201"/>
      <c r="H111" s="202"/>
      <c r="I111" s="202"/>
      <c r="J111" s="202"/>
      <c r="K111" s="202"/>
      <c r="L111" s="202"/>
      <c r="M111" s="202"/>
      <c r="N111" s="202"/>
      <c r="O111" s="202"/>
      <c r="P111" s="202"/>
      <c r="Q111" s="202"/>
      <c r="R111" s="203"/>
    </row>
    <row r="112" spans="1:18">
      <c r="A112" s="128"/>
      <c r="B112" s="131"/>
      <c r="C112" s="129"/>
      <c r="D112" s="129"/>
      <c r="E112" s="129"/>
      <c r="F112" s="132"/>
      <c r="G112" s="201"/>
      <c r="H112" s="202"/>
      <c r="I112" s="202"/>
      <c r="J112" s="202"/>
      <c r="K112" s="202"/>
      <c r="L112" s="202"/>
      <c r="M112" s="202"/>
      <c r="N112" s="202"/>
      <c r="O112" s="202"/>
      <c r="P112" s="202"/>
      <c r="Q112" s="202"/>
      <c r="R112" s="203"/>
    </row>
    <row r="113" spans="1:18">
      <c r="A113" s="128"/>
      <c r="B113" s="131"/>
      <c r="C113" s="129"/>
      <c r="D113" s="129"/>
      <c r="E113" s="129"/>
      <c r="F113" s="132"/>
      <c r="G113" s="201"/>
      <c r="H113" s="202"/>
      <c r="I113" s="202"/>
      <c r="J113" s="202"/>
      <c r="K113" s="202"/>
      <c r="L113" s="202"/>
      <c r="M113" s="202"/>
      <c r="N113" s="202"/>
      <c r="O113" s="202"/>
      <c r="P113" s="202"/>
      <c r="Q113" s="202"/>
      <c r="R113" s="203"/>
    </row>
    <row r="114" spans="1:18">
      <c r="A114" s="128"/>
      <c r="B114" s="131"/>
      <c r="C114" s="129"/>
      <c r="D114" s="129"/>
      <c r="E114" s="129"/>
      <c r="F114" s="132"/>
      <c r="G114" s="201"/>
      <c r="H114" s="202"/>
      <c r="I114" s="202"/>
      <c r="J114" s="202"/>
      <c r="K114" s="202"/>
      <c r="L114" s="202"/>
      <c r="M114" s="202"/>
      <c r="N114" s="202"/>
      <c r="O114" s="202"/>
      <c r="P114" s="202"/>
      <c r="Q114" s="202"/>
      <c r="R114" s="203"/>
    </row>
    <row r="115" spans="1:18">
      <c r="A115" s="128"/>
      <c r="B115" s="131"/>
      <c r="C115" s="129"/>
      <c r="D115" s="129"/>
      <c r="E115" s="129"/>
      <c r="F115" s="132"/>
      <c r="G115" s="201"/>
      <c r="H115" s="202"/>
      <c r="I115" s="202"/>
      <c r="J115" s="202"/>
      <c r="K115" s="202"/>
      <c r="L115" s="202"/>
      <c r="M115" s="202"/>
      <c r="N115" s="202"/>
      <c r="O115" s="202"/>
      <c r="P115" s="202"/>
      <c r="Q115" s="202"/>
      <c r="R115" s="203"/>
    </row>
    <row r="116" spans="1:18">
      <c r="A116" s="128"/>
      <c r="B116" s="131"/>
      <c r="C116" s="129"/>
      <c r="D116" s="129"/>
      <c r="E116" s="129"/>
      <c r="F116" s="132"/>
      <c r="G116" s="201"/>
      <c r="H116" s="202"/>
      <c r="I116" s="202"/>
      <c r="J116" s="202"/>
      <c r="K116" s="202"/>
      <c r="L116" s="202"/>
      <c r="M116" s="202"/>
      <c r="N116" s="202"/>
      <c r="O116" s="202"/>
      <c r="P116" s="202"/>
      <c r="Q116" s="202"/>
      <c r="R116" s="203"/>
    </row>
    <row r="117" spans="1:18">
      <c r="A117" s="128"/>
      <c r="B117" s="131"/>
      <c r="C117" s="129"/>
      <c r="D117" s="129"/>
      <c r="E117" s="129"/>
      <c r="F117" s="132"/>
      <c r="G117" s="201"/>
      <c r="H117" s="202"/>
      <c r="I117" s="202"/>
      <c r="J117" s="202"/>
      <c r="K117" s="202"/>
      <c r="L117" s="202"/>
      <c r="M117" s="202"/>
      <c r="N117" s="202"/>
      <c r="O117" s="202"/>
      <c r="P117" s="202"/>
      <c r="Q117" s="202"/>
      <c r="R117" s="203"/>
    </row>
    <row r="118" spans="1:18">
      <c r="A118" s="128"/>
      <c r="B118" s="131"/>
      <c r="C118" s="129"/>
      <c r="D118" s="129"/>
      <c r="E118" s="129"/>
      <c r="F118" s="132"/>
      <c r="G118" s="201"/>
      <c r="H118" s="202"/>
      <c r="I118" s="202"/>
      <c r="J118" s="202"/>
      <c r="K118" s="202"/>
      <c r="L118" s="202"/>
      <c r="M118" s="202"/>
      <c r="N118" s="202"/>
      <c r="O118" s="202"/>
      <c r="P118" s="202"/>
      <c r="Q118" s="202"/>
      <c r="R118" s="203"/>
    </row>
    <row r="119" spans="1:18">
      <c r="A119" s="128"/>
      <c r="B119" s="131"/>
      <c r="C119" s="129"/>
      <c r="D119" s="129"/>
      <c r="E119" s="129"/>
      <c r="F119" s="132"/>
      <c r="G119" s="201"/>
      <c r="H119" s="202"/>
      <c r="I119" s="202"/>
      <c r="J119" s="202"/>
      <c r="K119" s="202"/>
      <c r="L119" s="202"/>
      <c r="M119" s="202"/>
      <c r="N119" s="202"/>
      <c r="O119" s="202"/>
      <c r="P119" s="202"/>
      <c r="Q119" s="202"/>
      <c r="R119" s="203"/>
    </row>
    <row r="120" spans="1:18">
      <c r="A120" s="128"/>
      <c r="B120" s="131"/>
      <c r="C120" s="129"/>
      <c r="D120" s="129"/>
      <c r="E120" s="129"/>
      <c r="F120" s="132"/>
      <c r="G120" s="201"/>
      <c r="H120" s="202"/>
      <c r="I120" s="202"/>
      <c r="J120" s="202"/>
      <c r="K120" s="202"/>
      <c r="L120" s="202"/>
      <c r="M120" s="202"/>
      <c r="N120" s="202"/>
      <c r="O120" s="202"/>
      <c r="P120" s="202"/>
      <c r="Q120" s="202"/>
      <c r="R120" s="203"/>
    </row>
    <row r="121" spans="1:18">
      <c r="A121" s="128"/>
      <c r="B121" s="131"/>
      <c r="C121" s="129"/>
      <c r="D121" s="129"/>
      <c r="E121" s="129"/>
      <c r="F121" s="132"/>
      <c r="G121" s="201"/>
      <c r="H121" s="202"/>
      <c r="I121" s="202"/>
      <c r="J121" s="202"/>
      <c r="K121" s="202"/>
      <c r="L121" s="202"/>
      <c r="M121" s="202"/>
      <c r="N121" s="202"/>
      <c r="O121" s="202"/>
      <c r="P121" s="202"/>
      <c r="Q121" s="202"/>
      <c r="R121" s="203"/>
    </row>
    <row r="122" spans="1:18">
      <c r="A122" s="128"/>
      <c r="B122" s="131"/>
      <c r="C122" s="129"/>
      <c r="D122" s="129"/>
      <c r="E122" s="129"/>
      <c r="F122" s="132"/>
      <c r="G122" s="201"/>
      <c r="H122" s="202"/>
      <c r="I122" s="202"/>
      <c r="J122" s="202"/>
      <c r="K122" s="202"/>
      <c r="L122" s="202"/>
      <c r="M122" s="202"/>
      <c r="N122" s="202"/>
      <c r="O122" s="202"/>
      <c r="P122" s="202"/>
      <c r="Q122" s="202"/>
      <c r="R122" s="203"/>
    </row>
    <row r="123" spans="1:18">
      <c r="A123" s="128"/>
      <c r="B123" s="131"/>
      <c r="C123" s="129"/>
      <c r="D123" s="129"/>
      <c r="E123" s="129"/>
      <c r="F123" s="132"/>
      <c r="G123" s="201"/>
      <c r="H123" s="202"/>
      <c r="I123" s="202"/>
      <c r="J123" s="202"/>
      <c r="K123" s="202"/>
      <c r="L123" s="202"/>
      <c r="M123" s="202"/>
      <c r="N123" s="202"/>
      <c r="O123" s="202"/>
      <c r="P123" s="202"/>
      <c r="Q123" s="202"/>
      <c r="R123" s="203"/>
    </row>
    <row r="124" spans="1:18">
      <c r="A124" s="128"/>
      <c r="B124" s="131"/>
      <c r="C124" s="129"/>
      <c r="D124" s="129"/>
      <c r="E124" s="129"/>
      <c r="F124" s="132"/>
      <c r="G124" s="201"/>
      <c r="H124" s="202"/>
      <c r="I124" s="202"/>
      <c r="J124" s="202"/>
      <c r="K124" s="202"/>
      <c r="L124" s="202"/>
      <c r="M124" s="202"/>
      <c r="N124" s="202"/>
      <c r="O124" s="202"/>
      <c r="P124" s="202"/>
      <c r="Q124" s="202"/>
      <c r="R124" s="203"/>
    </row>
    <row r="125" spans="1:18">
      <c r="A125" s="128"/>
      <c r="B125" s="131"/>
      <c r="C125" s="129"/>
      <c r="D125" s="129"/>
      <c r="E125" s="129"/>
      <c r="F125" s="132"/>
      <c r="G125" s="201"/>
      <c r="H125" s="202"/>
      <c r="I125" s="202"/>
      <c r="J125" s="202"/>
      <c r="K125" s="202"/>
      <c r="L125" s="202"/>
      <c r="M125" s="202"/>
      <c r="N125" s="202"/>
      <c r="O125" s="202"/>
      <c r="P125" s="202"/>
      <c r="Q125" s="202"/>
      <c r="R125" s="203"/>
    </row>
    <row r="126" spans="1:18">
      <c r="A126" s="128"/>
      <c r="B126" s="131"/>
      <c r="C126" s="129"/>
      <c r="D126" s="129"/>
      <c r="E126" s="129"/>
      <c r="F126" s="132"/>
      <c r="G126" s="201"/>
      <c r="H126" s="202"/>
      <c r="I126" s="202"/>
      <c r="J126" s="202"/>
      <c r="K126" s="202"/>
      <c r="L126" s="202"/>
      <c r="M126" s="202"/>
      <c r="N126" s="202"/>
      <c r="O126" s="202"/>
      <c r="P126" s="202"/>
      <c r="Q126" s="202"/>
      <c r="R126" s="203"/>
    </row>
    <row r="127" spans="1:18">
      <c r="A127" s="128"/>
      <c r="B127" s="131"/>
      <c r="C127" s="129"/>
      <c r="D127" s="129"/>
      <c r="E127" s="129"/>
      <c r="F127" s="132"/>
      <c r="G127" s="201"/>
      <c r="H127" s="202"/>
      <c r="I127" s="202"/>
      <c r="J127" s="202"/>
      <c r="K127" s="202"/>
      <c r="L127" s="202"/>
      <c r="M127" s="202"/>
      <c r="N127" s="202"/>
      <c r="O127" s="202"/>
      <c r="P127" s="202"/>
      <c r="Q127" s="202"/>
      <c r="R127" s="203"/>
    </row>
    <row r="128" spans="1:18">
      <c r="A128" s="128"/>
      <c r="B128" s="131"/>
      <c r="C128" s="129"/>
      <c r="D128" s="129"/>
      <c r="E128" s="129"/>
      <c r="F128" s="132"/>
      <c r="G128" s="201"/>
      <c r="H128" s="202"/>
      <c r="I128" s="202"/>
      <c r="J128" s="202"/>
      <c r="K128" s="202"/>
      <c r="L128" s="202"/>
      <c r="M128" s="202"/>
      <c r="N128" s="202"/>
      <c r="O128" s="202"/>
      <c r="P128" s="202"/>
      <c r="Q128" s="202"/>
      <c r="R128" s="203"/>
    </row>
    <row r="129" spans="1:18">
      <c r="A129" s="128"/>
      <c r="B129" s="131"/>
      <c r="C129" s="129"/>
      <c r="D129" s="129"/>
      <c r="E129" s="129"/>
      <c r="F129" s="132"/>
      <c r="G129" s="201"/>
      <c r="H129" s="202"/>
      <c r="I129" s="202"/>
      <c r="J129" s="202"/>
      <c r="K129" s="202"/>
      <c r="L129" s="202"/>
      <c r="M129" s="202"/>
      <c r="N129" s="202"/>
      <c r="O129" s="202"/>
      <c r="P129" s="202"/>
      <c r="Q129" s="202"/>
      <c r="R129" s="203"/>
    </row>
    <row r="130" spans="1:18">
      <c r="A130" s="128"/>
      <c r="B130" s="131"/>
      <c r="C130" s="129"/>
      <c r="D130" s="129"/>
      <c r="E130" s="129"/>
      <c r="F130" s="132"/>
      <c r="G130" s="201"/>
      <c r="H130" s="202"/>
      <c r="I130" s="202"/>
      <c r="J130" s="202"/>
      <c r="K130" s="202"/>
      <c r="L130" s="202"/>
      <c r="M130" s="202"/>
      <c r="N130" s="202"/>
      <c r="O130" s="202"/>
      <c r="P130" s="202"/>
      <c r="Q130" s="202"/>
      <c r="R130" s="203"/>
    </row>
    <row r="131" spans="1:18">
      <c r="A131" s="128"/>
      <c r="B131" s="131"/>
      <c r="C131" s="129"/>
      <c r="D131" s="129"/>
      <c r="E131" s="129"/>
      <c r="F131" s="132"/>
      <c r="G131" s="201"/>
      <c r="H131" s="202"/>
      <c r="I131" s="202"/>
      <c r="J131" s="202"/>
      <c r="K131" s="202"/>
      <c r="L131" s="202"/>
      <c r="M131" s="202"/>
      <c r="N131" s="202"/>
      <c r="O131" s="202"/>
      <c r="P131" s="202"/>
      <c r="Q131" s="202"/>
      <c r="R131" s="203"/>
    </row>
    <row r="132" spans="1:18">
      <c r="A132" s="128"/>
      <c r="B132" s="131"/>
      <c r="C132" s="129"/>
      <c r="D132" s="129"/>
      <c r="E132" s="129"/>
      <c r="F132" s="132"/>
      <c r="G132" s="201"/>
      <c r="H132" s="202"/>
      <c r="I132" s="202"/>
      <c r="J132" s="202"/>
      <c r="K132" s="202"/>
      <c r="L132" s="202"/>
      <c r="M132" s="202"/>
      <c r="N132" s="202"/>
      <c r="O132" s="202"/>
      <c r="P132" s="202"/>
      <c r="Q132" s="202"/>
      <c r="R132" s="203"/>
    </row>
    <row r="133" spans="1:18">
      <c r="A133" s="128"/>
      <c r="B133" s="131"/>
      <c r="C133" s="129"/>
      <c r="D133" s="129"/>
      <c r="E133" s="129"/>
      <c r="F133" s="132"/>
      <c r="G133" s="201"/>
      <c r="H133" s="202"/>
      <c r="I133" s="202"/>
      <c r="J133" s="202"/>
      <c r="K133" s="202"/>
      <c r="L133" s="202"/>
      <c r="M133" s="202"/>
      <c r="N133" s="202"/>
      <c r="O133" s="202"/>
      <c r="P133" s="202"/>
      <c r="Q133" s="202"/>
      <c r="R133" s="203"/>
    </row>
    <row r="134" spans="1:18">
      <c r="A134" s="128"/>
      <c r="B134" s="131"/>
      <c r="C134" s="129"/>
      <c r="D134" s="129"/>
      <c r="E134" s="129"/>
      <c r="F134" s="132"/>
      <c r="G134" s="201"/>
      <c r="H134" s="202"/>
      <c r="I134" s="202"/>
      <c r="J134" s="202"/>
      <c r="K134" s="202"/>
      <c r="L134" s="202"/>
      <c r="M134" s="202"/>
      <c r="N134" s="202"/>
      <c r="O134" s="202"/>
      <c r="P134" s="202"/>
      <c r="Q134" s="202"/>
      <c r="R134" s="203"/>
    </row>
    <row r="135" spans="1:18">
      <c r="A135" s="128"/>
      <c r="B135" s="131"/>
      <c r="C135" s="129"/>
      <c r="D135" s="129"/>
      <c r="E135" s="129"/>
      <c r="F135" s="132"/>
      <c r="G135" s="201"/>
      <c r="H135" s="202"/>
      <c r="I135" s="202"/>
      <c r="J135" s="202"/>
      <c r="K135" s="202"/>
      <c r="L135" s="202"/>
      <c r="M135" s="202"/>
      <c r="N135" s="202"/>
      <c r="O135" s="202"/>
      <c r="P135" s="202"/>
      <c r="Q135" s="202"/>
      <c r="R135" s="203"/>
    </row>
    <row r="136" spans="1:18">
      <c r="A136" s="128"/>
      <c r="B136" s="131"/>
      <c r="C136" s="129"/>
      <c r="D136" s="129"/>
      <c r="E136" s="129"/>
      <c r="F136" s="132"/>
      <c r="G136" s="201"/>
      <c r="H136" s="202"/>
      <c r="I136" s="202"/>
      <c r="J136" s="202"/>
      <c r="K136" s="202"/>
      <c r="L136" s="202"/>
      <c r="M136" s="202"/>
      <c r="N136" s="202"/>
      <c r="O136" s="202"/>
      <c r="P136" s="202"/>
      <c r="Q136" s="202"/>
      <c r="R136" s="203"/>
    </row>
    <row r="137" spans="1:18">
      <c r="A137" s="128"/>
      <c r="B137" s="131"/>
      <c r="C137" s="129"/>
      <c r="D137" s="129"/>
      <c r="E137" s="129"/>
      <c r="F137" s="132"/>
      <c r="G137" s="201"/>
      <c r="H137" s="202"/>
      <c r="I137" s="202"/>
      <c r="J137" s="202"/>
      <c r="K137" s="202"/>
      <c r="L137" s="202"/>
      <c r="M137" s="202"/>
      <c r="N137" s="202"/>
      <c r="O137" s="202"/>
      <c r="P137" s="202"/>
      <c r="Q137" s="202"/>
      <c r="R137" s="203"/>
    </row>
    <row r="138" spans="1:18">
      <c r="A138" s="128"/>
      <c r="B138" s="131"/>
      <c r="C138" s="129"/>
      <c r="D138" s="129"/>
      <c r="E138" s="129"/>
      <c r="F138" s="132"/>
      <c r="G138" s="201"/>
      <c r="H138" s="202"/>
      <c r="I138" s="202"/>
      <c r="J138" s="202"/>
      <c r="K138" s="202"/>
      <c r="L138" s="202"/>
      <c r="M138" s="202"/>
      <c r="N138" s="202"/>
      <c r="O138" s="202"/>
      <c r="P138" s="202"/>
      <c r="Q138" s="202"/>
      <c r="R138" s="203"/>
    </row>
    <row r="139" spans="1:18">
      <c r="A139" s="128"/>
      <c r="B139" s="131"/>
      <c r="C139" s="129"/>
      <c r="D139" s="129"/>
      <c r="E139" s="129"/>
      <c r="F139" s="132"/>
      <c r="G139" s="201"/>
      <c r="H139" s="202"/>
      <c r="I139" s="202"/>
      <c r="J139" s="202"/>
      <c r="K139" s="202"/>
      <c r="L139" s="202"/>
      <c r="M139" s="202"/>
      <c r="N139" s="202"/>
      <c r="O139" s="202"/>
      <c r="P139" s="202"/>
      <c r="Q139" s="202"/>
      <c r="R139" s="203"/>
    </row>
    <row r="140" spans="1:18">
      <c r="A140" s="128"/>
      <c r="B140" s="131"/>
      <c r="C140" s="129"/>
      <c r="D140" s="129"/>
      <c r="E140" s="129"/>
      <c r="F140" s="132"/>
      <c r="G140" s="201"/>
      <c r="H140" s="202"/>
      <c r="I140" s="202"/>
      <c r="J140" s="202"/>
      <c r="K140" s="202"/>
      <c r="L140" s="202"/>
      <c r="M140" s="202"/>
      <c r="N140" s="202"/>
      <c r="O140" s="202"/>
      <c r="P140" s="202"/>
      <c r="Q140" s="202"/>
      <c r="R140" s="203"/>
    </row>
    <row r="141" spans="1:18">
      <c r="A141" s="128"/>
      <c r="B141" s="131"/>
      <c r="C141" s="129"/>
      <c r="D141" s="129"/>
      <c r="E141" s="129"/>
      <c r="F141" s="132"/>
      <c r="G141" s="201"/>
      <c r="H141" s="202"/>
      <c r="I141" s="202"/>
      <c r="J141" s="202"/>
      <c r="K141" s="202"/>
      <c r="L141" s="202"/>
      <c r="M141" s="202"/>
      <c r="N141" s="202"/>
      <c r="O141" s="202"/>
      <c r="P141" s="202"/>
      <c r="Q141" s="202"/>
      <c r="R141" s="203"/>
    </row>
    <row r="142" spans="1:18">
      <c r="A142" s="128"/>
      <c r="B142" s="131"/>
      <c r="C142" s="129"/>
      <c r="D142" s="129"/>
      <c r="E142" s="129"/>
      <c r="F142" s="132"/>
      <c r="G142" s="201"/>
      <c r="H142" s="202"/>
      <c r="I142" s="202"/>
      <c r="J142" s="202"/>
      <c r="K142" s="202"/>
      <c r="L142" s="202"/>
      <c r="M142" s="202"/>
      <c r="N142" s="202"/>
      <c r="O142" s="202"/>
      <c r="P142" s="202"/>
      <c r="Q142" s="202"/>
      <c r="R142" s="203"/>
    </row>
    <row r="143" spans="1:18">
      <c r="A143" s="128"/>
      <c r="B143" s="131"/>
      <c r="C143" s="129"/>
      <c r="D143" s="129"/>
      <c r="E143" s="129"/>
      <c r="F143" s="132"/>
      <c r="G143" s="201"/>
      <c r="H143" s="202"/>
      <c r="I143" s="202"/>
      <c r="J143" s="202"/>
      <c r="K143" s="202"/>
      <c r="L143" s="202"/>
      <c r="M143" s="202"/>
      <c r="N143" s="202"/>
      <c r="O143" s="202"/>
      <c r="P143" s="202"/>
      <c r="Q143" s="202"/>
      <c r="R143" s="203"/>
    </row>
    <row r="144" spans="1:18">
      <c r="A144" s="128"/>
      <c r="B144" s="131"/>
      <c r="C144" s="129"/>
      <c r="D144" s="129"/>
      <c r="E144" s="129"/>
      <c r="F144" s="132"/>
      <c r="G144" s="201"/>
      <c r="H144" s="202"/>
      <c r="I144" s="202"/>
      <c r="J144" s="202"/>
      <c r="K144" s="202"/>
      <c r="L144" s="202"/>
      <c r="M144" s="202"/>
      <c r="N144" s="202"/>
      <c r="O144" s="202"/>
      <c r="P144" s="202"/>
      <c r="Q144" s="202"/>
      <c r="R144" s="203"/>
    </row>
    <row r="145" spans="1:18">
      <c r="A145" s="128"/>
      <c r="B145" s="131"/>
      <c r="C145" s="129"/>
      <c r="D145" s="129"/>
      <c r="E145" s="129"/>
      <c r="F145" s="132"/>
      <c r="G145" s="201"/>
      <c r="H145" s="202"/>
      <c r="I145" s="202"/>
      <c r="J145" s="202"/>
      <c r="K145" s="202"/>
      <c r="L145" s="202"/>
      <c r="M145" s="202"/>
      <c r="N145" s="202"/>
      <c r="O145" s="202"/>
      <c r="P145" s="202"/>
      <c r="Q145" s="202"/>
      <c r="R145" s="203"/>
    </row>
    <row r="146" spans="1:18">
      <c r="A146" s="128"/>
      <c r="B146" s="131"/>
      <c r="C146" s="129"/>
      <c r="D146" s="129"/>
      <c r="E146" s="129"/>
      <c r="F146" s="132"/>
      <c r="G146" s="201"/>
      <c r="H146" s="202"/>
      <c r="I146" s="202"/>
      <c r="J146" s="202"/>
      <c r="K146" s="202"/>
      <c r="L146" s="202"/>
      <c r="M146" s="202"/>
      <c r="N146" s="202"/>
      <c r="O146" s="202"/>
      <c r="P146" s="202"/>
      <c r="Q146" s="202"/>
      <c r="R146" s="203"/>
    </row>
    <row r="147" spans="1:18">
      <c r="A147" s="128"/>
      <c r="B147" s="131"/>
      <c r="C147" s="129"/>
      <c r="D147" s="129"/>
      <c r="E147" s="129"/>
      <c r="F147" s="132"/>
      <c r="G147" s="201"/>
      <c r="H147" s="202"/>
      <c r="I147" s="202"/>
      <c r="J147" s="202"/>
      <c r="K147" s="202"/>
      <c r="L147" s="202"/>
      <c r="M147" s="202"/>
      <c r="N147" s="202"/>
      <c r="O147" s="202"/>
      <c r="P147" s="202"/>
      <c r="Q147" s="202"/>
      <c r="R147" s="203"/>
    </row>
    <row r="148" spans="1:18">
      <c r="A148" s="128"/>
      <c r="B148" s="131"/>
      <c r="C148" s="129"/>
      <c r="D148" s="129"/>
      <c r="E148" s="129"/>
      <c r="F148" s="132"/>
      <c r="G148" s="201"/>
      <c r="H148" s="202"/>
      <c r="I148" s="202"/>
      <c r="J148" s="202"/>
      <c r="K148" s="202"/>
      <c r="L148" s="202"/>
      <c r="M148" s="202"/>
      <c r="N148" s="202"/>
      <c r="O148" s="202"/>
      <c r="P148" s="202"/>
      <c r="Q148" s="202"/>
      <c r="R148" s="203"/>
    </row>
    <row r="149" spans="1:18">
      <c r="A149" s="128"/>
      <c r="B149" s="131"/>
      <c r="C149" s="129"/>
      <c r="D149" s="129"/>
      <c r="E149" s="129"/>
      <c r="F149" s="132"/>
      <c r="G149" s="201"/>
      <c r="H149" s="202"/>
      <c r="I149" s="202"/>
      <c r="J149" s="202"/>
      <c r="K149" s="202"/>
      <c r="L149" s="202"/>
      <c r="M149" s="202"/>
      <c r="N149" s="202"/>
      <c r="O149" s="202"/>
      <c r="P149" s="202"/>
      <c r="Q149" s="202"/>
      <c r="R149" s="203"/>
    </row>
    <row r="150" spans="1:18">
      <c r="A150" s="128"/>
      <c r="B150" s="131"/>
      <c r="C150" s="129"/>
      <c r="D150" s="129"/>
      <c r="E150" s="129"/>
      <c r="F150" s="132"/>
      <c r="G150" s="201"/>
      <c r="H150" s="202"/>
      <c r="I150" s="202"/>
      <c r="J150" s="202"/>
      <c r="K150" s="202"/>
      <c r="L150" s="202"/>
      <c r="M150" s="202"/>
      <c r="N150" s="202"/>
      <c r="O150" s="202"/>
      <c r="P150" s="202"/>
      <c r="Q150" s="202"/>
      <c r="R150" s="203"/>
    </row>
    <row r="151" spans="1:18">
      <c r="A151" s="128"/>
      <c r="B151" s="131"/>
      <c r="C151" s="129"/>
      <c r="D151" s="129"/>
      <c r="E151" s="129"/>
      <c r="F151" s="132"/>
      <c r="G151" s="201"/>
      <c r="H151" s="202"/>
      <c r="I151" s="202"/>
      <c r="J151" s="202"/>
      <c r="K151" s="202"/>
      <c r="L151" s="202"/>
      <c r="M151" s="202"/>
      <c r="N151" s="202"/>
      <c r="O151" s="202"/>
      <c r="P151" s="202"/>
      <c r="Q151" s="202"/>
      <c r="R151" s="203"/>
    </row>
    <row r="152" spans="1:18">
      <c r="A152" s="128"/>
      <c r="B152" s="131"/>
      <c r="C152" s="129"/>
      <c r="D152" s="129"/>
      <c r="E152" s="129"/>
      <c r="F152" s="132"/>
      <c r="G152" s="201"/>
      <c r="H152" s="202"/>
      <c r="I152" s="202"/>
      <c r="J152" s="202"/>
      <c r="K152" s="202"/>
      <c r="L152" s="202"/>
      <c r="M152" s="202"/>
      <c r="N152" s="202"/>
      <c r="O152" s="202"/>
      <c r="P152" s="202"/>
      <c r="Q152" s="202"/>
      <c r="R152" s="203"/>
    </row>
    <row r="153" spans="1:18">
      <c r="A153" s="128"/>
      <c r="B153" s="131"/>
      <c r="C153" s="129"/>
      <c r="D153" s="129"/>
      <c r="E153" s="129"/>
      <c r="F153" s="132"/>
      <c r="G153" s="201"/>
      <c r="H153" s="202"/>
      <c r="I153" s="202"/>
      <c r="J153" s="202"/>
      <c r="K153" s="202"/>
      <c r="L153" s="202"/>
      <c r="M153" s="202"/>
      <c r="N153" s="202"/>
      <c r="O153" s="202"/>
      <c r="P153" s="202"/>
      <c r="Q153" s="202"/>
      <c r="R153" s="203"/>
    </row>
    <row r="154" spans="1:18">
      <c r="A154" s="128"/>
      <c r="B154" s="131"/>
      <c r="C154" s="129"/>
      <c r="D154" s="129"/>
      <c r="E154" s="129"/>
      <c r="F154" s="132"/>
      <c r="G154" s="201"/>
      <c r="H154" s="202"/>
      <c r="I154" s="202"/>
      <c r="J154" s="202"/>
      <c r="K154" s="202"/>
      <c r="L154" s="202"/>
      <c r="M154" s="202"/>
      <c r="N154" s="202"/>
      <c r="O154" s="202"/>
      <c r="P154" s="202"/>
      <c r="Q154" s="202"/>
      <c r="R154" s="203"/>
    </row>
    <row r="155" spans="1:18">
      <c r="A155" s="128"/>
      <c r="B155" s="131"/>
      <c r="C155" s="129"/>
      <c r="D155" s="129"/>
      <c r="E155" s="129"/>
      <c r="F155" s="132"/>
      <c r="G155" s="201"/>
      <c r="H155" s="202"/>
      <c r="I155" s="202"/>
      <c r="J155" s="202"/>
      <c r="K155" s="202"/>
      <c r="L155" s="202"/>
      <c r="M155" s="202"/>
      <c r="N155" s="202"/>
      <c r="O155" s="202"/>
      <c r="P155" s="202"/>
      <c r="Q155" s="202"/>
      <c r="R155" s="203"/>
    </row>
    <row r="156" spans="1:18">
      <c r="A156" s="128"/>
      <c r="B156" s="131"/>
      <c r="C156" s="129"/>
      <c r="D156" s="129"/>
      <c r="E156" s="129"/>
      <c r="F156" s="132"/>
      <c r="G156" s="201"/>
      <c r="H156" s="202"/>
      <c r="I156" s="202"/>
      <c r="J156" s="202"/>
      <c r="K156" s="202"/>
      <c r="L156" s="202"/>
      <c r="M156" s="202"/>
      <c r="N156" s="202"/>
      <c r="O156" s="202"/>
      <c r="P156" s="202"/>
      <c r="Q156" s="202"/>
      <c r="R156" s="203"/>
    </row>
    <row r="157" spans="1:18">
      <c r="A157" s="128"/>
      <c r="B157" s="131"/>
      <c r="C157" s="129"/>
      <c r="D157" s="129"/>
      <c r="E157" s="129"/>
      <c r="F157" s="132"/>
      <c r="G157" s="201"/>
      <c r="H157" s="202"/>
      <c r="I157" s="202"/>
      <c r="J157" s="202"/>
      <c r="K157" s="202"/>
      <c r="L157" s="202"/>
      <c r="M157" s="202"/>
      <c r="N157" s="202"/>
      <c r="O157" s="202"/>
      <c r="P157" s="202"/>
      <c r="Q157" s="202"/>
      <c r="R157" s="203"/>
    </row>
    <row r="158" spans="1:18">
      <c r="A158" s="128"/>
      <c r="B158" s="131"/>
      <c r="C158" s="129"/>
      <c r="D158" s="129"/>
      <c r="E158" s="129"/>
      <c r="F158" s="132"/>
      <c r="G158" s="201"/>
      <c r="H158" s="202"/>
      <c r="I158" s="202"/>
      <c r="J158" s="202"/>
      <c r="K158" s="202"/>
      <c r="L158" s="202"/>
      <c r="M158" s="202"/>
      <c r="N158" s="202"/>
      <c r="O158" s="202"/>
      <c r="P158" s="202"/>
      <c r="Q158" s="202"/>
      <c r="R158" s="203"/>
    </row>
    <row r="159" spans="1:18">
      <c r="A159" s="128"/>
      <c r="B159" s="131"/>
      <c r="C159" s="129"/>
      <c r="D159" s="129"/>
      <c r="E159" s="129"/>
      <c r="F159" s="132"/>
      <c r="G159" s="201"/>
      <c r="H159" s="202"/>
      <c r="I159" s="202"/>
      <c r="J159" s="202"/>
      <c r="K159" s="202"/>
      <c r="L159" s="202"/>
      <c r="M159" s="202"/>
      <c r="N159" s="202"/>
      <c r="O159" s="202"/>
      <c r="P159" s="202"/>
      <c r="Q159" s="202"/>
      <c r="R159" s="203"/>
    </row>
    <row r="160" spans="1:18">
      <c r="A160" s="128"/>
      <c r="B160" s="131"/>
      <c r="C160" s="129"/>
      <c r="D160" s="129"/>
      <c r="E160" s="129"/>
      <c r="F160" s="132"/>
      <c r="G160" s="201"/>
      <c r="H160" s="202"/>
      <c r="I160" s="202"/>
      <c r="J160" s="202"/>
      <c r="K160" s="202"/>
      <c r="L160" s="202"/>
      <c r="M160" s="202"/>
      <c r="N160" s="202"/>
      <c r="O160" s="202"/>
      <c r="P160" s="202"/>
      <c r="Q160" s="202"/>
      <c r="R160" s="203"/>
    </row>
    <row r="161" spans="1:18">
      <c r="A161" s="128"/>
      <c r="B161" s="131"/>
      <c r="C161" s="129"/>
      <c r="D161" s="129"/>
      <c r="E161" s="129"/>
      <c r="F161" s="132"/>
      <c r="G161" s="201"/>
      <c r="H161" s="202"/>
      <c r="I161" s="202"/>
      <c r="J161" s="202"/>
      <c r="K161" s="202"/>
      <c r="L161" s="202"/>
      <c r="M161" s="202"/>
      <c r="N161" s="202"/>
      <c r="O161" s="202"/>
      <c r="P161" s="202"/>
      <c r="Q161" s="202"/>
      <c r="R161" s="203"/>
    </row>
    <row r="162" spans="1:18">
      <c r="A162" s="128"/>
      <c r="B162" s="131"/>
      <c r="C162" s="129"/>
      <c r="D162" s="129"/>
      <c r="E162" s="129"/>
      <c r="F162" s="132"/>
      <c r="G162" s="201"/>
      <c r="H162" s="202"/>
      <c r="I162" s="202"/>
      <c r="J162" s="202"/>
      <c r="K162" s="202"/>
      <c r="L162" s="202"/>
      <c r="M162" s="202"/>
      <c r="N162" s="202"/>
      <c r="O162" s="202"/>
      <c r="P162" s="202"/>
      <c r="Q162" s="202"/>
      <c r="R162" s="203"/>
    </row>
    <row r="163" spans="1:18">
      <c r="A163" s="128"/>
      <c r="B163" s="131"/>
      <c r="C163" s="129"/>
      <c r="D163" s="129"/>
      <c r="E163" s="129"/>
      <c r="F163" s="132"/>
      <c r="G163" s="201"/>
      <c r="H163" s="202"/>
      <c r="I163" s="202"/>
      <c r="J163" s="202"/>
      <c r="K163" s="202"/>
      <c r="L163" s="202"/>
      <c r="M163" s="202"/>
      <c r="N163" s="202"/>
      <c r="O163" s="202"/>
      <c r="P163" s="202"/>
      <c r="Q163" s="202"/>
      <c r="R163" s="203"/>
    </row>
    <row r="164" spans="1:18">
      <c r="A164" s="128"/>
      <c r="B164" s="131"/>
      <c r="C164" s="129"/>
      <c r="D164" s="129"/>
      <c r="E164" s="129"/>
      <c r="F164" s="132"/>
      <c r="G164" s="201"/>
      <c r="H164" s="202"/>
      <c r="I164" s="202"/>
      <c r="J164" s="202"/>
      <c r="K164" s="202"/>
      <c r="L164" s="202"/>
      <c r="M164" s="202"/>
      <c r="N164" s="202"/>
      <c r="O164" s="202"/>
      <c r="P164" s="202"/>
      <c r="Q164" s="202"/>
      <c r="R164" s="203"/>
    </row>
    <row r="165" spans="1:18">
      <c r="A165" s="128"/>
      <c r="B165" s="131"/>
      <c r="C165" s="129"/>
      <c r="D165" s="129"/>
      <c r="E165" s="129"/>
      <c r="F165" s="132"/>
      <c r="G165" s="201"/>
      <c r="H165" s="202"/>
      <c r="I165" s="202"/>
      <c r="J165" s="202"/>
      <c r="K165" s="202"/>
      <c r="L165" s="202"/>
      <c r="M165" s="202"/>
      <c r="N165" s="202"/>
      <c r="O165" s="202"/>
      <c r="P165" s="202"/>
      <c r="Q165" s="202"/>
      <c r="R165" s="203"/>
    </row>
    <row r="166" spans="1:18">
      <c r="A166" s="128"/>
      <c r="B166" s="131"/>
      <c r="C166" s="129"/>
      <c r="D166" s="129"/>
      <c r="E166" s="129"/>
      <c r="F166" s="132"/>
      <c r="G166" s="201"/>
      <c r="H166" s="202"/>
      <c r="I166" s="202"/>
      <c r="J166" s="202"/>
      <c r="K166" s="202"/>
      <c r="L166" s="202"/>
      <c r="M166" s="202"/>
      <c r="N166" s="202"/>
      <c r="O166" s="202"/>
      <c r="P166" s="202"/>
      <c r="Q166" s="202"/>
      <c r="R166" s="203"/>
    </row>
    <row r="167" spans="1:18">
      <c r="A167" s="128"/>
      <c r="B167" s="131"/>
      <c r="C167" s="129"/>
      <c r="D167" s="129"/>
      <c r="E167" s="129"/>
      <c r="F167" s="132"/>
      <c r="G167" s="201"/>
      <c r="H167" s="202"/>
      <c r="I167" s="202"/>
      <c r="J167" s="202"/>
      <c r="K167" s="202"/>
      <c r="L167" s="202"/>
      <c r="M167" s="202"/>
      <c r="N167" s="202"/>
      <c r="O167" s="202"/>
      <c r="P167" s="202"/>
      <c r="Q167" s="202"/>
      <c r="R167" s="203"/>
    </row>
    <row r="168" spans="1:18">
      <c r="A168" s="128"/>
      <c r="B168" s="131"/>
      <c r="C168" s="129"/>
      <c r="D168" s="129"/>
      <c r="E168" s="129"/>
      <c r="F168" s="132"/>
      <c r="G168" s="201"/>
      <c r="H168" s="202"/>
      <c r="I168" s="202"/>
      <c r="J168" s="202"/>
      <c r="K168" s="202"/>
      <c r="L168" s="202"/>
      <c r="M168" s="202"/>
      <c r="N168" s="202"/>
      <c r="O168" s="202"/>
      <c r="P168" s="202"/>
      <c r="Q168" s="202"/>
      <c r="R168" s="203"/>
    </row>
    <row r="169" spans="1:18">
      <c r="A169" s="128"/>
      <c r="B169" s="131"/>
      <c r="C169" s="129"/>
      <c r="D169" s="129"/>
      <c r="E169" s="129"/>
      <c r="F169" s="132"/>
      <c r="G169" s="201"/>
      <c r="H169" s="202"/>
      <c r="I169" s="202"/>
      <c r="J169" s="202"/>
      <c r="K169" s="202"/>
      <c r="L169" s="202"/>
      <c r="M169" s="202"/>
      <c r="N169" s="202"/>
      <c r="O169" s="202"/>
      <c r="P169" s="202"/>
      <c r="Q169" s="202"/>
      <c r="R169" s="203"/>
    </row>
    <row r="170" spans="1:18">
      <c r="A170" s="128"/>
      <c r="B170" s="131"/>
      <c r="C170" s="129"/>
      <c r="D170" s="129"/>
      <c r="E170" s="129"/>
      <c r="F170" s="132"/>
      <c r="G170" s="201"/>
      <c r="H170" s="202"/>
      <c r="I170" s="202"/>
      <c r="J170" s="202"/>
      <c r="K170" s="202"/>
      <c r="L170" s="202"/>
      <c r="M170" s="202"/>
      <c r="N170" s="202"/>
      <c r="O170" s="202"/>
      <c r="P170" s="202"/>
      <c r="Q170" s="202"/>
      <c r="R170" s="203"/>
    </row>
    <row r="171" spans="1:18">
      <c r="A171" s="128"/>
      <c r="B171" s="131"/>
      <c r="C171" s="129"/>
      <c r="D171" s="129"/>
      <c r="E171" s="129"/>
      <c r="F171" s="132"/>
      <c r="G171" s="201"/>
      <c r="H171" s="202"/>
      <c r="I171" s="202"/>
      <c r="J171" s="202"/>
      <c r="K171" s="202"/>
      <c r="L171" s="202"/>
      <c r="M171" s="202"/>
      <c r="N171" s="202"/>
      <c r="O171" s="202"/>
      <c r="P171" s="202"/>
      <c r="Q171" s="202"/>
      <c r="R171" s="203"/>
    </row>
    <row r="172" spans="1:18">
      <c r="A172" s="128"/>
      <c r="B172" s="131"/>
      <c r="C172" s="129"/>
      <c r="D172" s="129"/>
      <c r="E172" s="129"/>
      <c r="F172" s="132"/>
      <c r="G172" s="201"/>
      <c r="H172" s="202"/>
      <c r="I172" s="202"/>
      <c r="J172" s="202"/>
      <c r="K172" s="202"/>
      <c r="L172" s="202"/>
      <c r="M172" s="202"/>
      <c r="N172" s="202"/>
      <c r="O172" s="202"/>
      <c r="P172" s="202"/>
      <c r="Q172" s="202"/>
      <c r="R172" s="203"/>
    </row>
    <row r="173" spans="1:18">
      <c r="A173" s="128"/>
      <c r="B173" s="131"/>
      <c r="C173" s="129"/>
      <c r="D173" s="129"/>
      <c r="E173" s="129"/>
      <c r="F173" s="132"/>
      <c r="G173" s="201"/>
      <c r="H173" s="202"/>
      <c r="I173" s="202"/>
      <c r="J173" s="202"/>
      <c r="K173" s="202"/>
      <c r="L173" s="202"/>
      <c r="M173" s="202"/>
      <c r="N173" s="202"/>
      <c r="O173" s="202"/>
      <c r="P173" s="202"/>
      <c r="Q173" s="202"/>
      <c r="R173" s="203"/>
    </row>
    <row r="174" spans="1:18">
      <c r="A174" s="128"/>
      <c r="B174" s="131"/>
      <c r="C174" s="129"/>
      <c r="D174" s="129"/>
      <c r="E174" s="129"/>
      <c r="F174" s="132"/>
      <c r="G174" s="201"/>
      <c r="H174" s="202"/>
      <c r="I174" s="202"/>
      <c r="J174" s="202"/>
      <c r="K174" s="202"/>
      <c r="L174" s="202"/>
      <c r="M174" s="202"/>
      <c r="N174" s="202"/>
      <c r="O174" s="202"/>
      <c r="P174" s="202"/>
      <c r="Q174" s="202"/>
      <c r="R174" s="203"/>
    </row>
    <row r="175" spans="1:18">
      <c r="A175" s="128"/>
      <c r="B175" s="131"/>
      <c r="C175" s="129"/>
      <c r="D175" s="129"/>
      <c r="E175" s="129"/>
      <c r="F175" s="132"/>
      <c r="G175" s="201"/>
      <c r="H175" s="202"/>
      <c r="I175" s="202"/>
      <c r="J175" s="202"/>
      <c r="K175" s="202"/>
      <c r="L175" s="202"/>
      <c r="M175" s="202"/>
      <c r="N175" s="202"/>
      <c r="O175" s="202"/>
      <c r="P175" s="202"/>
      <c r="Q175" s="202"/>
      <c r="R175" s="203"/>
    </row>
    <row r="176" spans="1:18">
      <c r="A176" s="128"/>
      <c r="B176" s="131"/>
      <c r="C176" s="129"/>
      <c r="D176" s="129"/>
      <c r="E176" s="129"/>
      <c r="F176" s="132"/>
      <c r="G176" s="201"/>
      <c r="H176" s="202"/>
      <c r="I176" s="202"/>
      <c r="J176" s="202"/>
      <c r="K176" s="202"/>
      <c r="L176" s="202"/>
      <c r="M176" s="202"/>
      <c r="N176" s="202"/>
      <c r="O176" s="202"/>
      <c r="P176" s="202"/>
      <c r="Q176" s="202"/>
      <c r="R176" s="203"/>
    </row>
    <row r="177" spans="1:18">
      <c r="A177" s="128"/>
      <c r="B177" s="131"/>
      <c r="C177" s="129"/>
      <c r="D177" s="129"/>
      <c r="E177" s="129"/>
      <c r="F177" s="132"/>
      <c r="G177" s="201"/>
      <c r="H177" s="202"/>
      <c r="I177" s="202"/>
      <c r="J177" s="202"/>
      <c r="K177" s="202"/>
      <c r="L177" s="202"/>
      <c r="M177" s="202"/>
      <c r="N177" s="202"/>
      <c r="O177" s="202"/>
      <c r="P177" s="202"/>
      <c r="Q177" s="202"/>
      <c r="R177" s="203"/>
    </row>
    <row r="178" spans="1:18">
      <c r="A178" s="128"/>
      <c r="B178" s="131"/>
      <c r="C178" s="129"/>
      <c r="D178" s="129"/>
      <c r="E178" s="129"/>
      <c r="F178" s="132"/>
      <c r="G178" s="201"/>
      <c r="H178" s="202"/>
      <c r="I178" s="202"/>
      <c r="J178" s="202"/>
      <c r="K178" s="202"/>
      <c r="L178" s="202"/>
      <c r="M178" s="202"/>
      <c r="N178" s="202"/>
      <c r="O178" s="202"/>
      <c r="P178" s="202"/>
      <c r="Q178" s="202"/>
      <c r="R178" s="203"/>
    </row>
    <row r="179" spans="1:18">
      <c r="A179" s="128"/>
      <c r="B179" s="131"/>
      <c r="C179" s="129"/>
      <c r="D179" s="129"/>
      <c r="E179" s="129"/>
      <c r="F179" s="132"/>
      <c r="G179" s="201"/>
      <c r="H179" s="202"/>
      <c r="I179" s="202"/>
      <c r="J179" s="202"/>
      <c r="K179" s="202"/>
      <c r="L179" s="202"/>
      <c r="M179" s="202"/>
      <c r="N179" s="202"/>
      <c r="O179" s="202"/>
      <c r="P179" s="202"/>
      <c r="Q179" s="202"/>
      <c r="R179" s="203"/>
    </row>
    <row r="180" spans="1:18">
      <c r="A180" s="128"/>
      <c r="B180" s="131"/>
      <c r="C180" s="129"/>
      <c r="D180" s="129"/>
      <c r="E180" s="129"/>
      <c r="F180" s="132"/>
      <c r="G180" s="201"/>
      <c r="H180" s="202"/>
      <c r="I180" s="202"/>
      <c r="J180" s="202"/>
      <c r="K180" s="202"/>
      <c r="L180" s="202"/>
      <c r="M180" s="202"/>
      <c r="N180" s="202"/>
      <c r="O180" s="202"/>
      <c r="P180" s="202"/>
      <c r="Q180" s="202"/>
      <c r="R180" s="203"/>
    </row>
    <row r="181" spans="1:18">
      <c r="A181" s="128"/>
      <c r="B181" s="131"/>
      <c r="C181" s="129"/>
      <c r="D181" s="129"/>
      <c r="E181" s="129"/>
      <c r="F181" s="132"/>
      <c r="G181" s="201"/>
      <c r="H181" s="202"/>
      <c r="I181" s="202"/>
      <c r="J181" s="202"/>
      <c r="K181" s="202"/>
      <c r="L181" s="202"/>
      <c r="M181" s="202"/>
      <c r="N181" s="202"/>
      <c r="O181" s="202"/>
      <c r="P181" s="202"/>
      <c r="Q181" s="202"/>
      <c r="R181" s="203"/>
    </row>
    <row r="182" spans="1:18">
      <c r="A182" s="128"/>
      <c r="B182" s="131"/>
      <c r="C182" s="129"/>
      <c r="D182" s="129"/>
      <c r="E182" s="129"/>
      <c r="F182" s="132"/>
      <c r="G182" s="201"/>
      <c r="H182" s="202"/>
      <c r="I182" s="202"/>
      <c r="J182" s="202"/>
      <c r="K182" s="202"/>
      <c r="L182" s="202"/>
      <c r="M182" s="202"/>
      <c r="N182" s="202"/>
      <c r="O182" s="202"/>
      <c r="P182" s="202"/>
      <c r="Q182" s="202"/>
      <c r="R182" s="203"/>
    </row>
    <row r="183" spans="1:18">
      <c r="A183" s="128"/>
      <c r="B183" s="131"/>
      <c r="C183" s="129"/>
      <c r="D183" s="129"/>
      <c r="E183" s="129"/>
      <c r="F183" s="132"/>
      <c r="G183" s="201"/>
      <c r="H183" s="202"/>
      <c r="I183" s="202"/>
      <c r="J183" s="202"/>
      <c r="K183" s="202"/>
      <c r="L183" s="202"/>
      <c r="M183" s="202"/>
      <c r="N183" s="202"/>
      <c r="O183" s="202"/>
      <c r="P183" s="202"/>
      <c r="Q183" s="202"/>
      <c r="R183" s="203"/>
    </row>
    <row r="184" spans="1:18">
      <c r="A184" s="128"/>
      <c r="B184" s="131"/>
      <c r="C184" s="129"/>
      <c r="D184" s="129"/>
      <c r="E184" s="129"/>
      <c r="F184" s="132"/>
      <c r="G184" s="201"/>
      <c r="H184" s="202"/>
      <c r="I184" s="202"/>
      <c r="J184" s="202"/>
      <c r="K184" s="202"/>
      <c r="L184" s="202"/>
      <c r="M184" s="202"/>
      <c r="N184" s="202"/>
      <c r="O184" s="202"/>
      <c r="P184" s="202"/>
      <c r="Q184" s="202"/>
      <c r="R184" s="203"/>
    </row>
    <row r="185" spans="1:18">
      <c r="A185" s="128"/>
      <c r="B185" s="131"/>
      <c r="C185" s="129"/>
      <c r="D185" s="129"/>
      <c r="E185" s="129"/>
      <c r="F185" s="132"/>
      <c r="G185" s="201"/>
      <c r="H185" s="202"/>
      <c r="I185" s="202"/>
      <c r="J185" s="202"/>
      <c r="K185" s="202"/>
      <c r="L185" s="202"/>
      <c r="M185" s="202"/>
      <c r="N185" s="202"/>
      <c r="O185" s="202"/>
      <c r="P185" s="202"/>
      <c r="Q185" s="202"/>
      <c r="R185" s="203"/>
    </row>
    <row r="186" spans="1:18">
      <c r="A186" s="128"/>
      <c r="B186" s="131"/>
      <c r="C186" s="129"/>
      <c r="D186" s="129"/>
      <c r="E186" s="129"/>
      <c r="F186" s="132"/>
      <c r="G186" s="201"/>
      <c r="H186" s="202"/>
      <c r="I186" s="202"/>
      <c r="J186" s="202"/>
      <c r="K186" s="202"/>
      <c r="L186" s="202"/>
      <c r="M186" s="202"/>
      <c r="N186" s="202"/>
      <c r="O186" s="202"/>
      <c r="P186" s="202"/>
      <c r="Q186" s="202"/>
      <c r="R186" s="203"/>
    </row>
    <row r="187" spans="1:18">
      <c r="A187" s="128"/>
      <c r="B187" s="131"/>
      <c r="C187" s="129"/>
      <c r="D187" s="129"/>
      <c r="E187" s="129"/>
      <c r="F187" s="132"/>
      <c r="G187" s="201"/>
      <c r="H187" s="202"/>
      <c r="I187" s="202"/>
      <c r="J187" s="202"/>
      <c r="K187" s="202"/>
      <c r="L187" s="202"/>
      <c r="M187" s="202"/>
      <c r="N187" s="202"/>
      <c r="O187" s="202"/>
      <c r="P187" s="202"/>
      <c r="Q187" s="202"/>
      <c r="R187" s="203"/>
    </row>
    <row r="188" spans="1:18">
      <c r="A188" s="128"/>
      <c r="B188" s="131"/>
      <c r="C188" s="129"/>
      <c r="D188" s="129"/>
      <c r="E188" s="129"/>
      <c r="F188" s="132"/>
      <c r="G188" s="201"/>
      <c r="H188" s="202"/>
      <c r="I188" s="202"/>
      <c r="J188" s="202"/>
      <c r="K188" s="202"/>
      <c r="L188" s="202"/>
      <c r="M188" s="202"/>
      <c r="N188" s="202"/>
      <c r="O188" s="202"/>
      <c r="P188" s="202"/>
      <c r="Q188" s="202"/>
      <c r="R188" s="203"/>
    </row>
    <row r="189" spans="1:18">
      <c r="A189" s="128"/>
      <c r="B189" s="131"/>
      <c r="C189" s="129"/>
      <c r="D189" s="129"/>
      <c r="E189" s="129"/>
      <c r="F189" s="132"/>
      <c r="G189" s="201"/>
      <c r="H189" s="202"/>
      <c r="I189" s="202"/>
      <c r="J189" s="202"/>
      <c r="K189" s="202"/>
      <c r="L189" s="202"/>
      <c r="M189" s="202"/>
      <c r="N189" s="202"/>
      <c r="O189" s="202"/>
      <c r="P189" s="202"/>
      <c r="Q189" s="202"/>
      <c r="R189" s="203"/>
    </row>
    <row r="190" spans="1:18">
      <c r="A190" s="128"/>
      <c r="B190" s="131"/>
      <c r="C190" s="129"/>
      <c r="D190" s="129"/>
      <c r="E190" s="129"/>
      <c r="F190" s="132"/>
      <c r="G190" s="201"/>
      <c r="H190" s="202"/>
      <c r="I190" s="202"/>
      <c r="J190" s="202"/>
      <c r="K190" s="202"/>
      <c r="L190" s="202"/>
      <c r="M190" s="202"/>
      <c r="N190" s="202"/>
      <c r="O190" s="202"/>
      <c r="P190" s="202"/>
      <c r="Q190" s="202"/>
      <c r="R190" s="203"/>
    </row>
    <row r="191" spans="1:18">
      <c r="A191" s="128"/>
      <c r="B191" s="131"/>
      <c r="C191" s="129"/>
      <c r="D191" s="129"/>
      <c r="E191" s="129"/>
      <c r="F191" s="132"/>
      <c r="G191" s="201"/>
      <c r="H191" s="202"/>
      <c r="I191" s="202"/>
      <c r="J191" s="202"/>
      <c r="K191" s="202"/>
      <c r="L191" s="202"/>
      <c r="M191" s="202"/>
      <c r="N191" s="202"/>
      <c r="O191" s="202"/>
      <c r="P191" s="202"/>
      <c r="Q191" s="202"/>
      <c r="R191" s="203"/>
    </row>
    <row r="192" spans="1:18">
      <c r="A192" s="128"/>
      <c r="B192" s="131"/>
      <c r="C192" s="129"/>
      <c r="D192" s="129"/>
      <c r="E192" s="129"/>
      <c r="F192" s="132"/>
      <c r="G192" s="201"/>
      <c r="H192" s="202"/>
      <c r="I192" s="202"/>
      <c r="J192" s="202"/>
      <c r="K192" s="202"/>
      <c r="L192" s="202"/>
      <c r="M192" s="202"/>
      <c r="N192" s="202"/>
      <c r="O192" s="202"/>
      <c r="P192" s="202"/>
      <c r="Q192" s="202"/>
      <c r="R192" s="203"/>
    </row>
    <row r="193" spans="1:18">
      <c r="A193" s="128"/>
      <c r="B193" s="131"/>
      <c r="C193" s="129"/>
      <c r="D193" s="129"/>
      <c r="E193" s="129"/>
      <c r="F193" s="132"/>
      <c r="G193" s="201"/>
      <c r="H193" s="202"/>
      <c r="I193" s="202"/>
      <c r="J193" s="202"/>
      <c r="K193" s="202"/>
      <c r="L193" s="202"/>
      <c r="M193" s="202"/>
      <c r="N193" s="202"/>
      <c r="O193" s="202"/>
      <c r="P193" s="202"/>
      <c r="Q193" s="202"/>
      <c r="R193" s="203"/>
    </row>
    <row r="194" spans="1:18">
      <c r="A194" s="128"/>
      <c r="B194" s="131"/>
      <c r="C194" s="129"/>
      <c r="D194" s="129"/>
      <c r="E194" s="129"/>
      <c r="F194" s="132"/>
      <c r="G194" s="201"/>
      <c r="H194" s="202"/>
      <c r="I194" s="202"/>
      <c r="J194" s="202"/>
      <c r="K194" s="202"/>
      <c r="L194" s="202"/>
      <c r="M194" s="202"/>
      <c r="N194" s="202"/>
      <c r="O194" s="202"/>
      <c r="P194" s="202"/>
      <c r="Q194" s="202"/>
      <c r="R194" s="203"/>
    </row>
    <row r="195" spans="1:18">
      <c r="A195" s="128"/>
      <c r="B195" s="131"/>
      <c r="C195" s="129"/>
      <c r="D195" s="129"/>
      <c r="E195" s="129"/>
      <c r="F195" s="132"/>
      <c r="G195" s="201"/>
      <c r="H195" s="202"/>
      <c r="I195" s="202"/>
      <c r="J195" s="202"/>
      <c r="K195" s="202"/>
      <c r="L195" s="202"/>
      <c r="M195" s="202"/>
      <c r="N195" s="202"/>
      <c r="O195" s="202"/>
      <c r="P195" s="202"/>
      <c r="Q195" s="202"/>
      <c r="R195" s="203"/>
    </row>
    <row r="196" spans="1:18">
      <c r="A196" s="128"/>
      <c r="B196" s="131"/>
      <c r="C196" s="129"/>
      <c r="D196" s="129"/>
      <c r="E196" s="129"/>
      <c r="F196" s="132"/>
      <c r="G196" s="201"/>
      <c r="H196" s="202"/>
      <c r="I196" s="202"/>
      <c r="J196" s="202"/>
      <c r="K196" s="202"/>
      <c r="L196" s="202"/>
      <c r="M196" s="202"/>
      <c r="N196" s="202"/>
      <c r="O196" s="202"/>
      <c r="P196" s="202"/>
      <c r="Q196" s="202"/>
      <c r="R196" s="203"/>
    </row>
    <row r="197" spans="1:18">
      <c r="A197" s="128"/>
      <c r="B197" s="131"/>
      <c r="C197" s="129"/>
      <c r="D197" s="129"/>
      <c r="E197" s="129"/>
      <c r="F197" s="132"/>
      <c r="G197" s="201"/>
      <c r="H197" s="202"/>
      <c r="I197" s="202"/>
      <c r="J197" s="202"/>
      <c r="K197" s="202"/>
      <c r="L197" s="202"/>
      <c r="M197" s="202"/>
      <c r="N197" s="202"/>
      <c r="O197" s="202"/>
      <c r="P197" s="202"/>
      <c r="Q197" s="202"/>
      <c r="R197" s="203"/>
    </row>
    <row r="198" spans="1:18">
      <c r="A198" s="128"/>
      <c r="B198" s="131"/>
      <c r="C198" s="129"/>
      <c r="D198" s="129"/>
      <c r="E198" s="129"/>
      <c r="F198" s="132"/>
      <c r="G198" s="201"/>
      <c r="H198" s="202"/>
      <c r="I198" s="202"/>
      <c r="J198" s="202"/>
      <c r="K198" s="202"/>
      <c r="L198" s="202"/>
      <c r="M198" s="202"/>
      <c r="N198" s="202"/>
      <c r="O198" s="202"/>
      <c r="P198" s="202"/>
      <c r="Q198" s="202"/>
      <c r="R198" s="203"/>
    </row>
    <row r="199" spans="1:18">
      <c r="A199" s="128"/>
      <c r="B199" s="131"/>
      <c r="C199" s="129"/>
      <c r="D199" s="129"/>
      <c r="E199" s="129"/>
      <c r="F199" s="132"/>
      <c r="G199" s="201"/>
      <c r="H199" s="202"/>
      <c r="I199" s="202"/>
      <c r="J199" s="202"/>
      <c r="K199" s="202"/>
      <c r="L199" s="202"/>
      <c r="M199" s="202"/>
      <c r="N199" s="202"/>
      <c r="O199" s="202"/>
      <c r="P199" s="202"/>
      <c r="Q199" s="202"/>
      <c r="R199" s="203"/>
    </row>
    <row r="200" spans="1:18">
      <c r="A200" s="128"/>
      <c r="B200" s="131"/>
      <c r="C200" s="129"/>
      <c r="D200" s="129"/>
      <c r="E200" s="129"/>
      <c r="F200" s="132"/>
      <c r="G200" s="201"/>
      <c r="H200" s="202"/>
      <c r="I200" s="202"/>
      <c r="J200" s="202"/>
      <c r="K200" s="202"/>
      <c r="L200" s="202"/>
      <c r="M200" s="202"/>
      <c r="N200" s="202"/>
      <c r="O200" s="202"/>
      <c r="P200" s="202"/>
      <c r="Q200" s="202"/>
      <c r="R200" s="203"/>
    </row>
    <row r="201" spans="1:18">
      <c r="A201" s="128"/>
      <c r="B201" s="131"/>
      <c r="C201" s="129"/>
      <c r="D201" s="129"/>
      <c r="E201" s="129"/>
      <c r="F201" s="132"/>
      <c r="G201" s="201"/>
      <c r="H201" s="202"/>
      <c r="I201" s="202"/>
      <c r="J201" s="202"/>
      <c r="K201" s="202"/>
      <c r="L201" s="202"/>
      <c r="M201" s="202"/>
      <c r="N201" s="202"/>
      <c r="O201" s="202"/>
      <c r="P201" s="202"/>
      <c r="Q201" s="202"/>
      <c r="R201" s="203"/>
    </row>
    <row r="202" spans="1:18">
      <c r="A202" s="128"/>
      <c r="B202" s="131"/>
      <c r="C202" s="129"/>
      <c r="D202" s="129"/>
      <c r="E202" s="129"/>
      <c r="F202" s="132"/>
      <c r="G202" s="201"/>
      <c r="H202" s="202"/>
      <c r="I202" s="202"/>
      <c r="J202" s="202"/>
      <c r="K202" s="202"/>
      <c r="L202" s="202"/>
      <c r="M202" s="202"/>
      <c r="N202" s="202"/>
      <c r="O202" s="202"/>
      <c r="P202" s="202"/>
      <c r="Q202" s="202"/>
      <c r="R202" s="203"/>
    </row>
    <row r="203" spans="1:18">
      <c r="A203" s="128"/>
      <c r="B203" s="131"/>
      <c r="C203" s="129"/>
      <c r="D203" s="129"/>
      <c r="E203" s="129"/>
      <c r="F203" s="132"/>
      <c r="G203" s="201"/>
      <c r="H203" s="202"/>
      <c r="I203" s="202"/>
      <c r="J203" s="202"/>
      <c r="K203" s="202"/>
      <c r="L203" s="202"/>
      <c r="M203" s="202"/>
      <c r="N203" s="202"/>
      <c r="O203" s="202"/>
      <c r="P203" s="202"/>
      <c r="Q203" s="202"/>
      <c r="R203" s="203"/>
    </row>
    <row r="204" spans="1:18">
      <c r="A204" s="128"/>
      <c r="B204" s="131"/>
      <c r="C204" s="129"/>
      <c r="D204" s="129"/>
      <c r="E204" s="129"/>
      <c r="F204" s="132"/>
      <c r="G204" s="201"/>
      <c r="H204" s="202"/>
      <c r="I204" s="202"/>
      <c r="J204" s="202"/>
      <c r="K204" s="202"/>
      <c r="L204" s="202"/>
      <c r="M204" s="202"/>
      <c r="N204" s="202"/>
      <c r="O204" s="202"/>
      <c r="P204" s="202"/>
      <c r="Q204" s="202"/>
      <c r="R204" s="203"/>
    </row>
    <row r="205" spans="1:18">
      <c r="A205" s="128"/>
      <c r="B205" s="131"/>
      <c r="C205" s="129"/>
      <c r="D205" s="129"/>
      <c r="E205" s="129"/>
      <c r="F205" s="132"/>
      <c r="G205" s="201"/>
      <c r="H205" s="202"/>
      <c r="I205" s="202"/>
      <c r="J205" s="202"/>
      <c r="K205" s="202"/>
      <c r="L205" s="202"/>
      <c r="M205" s="202"/>
      <c r="N205" s="202"/>
      <c r="O205" s="202"/>
      <c r="P205" s="202"/>
      <c r="Q205" s="202"/>
      <c r="R205" s="203"/>
    </row>
    <row r="206" spans="1:18">
      <c r="A206" s="128"/>
      <c r="B206" s="131"/>
      <c r="C206" s="129"/>
      <c r="D206" s="129"/>
      <c r="E206" s="129"/>
      <c r="F206" s="132"/>
      <c r="G206" s="201"/>
      <c r="H206" s="202"/>
      <c r="I206" s="202"/>
      <c r="J206" s="202"/>
      <c r="K206" s="202"/>
      <c r="L206" s="202"/>
      <c r="M206" s="202"/>
      <c r="N206" s="202"/>
      <c r="O206" s="202"/>
      <c r="P206" s="202"/>
      <c r="Q206" s="202"/>
      <c r="R206" s="203"/>
    </row>
    <row r="207" spans="1:18">
      <c r="A207" s="128"/>
      <c r="B207" s="131"/>
      <c r="C207" s="129"/>
      <c r="D207" s="129"/>
      <c r="E207" s="129"/>
      <c r="F207" s="132"/>
      <c r="G207" s="201"/>
      <c r="H207" s="202"/>
      <c r="I207" s="202"/>
      <c r="J207" s="202"/>
      <c r="K207" s="202"/>
      <c r="L207" s="202"/>
      <c r="M207" s="202"/>
      <c r="N207" s="202"/>
      <c r="O207" s="202"/>
      <c r="P207" s="202"/>
      <c r="Q207" s="202"/>
      <c r="R207" s="203"/>
    </row>
    <row r="208" spans="1:18">
      <c r="A208" s="128"/>
      <c r="B208" s="131"/>
      <c r="C208" s="129"/>
      <c r="D208" s="129"/>
      <c r="E208" s="129"/>
      <c r="F208" s="132"/>
      <c r="G208" s="201"/>
      <c r="H208" s="202"/>
      <c r="I208" s="202"/>
      <c r="J208" s="202"/>
      <c r="K208" s="202"/>
      <c r="L208" s="202"/>
      <c r="M208" s="202"/>
      <c r="N208" s="202"/>
      <c r="O208" s="202"/>
      <c r="P208" s="202"/>
      <c r="Q208" s="202"/>
      <c r="R208" s="203"/>
    </row>
    <row r="209" spans="1:18">
      <c r="A209" s="128"/>
      <c r="B209" s="131"/>
      <c r="C209" s="129"/>
      <c r="D209" s="129"/>
      <c r="E209" s="129"/>
      <c r="F209" s="132"/>
      <c r="G209" s="201"/>
      <c r="H209" s="202"/>
      <c r="I209" s="202"/>
      <c r="J209" s="202"/>
      <c r="K209" s="202"/>
      <c r="L209" s="202"/>
      <c r="M209" s="202"/>
      <c r="N209" s="202"/>
      <c r="O209" s="202"/>
      <c r="P209" s="202"/>
      <c r="Q209" s="202"/>
      <c r="R209" s="203"/>
    </row>
    <row r="210" spans="1:18">
      <c r="A210" s="128"/>
      <c r="B210" s="131"/>
      <c r="C210" s="129"/>
      <c r="D210" s="129"/>
      <c r="E210" s="129"/>
      <c r="F210" s="132"/>
      <c r="G210" s="201"/>
      <c r="H210" s="202"/>
      <c r="I210" s="202"/>
      <c r="J210" s="202"/>
      <c r="K210" s="202"/>
      <c r="L210" s="202"/>
      <c r="M210" s="202"/>
      <c r="N210" s="202"/>
      <c r="O210" s="202"/>
      <c r="P210" s="202"/>
      <c r="Q210" s="202"/>
      <c r="R210" s="203"/>
    </row>
    <row r="211" spans="1:18">
      <c r="A211" s="128"/>
      <c r="B211" s="131"/>
      <c r="C211" s="129"/>
      <c r="D211" s="129"/>
      <c r="E211" s="129"/>
      <c r="F211" s="132"/>
      <c r="G211" s="201"/>
      <c r="H211" s="202"/>
      <c r="I211" s="202"/>
      <c r="J211" s="202"/>
      <c r="K211" s="202"/>
      <c r="L211" s="202"/>
      <c r="M211" s="202"/>
      <c r="N211" s="202"/>
      <c r="O211" s="202"/>
      <c r="P211" s="202"/>
      <c r="Q211" s="202"/>
      <c r="R211" s="203"/>
    </row>
    <row r="212" spans="1:18">
      <c r="A212" s="128"/>
      <c r="B212" s="131"/>
      <c r="C212" s="129"/>
      <c r="D212" s="129"/>
      <c r="E212" s="129"/>
      <c r="F212" s="132"/>
      <c r="G212" s="201"/>
      <c r="H212" s="202"/>
      <c r="I212" s="202"/>
      <c r="J212" s="202"/>
      <c r="K212" s="202"/>
      <c r="L212" s="202"/>
      <c r="M212" s="202"/>
      <c r="N212" s="202"/>
      <c r="O212" s="202"/>
      <c r="P212" s="202"/>
      <c r="Q212" s="202"/>
      <c r="R212" s="203"/>
    </row>
    <row r="213" spans="1:18">
      <c r="A213" s="128"/>
      <c r="B213" s="131"/>
      <c r="C213" s="129"/>
      <c r="D213" s="129"/>
      <c r="E213" s="129"/>
      <c r="F213" s="132"/>
      <c r="G213" s="201"/>
      <c r="H213" s="202"/>
      <c r="I213" s="202"/>
      <c r="J213" s="202"/>
      <c r="K213" s="202"/>
      <c r="L213" s="202"/>
      <c r="M213" s="202"/>
      <c r="N213" s="202"/>
      <c r="O213" s="202"/>
      <c r="P213" s="202"/>
      <c r="Q213" s="202"/>
      <c r="R213" s="203"/>
    </row>
    <row r="214" spans="1:18">
      <c r="A214" s="128"/>
      <c r="B214" s="131"/>
      <c r="C214" s="129"/>
      <c r="D214" s="129"/>
      <c r="E214" s="129"/>
      <c r="F214" s="132"/>
      <c r="G214" s="201"/>
      <c r="H214" s="202"/>
      <c r="I214" s="202"/>
      <c r="J214" s="202"/>
      <c r="K214" s="202"/>
      <c r="L214" s="202"/>
      <c r="M214" s="202"/>
      <c r="N214" s="202"/>
      <c r="O214" s="202"/>
      <c r="P214" s="202"/>
      <c r="Q214" s="202"/>
      <c r="R214" s="203"/>
    </row>
    <row r="215" spans="1:18">
      <c r="A215" s="128"/>
      <c r="B215" s="131"/>
      <c r="C215" s="129"/>
      <c r="D215" s="129"/>
      <c r="E215" s="129"/>
      <c r="F215" s="132"/>
      <c r="G215" s="201"/>
      <c r="H215" s="202"/>
      <c r="I215" s="202"/>
      <c r="J215" s="202"/>
      <c r="K215" s="202"/>
      <c r="L215" s="202"/>
      <c r="M215" s="202"/>
      <c r="N215" s="202"/>
      <c r="O215" s="202"/>
      <c r="P215" s="202"/>
      <c r="Q215" s="202"/>
      <c r="R215" s="203"/>
    </row>
    <row r="216" spans="1:18">
      <c r="A216" s="128"/>
      <c r="B216" s="131"/>
      <c r="C216" s="129"/>
      <c r="D216" s="129"/>
      <c r="E216" s="129"/>
      <c r="F216" s="132"/>
      <c r="G216" s="201"/>
      <c r="H216" s="202"/>
      <c r="I216" s="202"/>
      <c r="J216" s="202"/>
      <c r="K216" s="202"/>
      <c r="L216" s="202"/>
      <c r="M216" s="202"/>
      <c r="N216" s="202"/>
      <c r="O216" s="202"/>
      <c r="P216" s="202"/>
      <c r="Q216" s="202"/>
      <c r="R216" s="203"/>
    </row>
    <row r="217" spans="1:18">
      <c r="A217" s="128"/>
      <c r="B217" s="131"/>
      <c r="C217" s="129"/>
      <c r="D217" s="129"/>
      <c r="E217" s="129"/>
      <c r="F217" s="132"/>
      <c r="G217" s="201"/>
      <c r="H217" s="202"/>
      <c r="I217" s="202"/>
      <c r="J217" s="202"/>
      <c r="K217" s="202"/>
      <c r="L217" s="202"/>
      <c r="M217" s="202"/>
      <c r="N217" s="202"/>
      <c r="O217" s="202"/>
      <c r="P217" s="202"/>
      <c r="Q217" s="202"/>
      <c r="R217" s="203"/>
    </row>
    <row r="218" spans="1:18">
      <c r="A218" s="128"/>
      <c r="B218" s="131"/>
      <c r="C218" s="129"/>
      <c r="D218" s="129"/>
      <c r="E218" s="129"/>
      <c r="F218" s="132"/>
      <c r="G218" s="201"/>
      <c r="H218" s="202"/>
      <c r="I218" s="202"/>
      <c r="J218" s="202"/>
      <c r="K218" s="202"/>
      <c r="L218" s="202"/>
      <c r="M218" s="202"/>
      <c r="N218" s="202"/>
      <c r="O218" s="202"/>
      <c r="P218" s="202"/>
      <c r="Q218" s="202"/>
      <c r="R218" s="203"/>
    </row>
    <row r="219" spans="1:18">
      <c r="A219" s="128"/>
      <c r="B219" s="131"/>
      <c r="C219" s="129"/>
      <c r="D219" s="129"/>
      <c r="E219" s="129"/>
      <c r="F219" s="132"/>
      <c r="G219" s="201"/>
      <c r="H219" s="202"/>
      <c r="I219" s="202"/>
      <c r="J219" s="202"/>
      <c r="K219" s="202"/>
      <c r="L219" s="202"/>
      <c r="M219" s="202"/>
      <c r="N219" s="202"/>
      <c r="O219" s="202"/>
      <c r="P219" s="202"/>
      <c r="Q219" s="202"/>
      <c r="R219" s="203"/>
    </row>
    <row r="220" spans="1:18">
      <c r="A220" s="128"/>
      <c r="B220" s="131"/>
      <c r="C220" s="129"/>
      <c r="D220" s="129"/>
      <c r="E220" s="129"/>
      <c r="F220" s="132"/>
      <c r="G220" s="201"/>
      <c r="H220" s="202"/>
      <c r="I220" s="202"/>
      <c r="J220" s="202"/>
      <c r="K220" s="202"/>
      <c r="L220" s="202"/>
      <c r="M220" s="202"/>
      <c r="N220" s="202"/>
      <c r="O220" s="202"/>
      <c r="P220" s="202"/>
      <c r="Q220" s="202"/>
      <c r="R220" s="203"/>
    </row>
    <row r="221" spans="1:18">
      <c r="A221" s="128"/>
      <c r="B221" s="131"/>
      <c r="C221" s="129"/>
      <c r="D221" s="129"/>
      <c r="E221" s="129"/>
      <c r="F221" s="132"/>
      <c r="G221" s="201"/>
      <c r="H221" s="202"/>
      <c r="I221" s="202"/>
      <c r="J221" s="202"/>
      <c r="K221" s="202"/>
      <c r="L221" s="202"/>
      <c r="M221" s="202"/>
      <c r="N221" s="202"/>
      <c r="O221" s="202"/>
      <c r="P221" s="202"/>
      <c r="Q221" s="202"/>
      <c r="R221" s="203"/>
    </row>
    <row r="222" spans="1:18">
      <c r="A222" s="128"/>
      <c r="B222" s="131"/>
      <c r="C222" s="129"/>
      <c r="D222" s="129"/>
      <c r="E222" s="129"/>
      <c r="F222" s="132"/>
      <c r="G222" s="201"/>
      <c r="H222" s="202"/>
      <c r="I222" s="202"/>
      <c r="J222" s="202"/>
      <c r="K222" s="202"/>
      <c r="L222" s="202"/>
      <c r="M222" s="202"/>
      <c r="N222" s="202"/>
      <c r="O222" s="202"/>
      <c r="P222" s="202"/>
      <c r="Q222" s="202"/>
      <c r="R222" s="203"/>
    </row>
    <row r="223" spans="1:18">
      <c r="A223" s="128"/>
      <c r="B223" s="131"/>
      <c r="C223" s="129"/>
      <c r="D223" s="129"/>
      <c r="E223" s="129"/>
      <c r="F223" s="132"/>
      <c r="G223" s="201"/>
      <c r="H223" s="202"/>
      <c r="I223" s="202"/>
      <c r="J223" s="202"/>
      <c r="K223" s="202"/>
      <c r="L223" s="202"/>
      <c r="M223" s="202"/>
      <c r="N223" s="202"/>
      <c r="O223" s="202"/>
      <c r="P223" s="202"/>
      <c r="Q223" s="202"/>
      <c r="R223" s="203"/>
    </row>
    <row r="224" spans="1:18">
      <c r="A224" s="128"/>
      <c r="B224" s="131"/>
      <c r="C224" s="129"/>
      <c r="D224" s="129"/>
      <c r="E224" s="129"/>
      <c r="F224" s="132"/>
      <c r="G224" s="201"/>
      <c r="H224" s="202"/>
      <c r="I224" s="202"/>
      <c r="J224" s="202"/>
      <c r="K224" s="202"/>
      <c r="L224" s="202"/>
      <c r="M224" s="202"/>
      <c r="N224" s="202"/>
      <c r="O224" s="202"/>
      <c r="P224" s="202"/>
      <c r="Q224" s="202"/>
      <c r="R224" s="203"/>
    </row>
    <row r="225" spans="1:18">
      <c r="A225" s="128"/>
      <c r="B225" s="131"/>
      <c r="C225" s="129"/>
      <c r="D225" s="129"/>
      <c r="E225" s="129"/>
      <c r="F225" s="132"/>
      <c r="G225" s="201"/>
      <c r="H225" s="202"/>
      <c r="I225" s="202"/>
      <c r="J225" s="202"/>
      <c r="K225" s="202"/>
      <c r="L225" s="202"/>
      <c r="M225" s="202"/>
      <c r="N225" s="202"/>
      <c r="O225" s="202"/>
      <c r="P225" s="202"/>
      <c r="Q225" s="202"/>
      <c r="R225" s="203"/>
    </row>
    <row r="226" spans="1:18">
      <c r="A226" s="128"/>
      <c r="B226" s="131"/>
      <c r="C226" s="129"/>
      <c r="D226" s="129"/>
      <c r="E226" s="129"/>
      <c r="F226" s="132"/>
      <c r="G226" s="201"/>
      <c r="H226" s="202"/>
      <c r="I226" s="202"/>
      <c r="J226" s="202"/>
      <c r="K226" s="202"/>
      <c r="L226" s="202"/>
      <c r="M226" s="202"/>
      <c r="N226" s="202"/>
      <c r="O226" s="202"/>
      <c r="P226" s="202"/>
      <c r="Q226" s="202"/>
      <c r="R226" s="203"/>
    </row>
    <row r="227" spans="1:18">
      <c r="A227" s="128"/>
      <c r="B227" s="131"/>
      <c r="C227" s="129"/>
      <c r="D227" s="129"/>
      <c r="E227" s="129"/>
      <c r="F227" s="132"/>
      <c r="G227" s="201"/>
      <c r="H227" s="202"/>
      <c r="I227" s="202"/>
      <c r="J227" s="202"/>
      <c r="K227" s="202"/>
      <c r="L227" s="202"/>
      <c r="M227" s="202"/>
      <c r="N227" s="202"/>
      <c r="O227" s="202"/>
      <c r="P227" s="202"/>
      <c r="Q227" s="202"/>
      <c r="R227" s="203"/>
    </row>
    <row r="228" spans="1:18">
      <c r="A228" s="128"/>
      <c r="B228" s="131"/>
      <c r="C228" s="129"/>
      <c r="D228" s="129"/>
      <c r="E228" s="129"/>
      <c r="F228" s="132"/>
      <c r="G228" s="201"/>
      <c r="H228" s="202"/>
      <c r="I228" s="202"/>
      <c r="J228" s="202"/>
      <c r="K228" s="202"/>
      <c r="L228" s="202"/>
      <c r="M228" s="202"/>
      <c r="N228" s="202"/>
      <c r="O228" s="202"/>
      <c r="P228" s="202"/>
      <c r="Q228" s="202"/>
      <c r="R228" s="203"/>
    </row>
    <row r="229" spans="1:18">
      <c r="A229" s="128"/>
      <c r="B229" s="131"/>
      <c r="C229" s="129"/>
      <c r="D229" s="129"/>
      <c r="E229" s="129"/>
      <c r="F229" s="132"/>
      <c r="G229" s="201"/>
      <c r="H229" s="202"/>
      <c r="I229" s="202"/>
      <c r="J229" s="202"/>
      <c r="K229" s="202"/>
      <c r="L229" s="202"/>
      <c r="M229" s="202"/>
      <c r="N229" s="202"/>
      <c r="O229" s="202"/>
      <c r="P229" s="202"/>
      <c r="Q229" s="202"/>
      <c r="R229" s="203"/>
    </row>
    <row r="230" spans="1:18">
      <c r="A230" s="128"/>
      <c r="B230" s="131"/>
      <c r="C230" s="129"/>
      <c r="D230" s="129"/>
      <c r="E230" s="129"/>
      <c r="F230" s="132"/>
      <c r="G230" s="201"/>
      <c r="H230" s="202"/>
      <c r="I230" s="202"/>
      <c r="J230" s="202"/>
      <c r="K230" s="202"/>
      <c r="L230" s="202"/>
      <c r="M230" s="202"/>
      <c r="N230" s="202"/>
      <c r="O230" s="202"/>
      <c r="P230" s="202"/>
      <c r="Q230" s="202"/>
      <c r="R230" s="203"/>
    </row>
    <row r="231" spans="1:18">
      <c r="A231" s="128"/>
      <c r="B231" s="131"/>
      <c r="C231" s="129"/>
      <c r="D231" s="129"/>
      <c r="E231" s="129"/>
      <c r="F231" s="132"/>
      <c r="G231" s="201"/>
      <c r="H231" s="202"/>
      <c r="I231" s="202"/>
      <c r="J231" s="202"/>
      <c r="K231" s="202"/>
      <c r="L231" s="202"/>
      <c r="M231" s="202"/>
      <c r="N231" s="202"/>
      <c r="O231" s="202"/>
      <c r="P231" s="202"/>
      <c r="Q231" s="202"/>
      <c r="R231" s="203"/>
    </row>
    <row r="232" spans="1:18">
      <c r="A232" s="128"/>
      <c r="B232" s="131"/>
      <c r="C232" s="129"/>
      <c r="D232" s="129"/>
      <c r="E232" s="129"/>
      <c r="F232" s="132"/>
      <c r="G232" s="201"/>
      <c r="H232" s="202"/>
      <c r="I232" s="202"/>
      <c r="J232" s="202"/>
      <c r="K232" s="202"/>
      <c r="L232" s="202"/>
      <c r="M232" s="202"/>
      <c r="N232" s="202"/>
      <c r="O232" s="202"/>
      <c r="P232" s="202"/>
      <c r="Q232" s="202"/>
      <c r="R232" s="203"/>
    </row>
    <row r="233" spans="1:18">
      <c r="A233" s="128"/>
      <c r="B233" s="131"/>
      <c r="C233" s="129"/>
      <c r="D233" s="129"/>
      <c r="E233" s="129"/>
      <c r="F233" s="132"/>
      <c r="G233" s="201"/>
      <c r="H233" s="202"/>
      <c r="I233" s="202"/>
      <c r="J233" s="202"/>
      <c r="K233" s="202"/>
      <c r="L233" s="202"/>
      <c r="M233" s="202"/>
      <c r="N233" s="202"/>
      <c r="O233" s="202"/>
      <c r="P233" s="202"/>
      <c r="Q233" s="202"/>
      <c r="R233" s="203"/>
    </row>
    <row r="234" spans="1:18">
      <c r="A234" s="128"/>
      <c r="B234" s="131"/>
      <c r="C234" s="129"/>
      <c r="D234" s="129"/>
      <c r="E234" s="129"/>
      <c r="F234" s="132"/>
      <c r="G234" s="201"/>
      <c r="H234" s="202"/>
      <c r="I234" s="202"/>
      <c r="J234" s="202"/>
      <c r="K234" s="202"/>
      <c r="L234" s="202"/>
      <c r="M234" s="202"/>
      <c r="N234" s="202"/>
      <c r="O234" s="202"/>
      <c r="P234" s="202"/>
      <c r="Q234" s="202"/>
      <c r="R234" s="203"/>
    </row>
    <row r="235" spans="1:18">
      <c r="A235" s="128"/>
      <c r="B235" s="131"/>
      <c r="C235" s="129"/>
      <c r="D235" s="129"/>
      <c r="E235" s="129"/>
      <c r="F235" s="132"/>
      <c r="G235" s="201"/>
      <c r="H235" s="202"/>
      <c r="I235" s="202"/>
      <c r="J235" s="202"/>
      <c r="K235" s="202"/>
      <c r="L235" s="202"/>
      <c r="M235" s="202"/>
      <c r="N235" s="202"/>
      <c r="O235" s="202"/>
      <c r="P235" s="202"/>
      <c r="Q235" s="202"/>
      <c r="R235" s="203"/>
    </row>
    <row r="236" spans="1:18">
      <c r="A236" s="128"/>
      <c r="B236" s="131"/>
      <c r="C236" s="129"/>
      <c r="D236" s="129"/>
      <c r="E236" s="129"/>
      <c r="F236" s="132"/>
      <c r="G236" s="201"/>
      <c r="H236" s="202"/>
      <c r="I236" s="202"/>
      <c r="J236" s="202"/>
      <c r="K236" s="202"/>
      <c r="L236" s="202"/>
      <c r="M236" s="202"/>
      <c r="N236" s="202"/>
      <c r="O236" s="202"/>
      <c r="P236" s="202"/>
      <c r="Q236" s="202"/>
      <c r="R236" s="203"/>
    </row>
    <row r="237" spans="1:18">
      <c r="A237" s="128"/>
      <c r="B237" s="131"/>
      <c r="C237" s="129"/>
      <c r="D237" s="129"/>
      <c r="E237" s="129"/>
      <c r="F237" s="132"/>
      <c r="G237" s="201"/>
      <c r="H237" s="202"/>
      <c r="I237" s="202"/>
      <c r="J237" s="202"/>
      <c r="K237" s="202"/>
      <c r="L237" s="202"/>
      <c r="M237" s="202"/>
      <c r="N237" s="202"/>
      <c r="O237" s="202"/>
      <c r="P237" s="202"/>
      <c r="Q237" s="202"/>
      <c r="R237" s="203"/>
    </row>
    <row r="238" spans="1:18">
      <c r="A238" s="128"/>
      <c r="B238" s="131"/>
      <c r="C238" s="129"/>
      <c r="D238" s="129"/>
      <c r="E238" s="129"/>
      <c r="F238" s="132"/>
      <c r="G238" s="201"/>
      <c r="H238" s="202"/>
      <c r="I238" s="202"/>
      <c r="J238" s="202"/>
      <c r="K238" s="202"/>
      <c r="L238" s="202"/>
      <c r="M238" s="202"/>
      <c r="N238" s="202"/>
      <c r="O238" s="202"/>
      <c r="P238" s="202"/>
      <c r="Q238" s="202"/>
      <c r="R238" s="203"/>
    </row>
    <row r="239" spans="1:18">
      <c r="A239" s="128"/>
      <c r="B239" s="131"/>
      <c r="C239" s="129"/>
      <c r="D239" s="129"/>
      <c r="E239" s="129"/>
      <c r="F239" s="132"/>
      <c r="G239" s="201"/>
      <c r="H239" s="202"/>
      <c r="I239" s="202"/>
      <c r="J239" s="202"/>
      <c r="K239" s="202"/>
      <c r="L239" s="202"/>
      <c r="M239" s="202"/>
      <c r="N239" s="202"/>
      <c r="O239" s="202"/>
      <c r="P239" s="202"/>
      <c r="Q239" s="202"/>
      <c r="R239" s="203"/>
    </row>
    <row r="240" spans="1:18">
      <c r="A240" s="128"/>
      <c r="B240" s="131"/>
      <c r="C240" s="129"/>
      <c r="D240" s="129"/>
      <c r="E240" s="129"/>
      <c r="F240" s="132"/>
      <c r="G240" s="201"/>
      <c r="H240" s="202"/>
      <c r="I240" s="202"/>
      <c r="J240" s="202"/>
      <c r="K240" s="202"/>
      <c r="L240" s="202"/>
      <c r="M240" s="202"/>
      <c r="N240" s="202"/>
      <c r="O240" s="202"/>
      <c r="P240" s="202"/>
      <c r="Q240" s="202"/>
      <c r="R240" s="203"/>
    </row>
    <row r="241" spans="1:18">
      <c r="A241" s="128"/>
      <c r="B241" s="131"/>
      <c r="C241" s="129"/>
      <c r="D241" s="129"/>
      <c r="E241" s="129"/>
      <c r="F241" s="132"/>
      <c r="G241" s="201"/>
      <c r="H241" s="202"/>
      <c r="I241" s="202"/>
      <c r="J241" s="202"/>
      <c r="K241" s="202"/>
      <c r="L241" s="202"/>
      <c r="M241" s="202"/>
      <c r="N241" s="202"/>
      <c r="O241" s="202"/>
      <c r="P241" s="202"/>
      <c r="Q241" s="202"/>
      <c r="R241" s="203"/>
    </row>
    <row r="242" spans="1:18">
      <c r="A242" s="128"/>
      <c r="B242" s="131"/>
      <c r="C242" s="129"/>
      <c r="D242" s="129"/>
      <c r="E242" s="129"/>
      <c r="F242" s="132"/>
      <c r="G242" s="201"/>
      <c r="H242" s="202"/>
      <c r="I242" s="202"/>
      <c r="J242" s="202"/>
      <c r="K242" s="202"/>
      <c r="L242" s="202"/>
      <c r="M242" s="202"/>
      <c r="N242" s="202"/>
      <c r="O242" s="202"/>
      <c r="P242" s="202"/>
      <c r="Q242" s="202"/>
      <c r="R242" s="203"/>
    </row>
    <row r="243" spans="1:18">
      <c r="A243" s="128"/>
      <c r="B243" s="131"/>
      <c r="C243" s="129"/>
      <c r="D243" s="129"/>
      <c r="E243" s="129"/>
      <c r="F243" s="132"/>
      <c r="G243" s="201"/>
      <c r="H243" s="202"/>
      <c r="I243" s="202"/>
      <c r="J243" s="202"/>
      <c r="K243" s="202"/>
      <c r="L243" s="202"/>
      <c r="M243" s="202"/>
      <c r="N243" s="202"/>
      <c r="O243" s="202"/>
      <c r="P243" s="202"/>
      <c r="Q243" s="202"/>
      <c r="R243" s="203"/>
    </row>
    <row r="244" spans="1:18">
      <c r="A244" s="128"/>
      <c r="B244" s="131"/>
      <c r="C244" s="129"/>
      <c r="D244" s="129"/>
      <c r="E244" s="129"/>
      <c r="F244" s="132"/>
      <c r="G244" s="201"/>
      <c r="H244" s="202"/>
      <c r="I244" s="202"/>
      <c r="J244" s="202"/>
      <c r="K244" s="202"/>
      <c r="L244" s="202"/>
      <c r="M244" s="202"/>
      <c r="N244" s="202"/>
      <c r="O244" s="202"/>
      <c r="P244" s="202"/>
      <c r="Q244" s="202"/>
      <c r="R244" s="203"/>
    </row>
    <row r="245" spans="1:18">
      <c r="A245" s="128"/>
      <c r="B245" s="131"/>
      <c r="C245" s="129"/>
      <c r="D245" s="129"/>
      <c r="E245" s="129"/>
      <c r="F245" s="132"/>
      <c r="G245" s="201"/>
      <c r="H245" s="202"/>
      <c r="I245" s="202"/>
      <c r="J245" s="202"/>
      <c r="K245" s="202"/>
      <c r="L245" s="202"/>
      <c r="M245" s="202"/>
      <c r="N245" s="202"/>
      <c r="O245" s="202"/>
      <c r="P245" s="202"/>
      <c r="Q245" s="202"/>
      <c r="R245" s="203"/>
    </row>
    <row r="246" spans="1:18">
      <c r="A246" s="128"/>
      <c r="B246" s="131"/>
      <c r="C246" s="129"/>
      <c r="D246" s="129"/>
      <c r="E246" s="129"/>
      <c r="F246" s="132"/>
      <c r="G246" s="201"/>
      <c r="H246" s="202"/>
      <c r="I246" s="202"/>
      <c r="J246" s="202"/>
      <c r="K246" s="202"/>
      <c r="L246" s="202"/>
      <c r="M246" s="202"/>
      <c r="N246" s="202"/>
      <c r="O246" s="202"/>
      <c r="P246" s="202"/>
      <c r="Q246" s="202"/>
      <c r="R246" s="203"/>
    </row>
    <row r="247" spans="1:18">
      <c r="A247" s="128"/>
      <c r="B247" s="131"/>
      <c r="C247" s="129"/>
      <c r="D247" s="129"/>
      <c r="E247" s="129"/>
      <c r="F247" s="132"/>
      <c r="G247" s="201"/>
      <c r="H247" s="202"/>
      <c r="I247" s="202"/>
      <c r="J247" s="202"/>
      <c r="K247" s="202"/>
      <c r="L247" s="202"/>
      <c r="M247" s="202"/>
      <c r="N247" s="202"/>
      <c r="O247" s="202"/>
      <c r="P247" s="202"/>
      <c r="Q247" s="202"/>
      <c r="R247" s="203"/>
    </row>
    <row r="248" spans="1:18">
      <c r="A248" s="128"/>
      <c r="B248" s="131"/>
      <c r="C248" s="129"/>
      <c r="D248" s="129"/>
      <c r="E248" s="129"/>
      <c r="F248" s="132"/>
      <c r="G248" s="201"/>
      <c r="H248" s="202"/>
      <c r="I248" s="202"/>
      <c r="J248" s="202"/>
      <c r="K248" s="202"/>
      <c r="L248" s="202"/>
      <c r="M248" s="202"/>
      <c r="N248" s="202"/>
      <c r="O248" s="202"/>
      <c r="P248" s="202"/>
      <c r="Q248" s="202"/>
      <c r="R248" s="203"/>
    </row>
    <row r="249" spans="1:18">
      <c r="A249" s="128"/>
      <c r="B249" s="131"/>
      <c r="C249" s="129"/>
      <c r="D249" s="129"/>
      <c r="E249" s="129"/>
      <c r="F249" s="132"/>
      <c r="G249" s="201"/>
      <c r="H249" s="202"/>
      <c r="I249" s="202"/>
      <c r="J249" s="202"/>
      <c r="K249" s="202"/>
      <c r="L249" s="202"/>
      <c r="M249" s="202"/>
      <c r="N249" s="202"/>
      <c r="O249" s="202"/>
      <c r="P249" s="202"/>
      <c r="Q249" s="202"/>
      <c r="R249" s="203"/>
    </row>
    <row r="250" spans="1:18">
      <c r="A250" s="128"/>
      <c r="B250" s="131"/>
      <c r="C250" s="129"/>
      <c r="D250" s="129"/>
      <c r="E250" s="129"/>
      <c r="F250" s="132"/>
      <c r="G250" s="201"/>
      <c r="H250" s="202"/>
      <c r="I250" s="202"/>
      <c r="J250" s="202"/>
      <c r="K250" s="202"/>
      <c r="L250" s="202"/>
      <c r="M250" s="202"/>
      <c r="N250" s="202"/>
      <c r="O250" s="202"/>
      <c r="P250" s="202"/>
      <c r="Q250" s="202"/>
      <c r="R250" s="203"/>
    </row>
    <row r="251" spans="1:18">
      <c r="A251" s="128"/>
      <c r="B251" s="131"/>
      <c r="C251" s="129"/>
      <c r="D251" s="129"/>
      <c r="E251" s="129"/>
      <c r="F251" s="132"/>
      <c r="G251" s="201"/>
      <c r="H251" s="202"/>
      <c r="I251" s="202"/>
      <c r="J251" s="202"/>
      <c r="K251" s="202"/>
      <c r="L251" s="202"/>
      <c r="M251" s="202"/>
      <c r="N251" s="202"/>
      <c r="O251" s="202"/>
      <c r="P251" s="202"/>
      <c r="Q251" s="202"/>
      <c r="R251" s="203"/>
    </row>
    <row r="252" spans="1:18">
      <c r="A252" s="128"/>
      <c r="B252" s="131"/>
      <c r="C252" s="129"/>
      <c r="D252" s="129"/>
      <c r="E252" s="129"/>
      <c r="F252" s="132"/>
      <c r="G252" s="201"/>
      <c r="H252" s="202"/>
      <c r="I252" s="202"/>
      <c r="J252" s="202"/>
      <c r="K252" s="202"/>
      <c r="L252" s="202"/>
      <c r="M252" s="202"/>
      <c r="N252" s="202"/>
      <c r="O252" s="202"/>
      <c r="P252" s="202"/>
      <c r="Q252" s="202"/>
      <c r="R252" s="203"/>
    </row>
    <row r="253" spans="1:18">
      <c r="A253" s="128"/>
      <c r="B253" s="131"/>
      <c r="C253" s="129"/>
      <c r="D253" s="129"/>
      <c r="E253" s="129"/>
      <c r="F253" s="132"/>
      <c r="G253" s="201"/>
      <c r="H253" s="202"/>
      <c r="I253" s="202"/>
      <c r="J253" s="202"/>
      <c r="K253" s="202"/>
      <c r="L253" s="202"/>
      <c r="M253" s="202"/>
      <c r="N253" s="202"/>
      <c r="O253" s="202"/>
      <c r="P253" s="202"/>
      <c r="Q253" s="202"/>
      <c r="R253" s="203"/>
    </row>
    <row r="254" spans="1:18">
      <c r="A254" s="128"/>
      <c r="B254" s="131"/>
      <c r="C254" s="129"/>
      <c r="D254" s="129"/>
      <c r="E254" s="129"/>
      <c r="F254" s="132"/>
      <c r="G254" s="201"/>
      <c r="H254" s="202"/>
      <c r="I254" s="202"/>
      <c r="J254" s="202"/>
      <c r="K254" s="202"/>
      <c r="L254" s="202"/>
      <c r="M254" s="202"/>
      <c r="N254" s="202"/>
      <c r="O254" s="202"/>
      <c r="P254" s="202"/>
      <c r="Q254" s="202"/>
      <c r="R254" s="203"/>
    </row>
    <row r="255" spans="1:18">
      <c r="A255" s="128"/>
      <c r="B255" s="131"/>
      <c r="C255" s="129"/>
      <c r="D255" s="129"/>
      <c r="E255" s="129"/>
      <c r="F255" s="132"/>
      <c r="G255" s="201"/>
      <c r="H255" s="202"/>
      <c r="I255" s="202"/>
      <c r="J255" s="202"/>
      <c r="K255" s="202"/>
      <c r="L255" s="202"/>
      <c r="M255" s="202"/>
      <c r="N255" s="202"/>
      <c r="O255" s="202"/>
      <c r="P255" s="202"/>
      <c r="Q255" s="202"/>
      <c r="R255" s="203"/>
    </row>
    <row r="256" spans="1:18">
      <c r="A256" s="128"/>
      <c r="B256" s="131"/>
      <c r="C256" s="129"/>
      <c r="D256" s="129"/>
      <c r="E256" s="129"/>
      <c r="F256" s="132"/>
      <c r="G256" s="201"/>
      <c r="H256" s="202"/>
      <c r="I256" s="202"/>
      <c r="J256" s="202"/>
      <c r="K256" s="202"/>
      <c r="L256" s="202"/>
      <c r="M256" s="202"/>
      <c r="N256" s="202"/>
      <c r="O256" s="202"/>
      <c r="P256" s="202"/>
      <c r="Q256" s="202"/>
      <c r="R256" s="203"/>
    </row>
    <row r="257" spans="1:18">
      <c r="A257" s="128"/>
      <c r="B257" s="131"/>
      <c r="C257" s="129"/>
      <c r="D257" s="129"/>
      <c r="E257" s="129"/>
      <c r="F257" s="132"/>
      <c r="G257" s="201"/>
      <c r="H257" s="202"/>
      <c r="I257" s="202"/>
      <c r="J257" s="202"/>
      <c r="K257" s="202"/>
      <c r="L257" s="202"/>
      <c r="M257" s="202"/>
      <c r="N257" s="202"/>
      <c r="O257" s="202"/>
      <c r="P257" s="202"/>
      <c r="Q257" s="202"/>
      <c r="R257" s="203"/>
    </row>
    <row r="258" spans="1:18">
      <c r="A258" s="128"/>
      <c r="B258" s="131"/>
      <c r="C258" s="129"/>
      <c r="D258" s="129"/>
      <c r="E258" s="129"/>
      <c r="F258" s="132"/>
      <c r="G258" s="201"/>
      <c r="H258" s="202"/>
      <c r="I258" s="202"/>
      <c r="J258" s="202"/>
      <c r="K258" s="202"/>
      <c r="L258" s="202"/>
      <c r="M258" s="202"/>
      <c r="N258" s="202"/>
      <c r="O258" s="202"/>
      <c r="P258" s="202"/>
      <c r="Q258" s="202"/>
      <c r="R258" s="203"/>
    </row>
    <row r="259" spans="1:18">
      <c r="A259" s="128"/>
      <c r="B259" s="131"/>
      <c r="C259" s="129"/>
      <c r="D259" s="129"/>
      <c r="E259" s="129"/>
      <c r="F259" s="132"/>
      <c r="G259" s="201"/>
      <c r="H259" s="202"/>
      <c r="I259" s="202"/>
      <c r="J259" s="202"/>
      <c r="K259" s="202"/>
      <c r="L259" s="202"/>
      <c r="M259" s="202"/>
      <c r="N259" s="202"/>
      <c r="O259" s="202"/>
      <c r="P259" s="202"/>
      <c r="Q259" s="202"/>
      <c r="R259" s="203"/>
    </row>
    <row r="260" spans="1:18">
      <c r="A260" s="128"/>
      <c r="B260" s="131"/>
      <c r="C260" s="129"/>
      <c r="D260" s="129"/>
      <c r="E260" s="129"/>
      <c r="F260" s="132"/>
      <c r="G260" s="201"/>
      <c r="H260" s="202"/>
      <c r="I260" s="202"/>
      <c r="J260" s="202"/>
      <c r="K260" s="202"/>
      <c r="L260" s="202"/>
      <c r="M260" s="202"/>
      <c r="N260" s="202"/>
      <c r="O260" s="202"/>
      <c r="P260" s="202"/>
      <c r="Q260" s="202"/>
      <c r="R260" s="203"/>
    </row>
    <row r="261" spans="1:18">
      <c r="A261" s="128"/>
      <c r="B261" s="131"/>
      <c r="C261" s="129"/>
      <c r="D261" s="129"/>
      <c r="E261" s="129"/>
      <c r="F261" s="132"/>
      <c r="G261" s="201"/>
      <c r="H261" s="202"/>
      <c r="I261" s="202"/>
      <c r="J261" s="202"/>
      <c r="K261" s="202"/>
      <c r="L261" s="202"/>
      <c r="M261" s="202"/>
      <c r="N261" s="202"/>
      <c r="O261" s="202"/>
      <c r="P261" s="202"/>
      <c r="Q261" s="202"/>
      <c r="R261" s="203"/>
    </row>
    <row r="262" spans="1:18">
      <c r="A262" s="128"/>
      <c r="B262" s="131"/>
      <c r="C262" s="129"/>
      <c r="D262" s="129"/>
      <c r="E262" s="129"/>
      <c r="F262" s="132"/>
      <c r="G262" s="201"/>
      <c r="H262" s="202"/>
      <c r="I262" s="202"/>
      <c r="J262" s="202"/>
      <c r="K262" s="202"/>
      <c r="L262" s="202"/>
      <c r="M262" s="202"/>
      <c r="N262" s="202"/>
      <c r="O262" s="202"/>
      <c r="P262" s="202"/>
      <c r="Q262" s="202"/>
      <c r="R262" s="203"/>
    </row>
    <row r="263" spans="1:18">
      <c r="A263" s="128"/>
      <c r="B263" s="131"/>
      <c r="C263" s="129"/>
      <c r="D263" s="129"/>
      <c r="E263" s="129"/>
      <c r="F263" s="132"/>
      <c r="G263" s="201"/>
      <c r="H263" s="202"/>
      <c r="I263" s="202"/>
      <c r="J263" s="202"/>
      <c r="K263" s="202"/>
      <c r="L263" s="202"/>
      <c r="M263" s="202"/>
      <c r="N263" s="202"/>
      <c r="O263" s="202"/>
      <c r="P263" s="202"/>
      <c r="Q263" s="202"/>
      <c r="R263" s="203"/>
    </row>
    <row r="264" spans="1:18">
      <c r="A264" s="128"/>
      <c r="B264" s="131"/>
      <c r="C264" s="129"/>
      <c r="D264" s="129"/>
      <c r="E264" s="129"/>
      <c r="F264" s="132"/>
      <c r="G264" s="201"/>
      <c r="H264" s="202"/>
      <c r="I264" s="202"/>
      <c r="J264" s="202"/>
      <c r="K264" s="202"/>
      <c r="L264" s="202"/>
      <c r="M264" s="202"/>
      <c r="N264" s="202"/>
      <c r="O264" s="202"/>
      <c r="P264" s="202"/>
      <c r="Q264" s="202"/>
      <c r="R264" s="203"/>
    </row>
    <row r="265" spans="1:18">
      <c r="A265" s="128"/>
      <c r="B265" s="131"/>
      <c r="C265" s="129"/>
      <c r="D265" s="129"/>
      <c r="E265" s="129"/>
      <c r="F265" s="132"/>
      <c r="G265" s="201"/>
      <c r="H265" s="202"/>
      <c r="I265" s="202"/>
      <c r="J265" s="202"/>
      <c r="K265" s="202"/>
      <c r="L265" s="202"/>
      <c r="M265" s="202"/>
      <c r="N265" s="202"/>
      <c r="O265" s="202"/>
      <c r="P265" s="202"/>
      <c r="Q265" s="202"/>
      <c r="R265" s="203"/>
    </row>
    <row r="266" spans="1:18">
      <c r="A266" s="128"/>
      <c r="B266" s="131"/>
      <c r="C266" s="129"/>
      <c r="D266" s="129"/>
      <c r="E266" s="129"/>
      <c r="F266" s="132"/>
      <c r="G266" s="201"/>
      <c r="H266" s="202"/>
      <c r="I266" s="202"/>
      <c r="J266" s="202"/>
      <c r="K266" s="202"/>
      <c r="L266" s="202"/>
      <c r="M266" s="202"/>
      <c r="N266" s="202"/>
      <c r="O266" s="202"/>
      <c r="P266" s="202"/>
      <c r="Q266" s="202"/>
      <c r="R266" s="203"/>
    </row>
    <row r="267" spans="1:18">
      <c r="A267" s="128"/>
      <c r="B267" s="131"/>
      <c r="C267" s="129"/>
      <c r="D267" s="129"/>
      <c r="E267" s="129"/>
      <c r="F267" s="132"/>
      <c r="G267" s="201"/>
      <c r="H267" s="202"/>
      <c r="I267" s="202"/>
      <c r="J267" s="202"/>
      <c r="K267" s="202"/>
      <c r="L267" s="202"/>
      <c r="M267" s="202"/>
      <c r="N267" s="202"/>
      <c r="O267" s="202"/>
      <c r="P267" s="202"/>
      <c r="Q267" s="202"/>
      <c r="R267" s="203"/>
    </row>
    <row r="268" spans="1:18">
      <c r="A268" s="128"/>
      <c r="B268" s="131"/>
      <c r="C268" s="129"/>
      <c r="D268" s="129"/>
      <c r="E268" s="129"/>
      <c r="F268" s="132"/>
      <c r="G268" s="201"/>
      <c r="H268" s="202"/>
      <c r="I268" s="202"/>
      <c r="J268" s="202"/>
      <c r="K268" s="202"/>
      <c r="L268" s="202"/>
      <c r="M268" s="202"/>
      <c r="N268" s="202"/>
      <c r="O268" s="202"/>
      <c r="P268" s="202"/>
      <c r="Q268" s="202"/>
      <c r="R268" s="203"/>
    </row>
    <row r="269" spans="1:18">
      <c r="A269" s="128"/>
      <c r="B269" s="131"/>
      <c r="C269" s="129"/>
      <c r="D269" s="129"/>
      <c r="E269" s="129"/>
      <c r="F269" s="132"/>
      <c r="G269" s="201"/>
      <c r="H269" s="202"/>
      <c r="I269" s="202"/>
      <c r="J269" s="202"/>
      <c r="K269" s="202"/>
      <c r="L269" s="202"/>
      <c r="M269" s="202"/>
      <c r="N269" s="202"/>
      <c r="O269" s="202"/>
      <c r="P269" s="202"/>
      <c r="Q269" s="202"/>
      <c r="R269" s="203"/>
    </row>
    <row r="270" spans="1:18">
      <c r="A270" s="128"/>
      <c r="B270" s="131"/>
      <c r="C270" s="129"/>
      <c r="D270" s="129"/>
      <c r="E270" s="129"/>
      <c r="F270" s="132"/>
      <c r="G270" s="201"/>
      <c r="H270" s="202"/>
      <c r="I270" s="202"/>
      <c r="J270" s="202"/>
      <c r="K270" s="202"/>
      <c r="L270" s="202"/>
      <c r="M270" s="202"/>
      <c r="N270" s="202"/>
      <c r="O270" s="202"/>
      <c r="P270" s="202"/>
      <c r="Q270" s="202"/>
      <c r="R270" s="203"/>
    </row>
    <row r="271" spans="1:18">
      <c r="A271" s="128"/>
      <c r="B271" s="131"/>
      <c r="C271" s="129"/>
      <c r="D271" s="129"/>
      <c r="E271" s="129"/>
      <c r="F271" s="132"/>
      <c r="G271" s="201"/>
      <c r="H271" s="202"/>
      <c r="I271" s="202"/>
      <c r="J271" s="202"/>
      <c r="K271" s="202"/>
      <c r="L271" s="202"/>
      <c r="M271" s="202"/>
      <c r="N271" s="202"/>
      <c r="O271" s="202"/>
      <c r="P271" s="202"/>
      <c r="Q271" s="202"/>
      <c r="R271" s="203"/>
    </row>
    <row r="272" spans="1:18">
      <c r="A272" s="128"/>
      <c r="B272" s="131"/>
      <c r="C272" s="129"/>
      <c r="D272" s="129"/>
      <c r="E272" s="129"/>
      <c r="F272" s="132"/>
      <c r="G272" s="201"/>
      <c r="H272" s="202"/>
      <c r="I272" s="202"/>
      <c r="J272" s="202"/>
      <c r="K272" s="202"/>
      <c r="L272" s="202"/>
      <c r="M272" s="202"/>
      <c r="N272" s="202"/>
      <c r="O272" s="202"/>
      <c r="P272" s="202"/>
      <c r="Q272" s="202"/>
      <c r="R272" s="203"/>
    </row>
    <row r="273" spans="1:18">
      <c r="A273" s="128"/>
      <c r="B273" s="131"/>
      <c r="C273" s="129"/>
      <c r="D273" s="129"/>
      <c r="E273" s="129"/>
      <c r="F273" s="132"/>
      <c r="G273" s="201"/>
      <c r="H273" s="202"/>
      <c r="I273" s="202"/>
      <c r="J273" s="202"/>
      <c r="K273" s="202"/>
      <c r="L273" s="202"/>
      <c r="M273" s="202"/>
      <c r="N273" s="202"/>
      <c r="O273" s="202"/>
      <c r="P273" s="202"/>
      <c r="Q273" s="202"/>
      <c r="R273" s="203"/>
    </row>
    <row r="274" spans="1:18">
      <c r="A274" s="128"/>
      <c r="B274" s="131"/>
      <c r="C274" s="129"/>
      <c r="D274" s="129"/>
      <c r="E274" s="129"/>
      <c r="F274" s="132"/>
      <c r="G274" s="201"/>
      <c r="H274" s="202"/>
      <c r="I274" s="202"/>
      <c r="J274" s="202"/>
      <c r="K274" s="202"/>
      <c r="L274" s="202"/>
      <c r="M274" s="202"/>
      <c r="N274" s="202"/>
      <c r="O274" s="202"/>
      <c r="P274" s="202"/>
      <c r="Q274" s="202"/>
      <c r="R274" s="203"/>
    </row>
    <row r="275" spans="1:18">
      <c r="A275" s="128"/>
      <c r="B275" s="131"/>
      <c r="C275" s="129"/>
      <c r="D275" s="129"/>
      <c r="E275" s="129"/>
      <c r="F275" s="132"/>
      <c r="G275" s="201"/>
      <c r="H275" s="202"/>
      <c r="I275" s="202"/>
      <c r="J275" s="202"/>
      <c r="K275" s="202"/>
      <c r="L275" s="202"/>
      <c r="M275" s="202"/>
      <c r="N275" s="202"/>
      <c r="O275" s="202"/>
      <c r="P275" s="202"/>
      <c r="Q275" s="202"/>
      <c r="R275" s="203"/>
    </row>
    <row r="276" spans="1:18">
      <c r="A276" s="128"/>
      <c r="B276" s="131"/>
      <c r="C276" s="129"/>
      <c r="D276" s="129"/>
      <c r="E276" s="129"/>
      <c r="F276" s="132"/>
      <c r="G276" s="201"/>
      <c r="H276" s="202"/>
      <c r="I276" s="202"/>
      <c r="J276" s="202"/>
      <c r="K276" s="202"/>
      <c r="L276" s="202"/>
      <c r="M276" s="202"/>
      <c r="N276" s="202"/>
      <c r="O276" s="202"/>
      <c r="P276" s="202"/>
      <c r="Q276" s="202"/>
      <c r="R276" s="203"/>
    </row>
    <row r="277" spans="1:18">
      <c r="A277" s="128"/>
      <c r="B277" s="131"/>
      <c r="C277" s="129"/>
      <c r="D277" s="129"/>
      <c r="E277" s="129"/>
      <c r="F277" s="132"/>
      <c r="G277" s="201"/>
      <c r="H277" s="202"/>
      <c r="I277" s="202"/>
      <c r="J277" s="202"/>
      <c r="K277" s="202"/>
      <c r="L277" s="202"/>
      <c r="M277" s="202"/>
      <c r="N277" s="202"/>
      <c r="O277" s="202"/>
      <c r="P277" s="202"/>
      <c r="Q277" s="202"/>
      <c r="R277" s="203"/>
    </row>
    <row r="278" spans="1:18">
      <c r="A278" s="128"/>
      <c r="B278" s="131"/>
      <c r="C278" s="129"/>
      <c r="D278" s="129"/>
      <c r="E278" s="129"/>
      <c r="F278" s="132"/>
      <c r="G278" s="201"/>
      <c r="H278" s="202"/>
      <c r="I278" s="202"/>
      <c r="J278" s="202"/>
      <c r="K278" s="202"/>
      <c r="L278" s="202"/>
      <c r="M278" s="202"/>
      <c r="N278" s="202"/>
      <c r="O278" s="202"/>
      <c r="P278" s="202"/>
      <c r="Q278" s="202"/>
      <c r="R278" s="203"/>
    </row>
    <row r="279" spans="1:18">
      <c r="A279" s="128"/>
      <c r="B279" s="131"/>
      <c r="C279" s="129"/>
      <c r="D279" s="129"/>
      <c r="E279" s="129"/>
      <c r="F279" s="132"/>
      <c r="G279" s="201"/>
      <c r="H279" s="202"/>
      <c r="I279" s="202"/>
      <c r="J279" s="202"/>
      <c r="K279" s="202"/>
      <c r="L279" s="202"/>
      <c r="M279" s="202"/>
      <c r="N279" s="202"/>
      <c r="O279" s="202"/>
      <c r="P279" s="202"/>
      <c r="Q279" s="202"/>
      <c r="R279" s="203"/>
    </row>
    <row r="280" spans="1:18">
      <c r="A280" s="128"/>
      <c r="B280" s="131"/>
      <c r="C280" s="129"/>
      <c r="D280" s="129"/>
      <c r="E280" s="129"/>
      <c r="F280" s="132"/>
      <c r="G280" s="201"/>
      <c r="H280" s="202"/>
      <c r="I280" s="202"/>
      <c r="J280" s="202"/>
      <c r="K280" s="202"/>
      <c r="L280" s="202"/>
      <c r="M280" s="202"/>
      <c r="N280" s="202"/>
      <c r="O280" s="202"/>
      <c r="P280" s="202"/>
      <c r="Q280" s="202"/>
      <c r="R280" s="203"/>
    </row>
    <row r="281" spans="1:18">
      <c r="A281" s="128"/>
      <c r="B281" s="131"/>
      <c r="C281" s="129"/>
      <c r="D281" s="129"/>
      <c r="E281" s="129"/>
      <c r="F281" s="132"/>
      <c r="G281" s="201"/>
      <c r="H281" s="202"/>
      <c r="I281" s="202"/>
      <c r="J281" s="202"/>
      <c r="K281" s="202"/>
      <c r="L281" s="202"/>
      <c r="M281" s="202"/>
      <c r="N281" s="202"/>
      <c r="O281" s="202"/>
      <c r="P281" s="202"/>
      <c r="Q281" s="202"/>
      <c r="R281" s="203"/>
    </row>
    <row r="282" spans="1:18">
      <c r="A282" s="128"/>
      <c r="B282" s="131"/>
      <c r="C282" s="129"/>
      <c r="D282" s="129"/>
      <c r="E282" s="129"/>
      <c r="F282" s="132"/>
      <c r="G282" s="201"/>
      <c r="H282" s="202"/>
      <c r="I282" s="202"/>
      <c r="J282" s="202"/>
      <c r="K282" s="202"/>
      <c r="L282" s="202"/>
      <c r="M282" s="202"/>
      <c r="N282" s="202"/>
      <c r="O282" s="202"/>
      <c r="P282" s="202"/>
      <c r="Q282" s="202"/>
      <c r="R282" s="203"/>
    </row>
    <row r="283" spans="1:18">
      <c r="A283" s="128"/>
      <c r="B283" s="131"/>
      <c r="C283" s="129"/>
      <c r="D283" s="129"/>
      <c r="E283" s="129"/>
      <c r="F283" s="132"/>
      <c r="G283" s="201"/>
      <c r="H283" s="202"/>
      <c r="I283" s="202"/>
      <c r="J283" s="202"/>
      <c r="K283" s="202"/>
      <c r="L283" s="202"/>
      <c r="M283" s="202"/>
      <c r="N283" s="202"/>
      <c r="O283" s="202"/>
      <c r="P283" s="202"/>
      <c r="Q283" s="202"/>
      <c r="R283" s="203"/>
    </row>
    <row r="284" spans="1:18">
      <c r="A284" s="128"/>
      <c r="B284" s="131"/>
      <c r="C284" s="129"/>
      <c r="D284" s="129"/>
      <c r="E284" s="129"/>
      <c r="F284" s="132"/>
      <c r="G284" s="201"/>
      <c r="H284" s="202"/>
      <c r="I284" s="202"/>
      <c r="J284" s="202"/>
      <c r="K284" s="202"/>
      <c r="L284" s="202"/>
      <c r="M284" s="202"/>
      <c r="N284" s="202"/>
      <c r="O284" s="202"/>
      <c r="P284" s="202"/>
      <c r="Q284" s="202"/>
      <c r="R284" s="203"/>
    </row>
    <row r="285" spans="1:18">
      <c r="A285" s="128"/>
      <c r="B285" s="131"/>
      <c r="C285" s="129"/>
      <c r="D285" s="129"/>
      <c r="E285" s="129"/>
      <c r="F285" s="132"/>
      <c r="G285" s="201"/>
      <c r="H285" s="202"/>
      <c r="I285" s="202"/>
      <c r="J285" s="202"/>
      <c r="K285" s="202"/>
      <c r="L285" s="202"/>
      <c r="M285" s="202"/>
      <c r="N285" s="202"/>
      <c r="O285" s="202"/>
      <c r="P285" s="202"/>
      <c r="Q285" s="202"/>
      <c r="R285" s="203"/>
    </row>
    <row r="286" spans="1:18">
      <c r="A286" s="128"/>
      <c r="B286" s="131"/>
      <c r="C286" s="129"/>
      <c r="D286" s="129"/>
      <c r="E286" s="129"/>
      <c r="F286" s="132"/>
      <c r="G286" s="201"/>
      <c r="H286" s="202"/>
      <c r="I286" s="202"/>
      <c r="J286" s="202"/>
      <c r="K286" s="202"/>
      <c r="L286" s="202"/>
      <c r="M286" s="202"/>
      <c r="N286" s="202"/>
      <c r="O286" s="202"/>
      <c r="P286" s="202"/>
      <c r="Q286" s="202"/>
      <c r="R286" s="203"/>
    </row>
    <row r="287" spans="1:18">
      <c r="A287" s="128"/>
      <c r="B287" s="131"/>
      <c r="C287" s="129"/>
      <c r="D287" s="129"/>
      <c r="E287" s="129"/>
      <c r="F287" s="132"/>
      <c r="G287" s="201"/>
      <c r="H287" s="202"/>
      <c r="I287" s="202"/>
      <c r="J287" s="202"/>
      <c r="K287" s="202"/>
      <c r="L287" s="202"/>
      <c r="M287" s="202"/>
      <c r="N287" s="202"/>
      <c r="O287" s="202"/>
      <c r="P287" s="202"/>
      <c r="Q287" s="202"/>
      <c r="R287" s="203"/>
    </row>
    <row r="288" spans="1:18">
      <c r="A288" s="128"/>
      <c r="B288" s="131"/>
      <c r="C288" s="129"/>
      <c r="D288" s="129"/>
      <c r="E288" s="129"/>
      <c r="F288" s="132"/>
      <c r="G288" s="201"/>
      <c r="H288" s="202"/>
      <c r="I288" s="202"/>
      <c r="J288" s="202"/>
      <c r="K288" s="202"/>
      <c r="L288" s="202"/>
      <c r="M288" s="202"/>
      <c r="N288" s="202"/>
      <c r="O288" s="202"/>
      <c r="P288" s="202"/>
      <c r="Q288" s="202"/>
      <c r="R288" s="203"/>
    </row>
    <row r="289" spans="1:18">
      <c r="A289" s="128"/>
      <c r="B289" s="131"/>
      <c r="C289" s="129"/>
      <c r="D289" s="129"/>
      <c r="E289" s="129"/>
      <c r="F289" s="132"/>
      <c r="G289" s="201"/>
      <c r="H289" s="202"/>
      <c r="I289" s="202"/>
      <c r="J289" s="202"/>
      <c r="K289" s="202"/>
      <c r="L289" s="202"/>
      <c r="M289" s="202"/>
      <c r="N289" s="202"/>
      <c r="O289" s="202"/>
      <c r="P289" s="202"/>
      <c r="Q289" s="202"/>
      <c r="R289" s="203"/>
    </row>
    <row r="290" spans="1:18">
      <c r="A290" s="128"/>
      <c r="B290" s="131"/>
      <c r="C290" s="129"/>
      <c r="D290" s="129"/>
      <c r="E290" s="129"/>
      <c r="F290" s="132"/>
      <c r="G290" s="201"/>
      <c r="H290" s="202"/>
      <c r="I290" s="202"/>
      <c r="J290" s="202"/>
      <c r="K290" s="202"/>
      <c r="L290" s="202"/>
      <c r="M290" s="202"/>
      <c r="N290" s="202"/>
      <c r="O290" s="202"/>
      <c r="P290" s="202"/>
      <c r="Q290" s="202"/>
      <c r="R290" s="203"/>
    </row>
    <row r="291" spans="1:18">
      <c r="A291" s="128"/>
      <c r="B291" s="131"/>
      <c r="C291" s="129"/>
      <c r="D291" s="129"/>
      <c r="E291" s="129"/>
      <c r="F291" s="132"/>
      <c r="G291" s="201"/>
      <c r="H291" s="202"/>
      <c r="I291" s="202"/>
      <c r="J291" s="202"/>
      <c r="K291" s="202"/>
      <c r="L291" s="202"/>
      <c r="M291" s="202"/>
      <c r="N291" s="202"/>
      <c r="O291" s="202"/>
      <c r="P291" s="202"/>
      <c r="Q291" s="202"/>
      <c r="R291" s="203"/>
    </row>
    <row r="292" spans="1:18">
      <c r="A292" s="128"/>
      <c r="B292" s="131"/>
      <c r="C292" s="129"/>
      <c r="D292" s="129"/>
      <c r="E292" s="129"/>
      <c r="F292" s="132"/>
      <c r="G292" s="201"/>
      <c r="H292" s="202"/>
      <c r="I292" s="202"/>
      <c r="J292" s="202"/>
      <c r="K292" s="202"/>
      <c r="L292" s="202"/>
      <c r="M292" s="202"/>
      <c r="N292" s="202"/>
      <c r="O292" s="202"/>
      <c r="P292" s="202"/>
      <c r="Q292" s="202"/>
      <c r="R292" s="203"/>
    </row>
    <row r="293" spans="1:18">
      <c r="A293" s="128"/>
      <c r="B293" s="131"/>
      <c r="C293" s="129"/>
      <c r="D293" s="129"/>
      <c r="E293" s="129"/>
      <c r="F293" s="132"/>
      <c r="G293" s="201"/>
      <c r="H293" s="202"/>
      <c r="I293" s="202"/>
      <c r="J293" s="202"/>
      <c r="K293" s="202"/>
      <c r="L293" s="202"/>
      <c r="M293" s="202"/>
      <c r="N293" s="202"/>
      <c r="O293" s="202"/>
      <c r="P293" s="202"/>
      <c r="Q293" s="202"/>
      <c r="R293" s="203"/>
    </row>
    <row r="294" spans="1:18">
      <c r="A294" s="128"/>
      <c r="B294" s="131"/>
      <c r="C294" s="129"/>
      <c r="D294" s="129"/>
      <c r="E294" s="129"/>
      <c r="F294" s="132"/>
      <c r="G294" s="201"/>
      <c r="H294" s="202"/>
      <c r="I294" s="202"/>
      <c r="J294" s="202"/>
      <c r="K294" s="202"/>
      <c r="L294" s="202"/>
      <c r="M294" s="202"/>
      <c r="N294" s="202"/>
      <c r="O294" s="202"/>
      <c r="P294" s="202"/>
      <c r="Q294" s="202"/>
      <c r="R294" s="203"/>
    </row>
    <row r="295" spans="1:18">
      <c r="A295" s="128"/>
      <c r="B295" s="131"/>
      <c r="C295" s="129"/>
      <c r="D295" s="129"/>
      <c r="E295" s="129"/>
      <c r="F295" s="132"/>
      <c r="G295" s="201"/>
      <c r="H295" s="202"/>
      <c r="I295" s="202"/>
      <c r="J295" s="202"/>
      <c r="K295" s="202"/>
      <c r="L295" s="202"/>
      <c r="M295" s="202"/>
      <c r="N295" s="202"/>
      <c r="O295" s="202"/>
      <c r="P295" s="202"/>
      <c r="Q295" s="202"/>
      <c r="R295" s="203"/>
    </row>
    <row r="296" spans="1:18">
      <c r="A296" s="128"/>
      <c r="B296" s="131"/>
      <c r="C296" s="129"/>
      <c r="D296" s="129"/>
      <c r="E296" s="129"/>
      <c r="F296" s="132"/>
      <c r="G296" s="201"/>
      <c r="H296" s="202"/>
      <c r="I296" s="202"/>
      <c r="J296" s="202"/>
      <c r="K296" s="202"/>
      <c r="L296" s="202"/>
      <c r="M296" s="202"/>
      <c r="N296" s="202"/>
      <c r="O296" s="202"/>
      <c r="P296" s="202"/>
      <c r="Q296" s="202"/>
      <c r="R296" s="203"/>
    </row>
    <row r="297" spans="1:18">
      <c r="A297" s="128"/>
      <c r="B297" s="131"/>
      <c r="C297" s="129"/>
      <c r="D297" s="129"/>
      <c r="E297" s="129"/>
      <c r="F297" s="132"/>
      <c r="G297" s="201"/>
      <c r="H297" s="202"/>
      <c r="I297" s="202"/>
      <c r="J297" s="202"/>
      <c r="K297" s="202"/>
      <c r="L297" s="202"/>
      <c r="M297" s="202"/>
      <c r="N297" s="202"/>
      <c r="O297" s="202"/>
      <c r="P297" s="202"/>
      <c r="Q297" s="202"/>
      <c r="R297" s="203"/>
    </row>
    <row r="298" spans="1:18">
      <c r="A298" s="128"/>
      <c r="B298" s="131"/>
      <c r="C298" s="129"/>
      <c r="D298" s="129"/>
      <c r="E298" s="129"/>
      <c r="F298" s="132"/>
      <c r="G298" s="201"/>
      <c r="H298" s="202"/>
      <c r="I298" s="202"/>
      <c r="J298" s="202"/>
      <c r="K298" s="202"/>
      <c r="L298" s="202"/>
      <c r="M298" s="202"/>
      <c r="N298" s="202"/>
      <c r="O298" s="202"/>
      <c r="P298" s="202"/>
      <c r="Q298" s="202"/>
      <c r="R298" s="203"/>
    </row>
    <row r="299" spans="1:18">
      <c r="A299" s="128"/>
      <c r="B299" s="131"/>
      <c r="C299" s="129"/>
      <c r="D299" s="129"/>
      <c r="E299" s="129"/>
      <c r="F299" s="132"/>
      <c r="G299" s="201"/>
      <c r="H299" s="202"/>
      <c r="I299" s="202"/>
      <c r="J299" s="202"/>
      <c r="K299" s="202"/>
      <c r="L299" s="202"/>
      <c r="M299" s="202"/>
      <c r="N299" s="202"/>
      <c r="O299" s="202"/>
      <c r="P299" s="202"/>
      <c r="Q299" s="202"/>
      <c r="R299" s="203"/>
    </row>
    <row r="300" spans="1:18">
      <c r="A300" s="128"/>
      <c r="B300" s="131"/>
      <c r="C300" s="129"/>
      <c r="D300" s="129"/>
      <c r="E300" s="129"/>
      <c r="F300" s="132"/>
      <c r="G300" s="201"/>
      <c r="H300" s="202"/>
      <c r="I300" s="202"/>
      <c r="J300" s="202"/>
      <c r="K300" s="202"/>
      <c r="L300" s="202"/>
      <c r="M300" s="202"/>
      <c r="N300" s="202"/>
      <c r="O300" s="202"/>
      <c r="P300" s="202"/>
      <c r="Q300" s="202"/>
      <c r="R300" s="203"/>
    </row>
    <row r="301" spans="1:18">
      <c r="A301" s="128"/>
      <c r="B301" s="131"/>
      <c r="C301" s="129"/>
      <c r="D301" s="129"/>
      <c r="E301" s="129"/>
      <c r="F301" s="132"/>
      <c r="G301" s="201"/>
      <c r="H301" s="202"/>
      <c r="I301" s="202"/>
      <c r="J301" s="202"/>
      <c r="K301" s="202"/>
      <c r="L301" s="202"/>
      <c r="M301" s="202"/>
      <c r="N301" s="202"/>
      <c r="O301" s="202"/>
      <c r="P301" s="202"/>
      <c r="Q301" s="202"/>
      <c r="R301" s="203"/>
    </row>
    <row r="302" spans="1:18">
      <c r="A302" s="128"/>
      <c r="B302" s="131"/>
      <c r="C302" s="129"/>
      <c r="D302" s="129"/>
      <c r="E302" s="129"/>
      <c r="F302" s="132"/>
      <c r="G302" s="201"/>
      <c r="H302" s="202"/>
      <c r="I302" s="202"/>
      <c r="J302" s="202"/>
      <c r="K302" s="202"/>
      <c r="L302" s="202"/>
      <c r="M302" s="202"/>
      <c r="N302" s="202"/>
      <c r="O302" s="202"/>
      <c r="P302" s="202"/>
      <c r="Q302" s="202"/>
      <c r="R302" s="203"/>
    </row>
    <row r="303" spans="1:18">
      <c r="A303" s="128"/>
      <c r="B303" s="131"/>
      <c r="C303" s="129"/>
      <c r="D303" s="129"/>
      <c r="E303" s="129"/>
      <c r="F303" s="132"/>
      <c r="G303" s="201"/>
      <c r="H303" s="202"/>
      <c r="I303" s="202"/>
      <c r="J303" s="202"/>
      <c r="K303" s="202"/>
      <c r="L303" s="202"/>
      <c r="M303" s="202"/>
      <c r="N303" s="202"/>
      <c r="O303" s="202"/>
      <c r="P303" s="202"/>
      <c r="Q303" s="202"/>
      <c r="R303" s="203"/>
    </row>
    <row r="304" spans="1:18">
      <c r="A304" s="128"/>
      <c r="B304" s="131"/>
      <c r="C304" s="129"/>
      <c r="D304" s="129"/>
      <c r="E304" s="129"/>
      <c r="F304" s="132"/>
      <c r="G304" s="201"/>
      <c r="H304" s="202"/>
      <c r="I304" s="202"/>
      <c r="J304" s="202"/>
      <c r="K304" s="202"/>
      <c r="L304" s="202"/>
      <c r="M304" s="202"/>
      <c r="N304" s="202"/>
      <c r="O304" s="202"/>
      <c r="P304" s="202"/>
      <c r="Q304" s="202"/>
      <c r="R304" s="203"/>
    </row>
    <row r="305" spans="1:18">
      <c r="A305" s="128"/>
      <c r="B305" s="131"/>
      <c r="C305" s="129"/>
      <c r="D305" s="129"/>
      <c r="E305" s="129"/>
      <c r="F305" s="132"/>
      <c r="G305" s="201"/>
      <c r="H305" s="202"/>
      <c r="I305" s="202"/>
      <c r="J305" s="202"/>
      <c r="K305" s="202"/>
      <c r="L305" s="202"/>
      <c r="M305" s="202"/>
      <c r="N305" s="202"/>
      <c r="O305" s="202"/>
      <c r="P305" s="202"/>
      <c r="Q305" s="202"/>
      <c r="R305" s="203"/>
    </row>
    <row r="306" spans="1:18">
      <c r="A306" s="128"/>
      <c r="B306" s="131"/>
      <c r="C306" s="129"/>
      <c r="D306" s="129"/>
      <c r="E306" s="129"/>
      <c r="F306" s="132"/>
      <c r="G306" s="201"/>
      <c r="H306" s="202"/>
      <c r="I306" s="202"/>
      <c r="J306" s="202"/>
      <c r="K306" s="202"/>
      <c r="L306" s="202"/>
      <c r="M306" s="202"/>
      <c r="N306" s="202"/>
      <c r="O306" s="202"/>
      <c r="P306" s="202"/>
      <c r="Q306" s="202"/>
      <c r="R306" s="203"/>
    </row>
    <row r="307" spans="1:18">
      <c r="A307" s="128"/>
      <c r="B307" s="131"/>
      <c r="C307" s="129"/>
      <c r="D307" s="129"/>
      <c r="E307" s="129"/>
      <c r="F307" s="132"/>
      <c r="G307" s="201"/>
      <c r="H307" s="202"/>
      <c r="I307" s="202"/>
      <c r="J307" s="202"/>
      <c r="K307" s="202"/>
      <c r="L307" s="202"/>
      <c r="M307" s="202"/>
      <c r="N307" s="202"/>
      <c r="O307" s="202"/>
      <c r="P307" s="202"/>
      <c r="Q307" s="202"/>
      <c r="R307" s="203"/>
    </row>
    <row r="308" spans="1:18">
      <c r="A308" s="128"/>
      <c r="B308" s="131"/>
      <c r="C308" s="129"/>
      <c r="D308" s="129"/>
      <c r="E308" s="129"/>
      <c r="F308" s="132"/>
      <c r="G308" s="201"/>
      <c r="H308" s="202"/>
      <c r="I308" s="202"/>
      <c r="J308" s="202"/>
      <c r="K308" s="202"/>
      <c r="L308" s="202"/>
      <c r="M308" s="202"/>
      <c r="N308" s="202"/>
      <c r="O308" s="202"/>
      <c r="P308" s="202"/>
      <c r="Q308" s="202"/>
      <c r="R308" s="203"/>
    </row>
    <row r="309" spans="1:18">
      <c r="A309" s="128"/>
      <c r="B309" s="131"/>
      <c r="C309" s="129"/>
      <c r="D309" s="129"/>
      <c r="E309" s="129"/>
      <c r="F309" s="132"/>
      <c r="G309" s="201"/>
      <c r="H309" s="202"/>
      <c r="I309" s="202"/>
      <c r="J309" s="202"/>
      <c r="K309" s="202"/>
      <c r="L309" s="202"/>
      <c r="M309" s="202"/>
      <c r="N309" s="202"/>
      <c r="O309" s="202"/>
      <c r="P309" s="202"/>
      <c r="Q309" s="202"/>
      <c r="R309" s="203"/>
    </row>
    <row r="310" spans="1:18">
      <c r="A310" s="128"/>
      <c r="B310" s="131"/>
      <c r="C310" s="129"/>
      <c r="D310" s="129"/>
      <c r="E310" s="129"/>
      <c r="F310" s="132"/>
      <c r="G310" s="201"/>
      <c r="H310" s="202"/>
      <c r="I310" s="202"/>
      <c r="J310" s="202"/>
      <c r="K310" s="202"/>
      <c r="L310" s="202"/>
      <c r="M310" s="202"/>
      <c r="N310" s="202"/>
      <c r="O310" s="202"/>
      <c r="P310" s="202"/>
      <c r="Q310" s="202"/>
      <c r="R310" s="203"/>
    </row>
    <row r="311" spans="1:18">
      <c r="A311" s="128"/>
      <c r="B311" s="131"/>
      <c r="C311" s="129"/>
      <c r="D311" s="129"/>
      <c r="E311" s="129"/>
      <c r="F311" s="132"/>
      <c r="G311" s="201"/>
      <c r="H311" s="202"/>
      <c r="I311" s="202"/>
      <c r="J311" s="202"/>
      <c r="K311" s="202"/>
      <c r="L311" s="202"/>
      <c r="M311" s="202"/>
      <c r="N311" s="202"/>
      <c r="O311" s="202"/>
      <c r="P311" s="202"/>
      <c r="Q311" s="202"/>
      <c r="R311" s="203"/>
    </row>
    <row r="312" spans="1:18">
      <c r="A312" s="128"/>
      <c r="B312" s="131"/>
      <c r="C312" s="129"/>
      <c r="D312" s="129"/>
      <c r="E312" s="129"/>
      <c r="F312" s="132"/>
      <c r="G312" s="201"/>
      <c r="H312" s="202"/>
      <c r="I312" s="202"/>
      <c r="J312" s="202"/>
      <c r="K312" s="202"/>
      <c r="L312" s="202"/>
      <c r="M312" s="202"/>
      <c r="N312" s="202"/>
      <c r="O312" s="202"/>
      <c r="P312" s="202"/>
      <c r="Q312" s="202"/>
      <c r="R312" s="203"/>
    </row>
    <row r="313" spans="1:18">
      <c r="A313" s="128"/>
      <c r="B313" s="131"/>
      <c r="C313" s="129"/>
      <c r="D313" s="129"/>
      <c r="E313" s="129"/>
      <c r="F313" s="132"/>
      <c r="G313" s="201"/>
      <c r="H313" s="202"/>
      <c r="I313" s="202"/>
      <c r="J313" s="202"/>
      <c r="K313" s="202"/>
      <c r="L313" s="202"/>
      <c r="M313" s="202"/>
      <c r="N313" s="202"/>
      <c r="O313" s="202"/>
      <c r="P313" s="202"/>
      <c r="Q313" s="202"/>
      <c r="R313" s="203"/>
    </row>
    <row r="314" spans="1:18">
      <c r="A314" s="128"/>
      <c r="B314" s="131"/>
      <c r="C314" s="129"/>
      <c r="D314" s="129"/>
      <c r="E314" s="129"/>
      <c r="F314" s="132"/>
      <c r="G314" s="201"/>
      <c r="H314" s="202"/>
      <c r="I314" s="202"/>
      <c r="J314" s="202"/>
      <c r="K314" s="202"/>
      <c r="L314" s="202"/>
      <c r="M314" s="202"/>
      <c r="N314" s="202"/>
      <c r="O314" s="202"/>
      <c r="P314" s="202"/>
      <c r="Q314" s="202"/>
      <c r="R314" s="203"/>
    </row>
    <row r="315" spans="1:18">
      <c r="A315" s="128"/>
      <c r="B315" s="131"/>
      <c r="C315" s="129"/>
      <c r="D315" s="129"/>
      <c r="E315" s="129"/>
      <c r="F315" s="132"/>
      <c r="G315" s="201"/>
      <c r="H315" s="202"/>
      <c r="I315" s="202"/>
      <c r="J315" s="202"/>
      <c r="K315" s="202"/>
      <c r="L315" s="202"/>
      <c r="M315" s="202"/>
      <c r="N315" s="202"/>
      <c r="O315" s="202"/>
      <c r="P315" s="202"/>
      <c r="Q315" s="202"/>
      <c r="R315" s="203"/>
    </row>
    <row r="316" spans="1:18">
      <c r="A316" s="128"/>
      <c r="B316" s="131"/>
      <c r="C316" s="129"/>
      <c r="D316" s="129"/>
      <c r="E316" s="129"/>
      <c r="F316" s="132"/>
      <c r="G316" s="201"/>
      <c r="H316" s="202"/>
      <c r="I316" s="202"/>
      <c r="J316" s="202"/>
      <c r="K316" s="202"/>
      <c r="L316" s="202"/>
      <c r="M316" s="202"/>
      <c r="N316" s="202"/>
      <c r="O316" s="202"/>
      <c r="P316" s="202"/>
      <c r="Q316" s="202"/>
      <c r="R316" s="203"/>
    </row>
    <row r="317" spans="1:18">
      <c r="A317" s="128"/>
      <c r="B317" s="131"/>
      <c r="C317" s="129"/>
      <c r="D317" s="129"/>
      <c r="E317" s="129"/>
      <c r="F317" s="132"/>
      <c r="G317" s="201"/>
      <c r="H317" s="202"/>
      <c r="I317" s="202"/>
      <c r="J317" s="202"/>
      <c r="K317" s="202"/>
      <c r="L317" s="202"/>
      <c r="M317" s="202"/>
      <c r="N317" s="202"/>
      <c r="O317" s="202"/>
      <c r="P317" s="202"/>
      <c r="Q317" s="202"/>
      <c r="R317" s="203"/>
    </row>
    <row r="318" spans="1:18">
      <c r="A318" s="128"/>
      <c r="B318" s="131"/>
      <c r="C318" s="129"/>
      <c r="D318" s="129"/>
      <c r="E318" s="129"/>
      <c r="F318" s="132"/>
      <c r="G318" s="201"/>
      <c r="H318" s="202"/>
      <c r="I318" s="202"/>
      <c r="J318" s="202"/>
      <c r="K318" s="202"/>
      <c r="L318" s="202"/>
      <c r="M318" s="202"/>
      <c r="N318" s="202"/>
      <c r="O318" s="202"/>
      <c r="P318" s="202"/>
      <c r="Q318" s="202"/>
      <c r="R318" s="203"/>
    </row>
    <row r="319" spans="1:18">
      <c r="A319" s="128"/>
      <c r="B319" s="131"/>
      <c r="C319" s="129"/>
      <c r="D319" s="129"/>
      <c r="E319" s="129"/>
      <c r="F319" s="132"/>
      <c r="G319" s="201"/>
      <c r="H319" s="202"/>
      <c r="I319" s="202"/>
      <c r="J319" s="202"/>
      <c r="K319" s="202"/>
      <c r="L319" s="202"/>
      <c r="M319" s="202"/>
      <c r="N319" s="202"/>
      <c r="O319" s="202"/>
      <c r="P319" s="202"/>
      <c r="Q319" s="202"/>
      <c r="R319" s="203"/>
    </row>
    <row r="320" spans="1:18">
      <c r="A320" s="128"/>
      <c r="B320" s="131"/>
      <c r="C320" s="129"/>
      <c r="D320" s="129"/>
      <c r="E320" s="129"/>
      <c r="F320" s="132"/>
      <c r="G320" s="201"/>
      <c r="H320" s="202"/>
      <c r="I320" s="202"/>
      <c r="J320" s="202"/>
      <c r="K320" s="202"/>
      <c r="L320" s="202"/>
      <c r="M320" s="202"/>
      <c r="N320" s="202"/>
      <c r="O320" s="202"/>
      <c r="P320" s="202"/>
      <c r="Q320" s="202"/>
      <c r="R320" s="203"/>
    </row>
    <row r="321" spans="1:18">
      <c r="A321" s="128"/>
      <c r="B321" s="131"/>
      <c r="C321" s="129"/>
      <c r="D321" s="129"/>
      <c r="E321" s="129"/>
      <c r="F321" s="132"/>
      <c r="G321" s="201"/>
      <c r="H321" s="202"/>
      <c r="I321" s="202"/>
      <c r="J321" s="202"/>
      <c r="K321" s="202"/>
      <c r="L321" s="202"/>
      <c r="M321" s="202"/>
      <c r="N321" s="202"/>
      <c r="O321" s="202"/>
      <c r="P321" s="202"/>
      <c r="Q321" s="202"/>
      <c r="R321" s="203"/>
    </row>
    <row r="322" spans="1:18">
      <c r="A322" s="128"/>
      <c r="B322" s="131"/>
      <c r="C322" s="129"/>
      <c r="D322" s="129"/>
      <c r="E322" s="129"/>
      <c r="F322" s="132"/>
      <c r="G322" s="201"/>
      <c r="H322" s="202"/>
      <c r="I322" s="202"/>
      <c r="J322" s="202"/>
      <c r="K322" s="202"/>
      <c r="L322" s="202"/>
      <c r="M322" s="202"/>
      <c r="N322" s="202"/>
      <c r="O322" s="202"/>
      <c r="P322" s="202"/>
      <c r="Q322" s="202"/>
      <c r="R322" s="203"/>
    </row>
    <row r="323" spans="1:18">
      <c r="A323" s="128"/>
      <c r="B323" s="131"/>
      <c r="C323" s="129"/>
      <c r="D323" s="129"/>
      <c r="E323" s="129"/>
      <c r="F323" s="132"/>
      <c r="G323" s="201"/>
      <c r="H323" s="202"/>
      <c r="I323" s="202"/>
      <c r="J323" s="202"/>
      <c r="K323" s="202"/>
      <c r="L323" s="202"/>
      <c r="M323" s="202"/>
      <c r="N323" s="202"/>
      <c r="O323" s="202"/>
      <c r="P323" s="202"/>
      <c r="Q323" s="202"/>
      <c r="R323" s="203"/>
    </row>
    <row r="324" spans="1:18">
      <c r="A324" s="128"/>
      <c r="B324" s="131"/>
      <c r="C324" s="129"/>
      <c r="D324" s="129"/>
      <c r="E324" s="129"/>
      <c r="F324" s="132"/>
      <c r="G324" s="201"/>
      <c r="H324" s="202"/>
      <c r="I324" s="202"/>
      <c r="J324" s="202"/>
      <c r="K324" s="202"/>
      <c r="L324" s="202"/>
      <c r="M324" s="202"/>
      <c r="N324" s="202"/>
      <c r="O324" s="202"/>
      <c r="P324" s="202"/>
      <c r="Q324" s="202"/>
      <c r="R324" s="203"/>
    </row>
    <row r="325" spans="1:18">
      <c r="A325" s="128"/>
      <c r="B325" s="131"/>
      <c r="C325" s="129"/>
      <c r="D325" s="129"/>
      <c r="E325" s="129"/>
      <c r="F325" s="132"/>
      <c r="G325" s="201"/>
      <c r="H325" s="202"/>
      <c r="I325" s="202"/>
      <c r="J325" s="202"/>
      <c r="K325" s="202"/>
      <c r="L325" s="202"/>
      <c r="M325" s="202"/>
      <c r="N325" s="202"/>
      <c r="O325" s="202"/>
      <c r="P325" s="202"/>
      <c r="Q325" s="202"/>
      <c r="R325" s="203"/>
    </row>
    <row r="326" spans="1:18">
      <c r="A326" s="128"/>
      <c r="B326" s="131"/>
      <c r="C326" s="129"/>
      <c r="D326" s="129"/>
      <c r="E326" s="129"/>
      <c r="F326" s="132"/>
      <c r="G326" s="201"/>
      <c r="H326" s="202"/>
      <c r="I326" s="202"/>
      <c r="J326" s="202"/>
      <c r="K326" s="202"/>
      <c r="L326" s="202"/>
      <c r="M326" s="202"/>
      <c r="N326" s="202"/>
      <c r="O326" s="202"/>
      <c r="P326" s="202"/>
      <c r="Q326" s="202"/>
      <c r="R326" s="203"/>
    </row>
    <row r="327" spans="1:18">
      <c r="A327" s="128"/>
      <c r="B327" s="131"/>
      <c r="C327" s="129"/>
      <c r="D327" s="129"/>
      <c r="E327" s="129"/>
      <c r="F327" s="132"/>
      <c r="G327" s="201"/>
      <c r="H327" s="202"/>
      <c r="I327" s="202"/>
      <c r="J327" s="202"/>
      <c r="K327" s="202"/>
      <c r="L327" s="202"/>
      <c r="M327" s="202"/>
      <c r="N327" s="202"/>
      <c r="O327" s="202"/>
      <c r="P327" s="202"/>
      <c r="Q327" s="202"/>
      <c r="R327" s="203"/>
    </row>
    <row r="328" spans="1:18">
      <c r="A328" s="128"/>
      <c r="B328" s="131"/>
      <c r="C328" s="129"/>
      <c r="D328" s="129"/>
      <c r="E328" s="129"/>
      <c r="F328" s="132"/>
      <c r="G328" s="201"/>
      <c r="H328" s="202"/>
      <c r="I328" s="202"/>
      <c r="J328" s="202"/>
      <c r="K328" s="202"/>
      <c r="L328" s="202"/>
      <c r="M328" s="202"/>
      <c r="N328" s="202"/>
      <c r="O328" s="202"/>
      <c r="P328" s="202"/>
      <c r="Q328" s="202"/>
      <c r="R328" s="203"/>
    </row>
    <row r="329" spans="1:18">
      <c r="A329" s="128"/>
      <c r="B329" s="131"/>
      <c r="C329" s="129"/>
      <c r="D329" s="129"/>
      <c r="E329" s="129"/>
      <c r="F329" s="132"/>
      <c r="G329" s="201"/>
      <c r="H329" s="202"/>
      <c r="I329" s="202"/>
      <c r="J329" s="202"/>
      <c r="K329" s="202"/>
      <c r="L329" s="202"/>
      <c r="M329" s="202"/>
      <c r="N329" s="202"/>
      <c r="O329" s="202"/>
      <c r="P329" s="202"/>
      <c r="Q329" s="202"/>
      <c r="R329" s="203"/>
    </row>
    <row r="330" spans="1:18">
      <c r="A330" s="128"/>
      <c r="B330" s="131"/>
      <c r="C330" s="129"/>
      <c r="D330" s="129"/>
      <c r="E330" s="129"/>
      <c r="F330" s="132"/>
      <c r="G330" s="201"/>
      <c r="H330" s="202"/>
      <c r="I330" s="202"/>
      <c r="J330" s="202"/>
      <c r="K330" s="202"/>
      <c r="L330" s="202"/>
      <c r="M330" s="202"/>
      <c r="N330" s="202"/>
      <c r="O330" s="202"/>
      <c r="P330" s="202"/>
      <c r="Q330" s="202"/>
      <c r="R330" s="203"/>
    </row>
    <row r="331" spans="1:18">
      <c r="A331" s="128"/>
      <c r="B331" s="131"/>
      <c r="C331" s="129"/>
      <c r="D331" s="129"/>
      <c r="E331" s="129"/>
      <c r="F331" s="132"/>
      <c r="G331" s="201"/>
      <c r="H331" s="202"/>
      <c r="I331" s="202"/>
      <c r="J331" s="202"/>
      <c r="K331" s="202"/>
      <c r="L331" s="202"/>
      <c r="M331" s="202"/>
      <c r="N331" s="202"/>
      <c r="O331" s="202"/>
      <c r="P331" s="202"/>
      <c r="Q331" s="202"/>
      <c r="R331" s="203"/>
    </row>
    <row r="332" spans="1:18">
      <c r="A332" s="128"/>
      <c r="B332" s="131"/>
      <c r="C332" s="129"/>
      <c r="D332" s="129"/>
      <c r="E332" s="129"/>
      <c r="F332" s="132"/>
      <c r="G332" s="201"/>
      <c r="H332" s="202"/>
      <c r="I332" s="202"/>
      <c r="J332" s="202"/>
      <c r="K332" s="202"/>
      <c r="L332" s="202"/>
      <c r="M332" s="202"/>
      <c r="N332" s="202"/>
      <c r="O332" s="202"/>
      <c r="P332" s="202"/>
      <c r="Q332" s="202"/>
      <c r="R332" s="203"/>
    </row>
    <row r="333" spans="1:18">
      <c r="A333" s="128"/>
      <c r="B333" s="131"/>
      <c r="C333" s="129"/>
      <c r="D333" s="129"/>
      <c r="E333" s="129"/>
      <c r="F333" s="132"/>
      <c r="G333" s="201"/>
      <c r="H333" s="202"/>
      <c r="I333" s="202"/>
      <c r="J333" s="202"/>
      <c r="K333" s="202"/>
      <c r="L333" s="202"/>
      <c r="M333" s="202"/>
      <c r="N333" s="202"/>
      <c r="O333" s="202"/>
      <c r="P333" s="202"/>
      <c r="Q333" s="202"/>
      <c r="R333" s="203"/>
    </row>
    <row r="334" spans="1:18">
      <c r="A334" s="128"/>
      <c r="B334" s="131"/>
      <c r="C334" s="129"/>
      <c r="D334" s="129"/>
      <c r="E334" s="129"/>
      <c r="F334" s="132"/>
      <c r="G334" s="201"/>
      <c r="H334" s="202"/>
      <c r="I334" s="202"/>
      <c r="J334" s="202"/>
      <c r="K334" s="202"/>
      <c r="L334" s="202"/>
      <c r="M334" s="202"/>
      <c r="N334" s="202"/>
      <c r="O334" s="202"/>
      <c r="P334" s="202"/>
      <c r="Q334" s="202"/>
      <c r="R334" s="203"/>
    </row>
    <row r="335" spans="1:18">
      <c r="A335" s="128"/>
      <c r="B335" s="131"/>
      <c r="C335" s="129"/>
      <c r="D335" s="129"/>
      <c r="E335" s="129"/>
      <c r="F335" s="132"/>
      <c r="G335" s="201"/>
      <c r="H335" s="202"/>
      <c r="I335" s="202"/>
      <c r="J335" s="202"/>
      <c r="K335" s="202"/>
      <c r="L335" s="202"/>
      <c r="M335" s="202"/>
      <c r="N335" s="202"/>
      <c r="O335" s="202"/>
      <c r="P335" s="202"/>
      <c r="Q335" s="202"/>
      <c r="R335" s="203"/>
    </row>
    <row r="336" spans="1:18">
      <c r="A336" s="128"/>
      <c r="B336" s="131"/>
      <c r="C336" s="129"/>
      <c r="D336" s="129"/>
      <c r="E336" s="129"/>
      <c r="F336" s="132"/>
      <c r="G336" s="201"/>
      <c r="H336" s="202"/>
      <c r="I336" s="202"/>
      <c r="J336" s="202"/>
      <c r="K336" s="202"/>
      <c r="L336" s="202"/>
      <c r="M336" s="202"/>
      <c r="N336" s="202"/>
      <c r="O336" s="202"/>
      <c r="P336" s="202"/>
      <c r="Q336" s="202"/>
      <c r="R336" s="203"/>
    </row>
    <row r="337" spans="1:18">
      <c r="A337" s="128"/>
      <c r="B337" s="131"/>
      <c r="C337" s="129"/>
      <c r="D337" s="129"/>
      <c r="E337" s="129"/>
      <c r="F337" s="132"/>
      <c r="G337" s="201"/>
      <c r="H337" s="202"/>
      <c r="I337" s="202"/>
      <c r="J337" s="202"/>
      <c r="K337" s="202"/>
      <c r="L337" s="202"/>
      <c r="M337" s="202"/>
      <c r="N337" s="202"/>
      <c r="O337" s="202"/>
      <c r="P337" s="202"/>
      <c r="Q337" s="202"/>
      <c r="R337" s="203"/>
    </row>
    <row r="338" spans="1:18">
      <c r="A338" s="128"/>
      <c r="B338" s="131"/>
      <c r="C338" s="129"/>
      <c r="D338" s="129"/>
      <c r="E338" s="129"/>
      <c r="F338" s="132"/>
      <c r="G338" s="201"/>
      <c r="H338" s="202"/>
      <c r="I338" s="202"/>
      <c r="J338" s="202"/>
      <c r="K338" s="202"/>
      <c r="L338" s="202"/>
      <c r="M338" s="202"/>
      <c r="N338" s="202"/>
      <c r="O338" s="202"/>
      <c r="P338" s="202"/>
      <c r="Q338" s="202"/>
      <c r="R338" s="203"/>
    </row>
    <row r="339" spans="1:18">
      <c r="A339" s="128"/>
      <c r="B339" s="131"/>
      <c r="C339" s="129"/>
      <c r="D339" s="129"/>
      <c r="E339" s="129"/>
      <c r="F339" s="132"/>
      <c r="G339" s="201"/>
      <c r="H339" s="202"/>
      <c r="I339" s="202"/>
      <c r="J339" s="202"/>
      <c r="K339" s="202"/>
      <c r="L339" s="202"/>
      <c r="M339" s="202"/>
      <c r="N339" s="202"/>
      <c r="O339" s="202"/>
      <c r="P339" s="202"/>
      <c r="Q339" s="202"/>
      <c r="R339" s="203"/>
    </row>
    <row r="340" spans="1:18">
      <c r="A340" s="128"/>
      <c r="B340" s="131"/>
      <c r="C340" s="129"/>
      <c r="D340" s="129"/>
      <c r="E340" s="129"/>
      <c r="F340" s="132"/>
      <c r="G340" s="201"/>
      <c r="H340" s="202"/>
      <c r="I340" s="202"/>
      <c r="J340" s="202"/>
      <c r="K340" s="202"/>
      <c r="L340" s="202"/>
      <c r="M340" s="202"/>
      <c r="N340" s="202"/>
      <c r="O340" s="202"/>
      <c r="P340" s="202"/>
      <c r="Q340" s="202"/>
      <c r="R340" s="203"/>
    </row>
    <row r="341" spans="1:18">
      <c r="A341" s="128"/>
      <c r="B341" s="131"/>
      <c r="C341" s="129"/>
      <c r="D341" s="129"/>
      <c r="E341" s="129"/>
      <c r="F341" s="132"/>
      <c r="G341" s="201"/>
      <c r="H341" s="202"/>
      <c r="I341" s="202"/>
      <c r="J341" s="202"/>
      <c r="K341" s="202"/>
      <c r="L341" s="202"/>
      <c r="M341" s="202"/>
      <c r="N341" s="202"/>
      <c r="O341" s="202"/>
      <c r="P341" s="202"/>
      <c r="Q341" s="202"/>
      <c r="R341" s="203"/>
    </row>
    <row r="342" spans="1:18">
      <c r="A342" s="128"/>
      <c r="B342" s="131"/>
      <c r="C342" s="129"/>
      <c r="D342" s="129"/>
      <c r="E342" s="129"/>
      <c r="F342" s="132"/>
      <c r="G342" s="201"/>
      <c r="H342" s="202"/>
      <c r="I342" s="202"/>
      <c r="J342" s="202"/>
      <c r="K342" s="202"/>
      <c r="L342" s="202"/>
      <c r="M342" s="202"/>
      <c r="N342" s="202"/>
      <c r="O342" s="202"/>
      <c r="P342" s="202"/>
      <c r="Q342" s="202"/>
      <c r="R342" s="203"/>
    </row>
    <row r="343" spans="1:18">
      <c r="A343" s="128"/>
      <c r="B343" s="131"/>
      <c r="C343" s="129"/>
      <c r="D343" s="129"/>
      <c r="E343" s="129"/>
      <c r="F343" s="132"/>
      <c r="G343" s="201"/>
      <c r="H343" s="202"/>
      <c r="I343" s="202"/>
      <c r="J343" s="202"/>
      <c r="K343" s="202"/>
      <c r="L343" s="202"/>
      <c r="M343" s="202"/>
      <c r="N343" s="202"/>
      <c r="O343" s="202"/>
      <c r="P343" s="202"/>
      <c r="Q343" s="202"/>
      <c r="R343" s="203"/>
    </row>
    <row r="344" spans="1:18">
      <c r="A344" s="128"/>
      <c r="B344" s="131"/>
      <c r="C344" s="129"/>
      <c r="D344" s="129"/>
      <c r="E344" s="129"/>
      <c r="F344" s="132"/>
      <c r="G344" s="201"/>
      <c r="H344" s="202"/>
      <c r="I344" s="202"/>
      <c r="J344" s="202"/>
      <c r="K344" s="202"/>
      <c r="L344" s="202"/>
      <c r="M344" s="202"/>
      <c r="N344" s="202"/>
      <c r="O344" s="202"/>
      <c r="P344" s="202"/>
      <c r="Q344" s="202"/>
      <c r="R344" s="203"/>
    </row>
    <row r="345" spans="1:18">
      <c r="A345" s="128"/>
      <c r="B345" s="131"/>
      <c r="C345" s="129"/>
      <c r="D345" s="129"/>
      <c r="E345" s="129"/>
      <c r="F345" s="132"/>
      <c r="G345" s="201"/>
      <c r="H345" s="202"/>
      <c r="I345" s="202"/>
      <c r="J345" s="202"/>
      <c r="K345" s="202"/>
      <c r="L345" s="202"/>
      <c r="M345" s="202"/>
      <c r="N345" s="202"/>
      <c r="O345" s="202"/>
      <c r="P345" s="202"/>
      <c r="Q345" s="202"/>
      <c r="R345" s="203"/>
    </row>
    <row r="346" spans="1:18">
      <c r="A346" s="128"/>
      <c r="B346" s="131"/>
      <c r="C346" s="129"/>
      <c r="D346" s="129"/>
      <c r="E346" s="129"/>
      <c r="F346" s="132"/>
      <c r="G346" s="201"/>
      <c r="H346" s="202"/>
      <c r="I346" s="202"/>
      <c r="J346" s="202"/>
      <c r="K346" s="202"/>
      <c r="L346" s="202"/>
      <c r="M346" s="202"/>
      <c r="N346" s="202"/>
      <c r="O346" s="202"/>
      <c r="P346" s="202"/>
      <c r="Q346" s="202"/>
      <c r="R346" s="203"/>
    </row>
    <row r="347" spans="1:18">
      <c r="A347" s="128"/>
      <c r="B347" s="131"/>
      <c r="C347" s="129"/>
      <c r="D347" s="129"/>
      <c r="E347" s="129"/>
      <c r="F347" s="132"/>
      <c r="G347" s="201"/>
      <c r="H347" s="202"/>
      <c r="I347" s="202"/>
      <c r="J347" s="202"/>
      <c r="K347" s="202"/>
      <c r="L347" s="202"/>
      <c r="M347" s="202"/>
      <c r="N347" s="202"/>
      <c r="O347" s="202"/>
      <c r="P347" s="202"/>
      <c r="Q347" s="202"/>
      <c r="R347" s="203"/>
    </row>
    <row r="348" spans="1:18">
      <c r="A348" s="128"/>
      <c r="B348" s="131"/>
      <c r="C348" s="129"/>
      <c r="D348" s="129"/>
      <c r="E348" s="129"/>
      <c r="F348" s="132"/>
      <c r="G348" s="201"/>
      <c r="H348" s="202"/>
      <c r="I348" s="202"/>
      <c r="J348" s="202"/>
      <c r="K348" s="202"/>
      <c r="L348" s="202"/>
      <c r="M348" s="202"/>
      <c r="N348" s="202"/>
      <c r="O348" s="202"/>
      <c r="P348" s="202"/>
      <c r="Q348" s="202"/>
      <c r="R348" s="203"/>
    </row>
    <row r="349" spans="1:18">
      <c r="A349" s="128"/>
      <c r="B349" s="131"/>
      <c r="C349" s="129"/>
      <c r="D349" s="129"/>
      <c r="E349" s="129"/>
      <c r="F349" s="132"/>
      <c r="G349" s="201"/>
      <c r="H349" s="202"/>
      <c r="I349" s="202"/>
      <c r="J349" s="202"/>
      <c r="K349" s="202"/>
      <c r="L349" s="202"/>
      <c r="M349" s="202"/>
      <c r="N349" s="202"/>
      <c r="O349" s="202"/>
      <c r="P349" s="202"/>
      <c r="Q349" s="202"/>
      <c r="R349" s="203"/>
    </row>
    <row r="350" spans="1:18">
      <c r="A350" s="128"/>
      <c r="B350" s="131"/>
      <c r="C350" s="129"/>
      <c r="D350" s="129"/>
      <c r="E350" s="129"/>
      <c r="F350" s="132"/>
      <c r="G350" s="201"/>
      <c r="H350" s="202"/>
      <c r="I350" s="202"/>
      <c r="J350" s="202"/>
      <c r="K350" s="202"/>
      <c r="L350" s="202"/>
      <c r="M350" s="202"/>
      <c r="N350" s="202"/>
      <c r="O350" s="202"/>
      <c r="P350" s="202"/>
      <c r="Q350" s="202"/>
      <c r="R350" s="203"/>
    </row>
    <row r="351" spans="1:18">
      <c r="A351" s="128"/>
      <c r="B351" s="131"/>
      <c r="C351" s="129"/>
      <c r="D351" s="129"/>
      <c r="E351" s="129"/>
      <c r="F351" s="132"/>
      <c r="G351" s="201"/>
      <c r="H351" s="202"/>
      <c r="I351" s="202"/>
      <c r="J351" s="202"/>
      <c r="K351" s="202"/>
      <c r="L351" s="202"/>
      <c r="M351" s="202"/>
      <c r="N351" s="202"/>
      <c r="O351" s="202"/>
      <c r="P351" s="202"/>
      <c r="Q351" s="202"/>
      <c r="R351" s="203"/>
    </row>
    <row r="352" spans="1:18">
      <c r="A352" s="128"/>
      <c r="B352" s="131"/>
      <c r="C352" s="129"/>
      <c r="D352" s="129"/>
      <c r="E352" s="129"/>
      <c r="F352" s="132"/>
      <c r="G352" s="201"/>
      <c r="H352" s="202"/>
      <c r="I352" s="202"/>
      <c r="J352" s="202"/>
      <c r="K352" s="202"/>
      <c r="L352" s="202"/>
      <c r="M352" s="202"/>
      <c r="N352" s="202"/>
      <c r="O352" s="202"/>
      <c r="P352" s="202"/>
      <c r="Q352" s="202"/>
      <c r="R352" s="203"/>
    </row>
    <row r="353" spans="1:18">
      <c r="A353" s="128"/>
      <c r="B353" s="131"/>
      <c r="C353" s="129"/>
      <c r="D353" s="129"/>
      <c r="E353" s="129"/>
      <c r="F353" s="132"/>
      <c r="G353" s="201"/>
      <c r="H353" s="202"/>
      <c r="I353" s="202"/>
      <c r="J353" s="202"/>
      <c r="K353" s="202"/>
      <c r="L353" s="202"/>
      <c r="M353" s="202"/>
      <c r="N353" s="202"/>
      <c r="O353" s="202"/>
      <c r="P353" s="202"/>
      <c r="Q353" s="202"/>
      <c r="R353" s="203"/>
    </row>
    <row r="354" spans="1:18">
      <c r="A354" s="128"/>
      <c r="B354" s="131"/>
      <c r="C354" s="129"/>
      <c r="D354" s="129"/>
      <c r="E354" s="129"/>
      <c r="F354" s="132"/>
      <c r="G354" s="201"/>
      <c r="H354" s="202"/>
      <c r="I354" s="202"/>
      <c r="J354" s="202"/>
      <c r="K354" s="202"/>
      <c r="L354" s="202"/>
      <c r="M354" s="202"/>
      <c r="N354" s="202"/>
      <c r="O354" s="202"/>
      <c r="P354" s="202"/>
      <c r="Q354" s="202"/>
      <c r="R354" s="203"/>
    </row>
    <row r="355" spans="1:18">
      <c r="A355" s="128"/>
      <c r="B355" s="131"/>
      <c r="C355" s="129"/>
      <c r="D355" s="129"/>
      <c r="E355" s="129"/>
      <c r="F355" s="132"/>
      <c r="G355" s="201"/>
      <c r="H355" s="202"/>
      <c r="I355" s="202"/>
      <c r="J355" s="202"/>
      <c r="K355" s="202"/>
      <c r="L355" s="202"/>
      <c r="M355" s="202"/>
      <c r="N355" s="202"/>
      <c r="O355" s="202"/>
      <c r="P355" s="202"/>
      <c r="Q355" s="202"/>
      <c r="R355" s="203"/>
    </row>
    <row r="356" spans="1:18">
      <c r="A356" s="128"/>
      <c r="B356" s="131"/>
      <c r="C356" s="129"/>
      <c r="D356" s="129"/>
      <c r="E356" s="129"/>
      <c r="F356" s="132"/>
      <c r="G356" s="201"/>
      <c r="H356" s="202"/>
      <c r="I356" s="202"/>
      <c r="J356" s="202"/>
      <c r="K356" s="202"/>
      <c r="L356" s="202"/>
      <c r="M356" s="202"/>
      <c r="N356" s="202"/>
      <c r="O356" s="202"/>
      <c r="P356" s="202"/>
      <c r="Q356" s="202"/>
      <c r="R356" s="203"/>
    </row>
    <row r="357" spans="1:18">
      <c r="A357" s="128"/>
      <c r="B357" s="131"/>
      <c r="C357" s="129"/>
      <c r="D357" s="129"/>
      <c r="E357" s="129"/>
      <c r="F357" s="132"/>
      <c r="G357" s="201"/>
      <c r="H357" s="202"/>
      <c r="I357" s="202"/>
      <c r="J357" s="202"/>
      <c r="K357" s="202"/>
      <c r="L357" s="202"/>
      <c r="M357" s="202"/>
      <c r="N357" s="202"/>
      <c r="O357" s="202"/>
      <c r="P357" s="202"/>
      <c r="Q357" s="202"/>
      <c r="R357" s="203"/>
    </row>
    <row r="358" spans="1:18">
      <c r="A358" s="128"/>
      <c r="B358" s="131"/>
      <c r="C358" s="129"/>
      <c r="D358" s="129"/>
      <c r="E358" s="129"/>
      <c r="F358" s="132"/>
      <c r="G358" s="201"/>
      <c r="H358" s="202"/>
      <c r="I358" s="202"/>
      <c r="J358" s="202"/>
      <c r="K358" s="202"/>
      <c r="L358" s="202"/>
      <c r="M358" s="202"/>
      <c r="N358" s="202"/>
      <c r="O358" s="202"/>
      <c r="P358" s="202"/>
      <c r="Q358" s="202"/>
      <c r="R358" s="203"/>
    </row>
    <row r="359" spans="1:18">
      <c r="A359" s="128"/>
      <c r="B359" s="131"/>
      <c r="C359" s="129"/>
      <c r="D359" s="129"/>
      <c r="E359" s="129"/>
      <c r="F359" s="132"/>
      <c r="G359" s="201"/>
      <c r="H359" s="202"/>
      <c r="I359" s="202"/>
      <c r="J359" s="202"/>
      <c r="K359" s="202"/>
      <c r="L359" s="202"/>
      <c r="M359" s="202"/>
      <c r="N359" s="202"/>
      <c r="O359" s="202"/>
      <c r="P359" s="202"/>
      <c r="Q359" s="202"/>
      <c r="R359" s="203"/>
    </row>
    <row r="360" spans="1:18">
      <c r="A360" s="128"/>
      <c r="B360" s="131"/>
      <c r="C360" s="129"/>
      <c r="D360" s="129"/>
      <c r="E360" s="129"/>
      <c r="F360" s="132"/>
      <c r="G360" s="201"/>
      <c r="H360" s="202"/>
      <c r="I360" s="202"/>
      <c r="J360" s="202"/>
      <c r="K360" s="202"/>
      <c r="L360" s="202"/>
      <c r="M360" s="202"/>
      <c r="N360" s="202"/>
      <c r="O360" s="202"/>
      <c r="P360" s="202"/>
      <c r="Q360" s="202"/>
      <c r="R360" s="203"/>
    </row>
    <row r="361" spans="1:18">
      <c r="A361" s="128"/>
      <c r="B361" s="131"/>
      <c r="C361" s="129"/>
      <c r="D361" s="129"/>
      <c r="E361" s="129"/>
      <c r="F361" s="132"/>
      <c r="G361" s="201"/>
      <c r="H361" s="202"/>
      <c r="I361" s="202"/>
      <c r="J361" s="202"/>
      <c r="K361" s="202"/>
      <c r="L361" s="202"/>
      <c r="M361" s="202"/>
      <c r="N361" s="202"/>
      <c r="O361" s="202"/>
      <c r="P361" s="202"/>
      <c r="Q361" s="202"/>
      <c r="R361" s="203"/>
    </row>
    <row r="362" spans="1:18">
      <c r="A362" s="128"/>
      <c r="B362" s="131"/>
      <c r="C362" s="129"/>
      <c r="D362" s="129"/>
      <c r="E362" s="129"/>
      <c r="F362" s="132"/>
      <c r="G362" s="201"/>
      <c r="H362" s="202"/>
      <c r="I362" s="202"/>
      <c r="J362" s="202"/>
      <c r="K362" s="202"/>
      <c r="L362" s="202"/>
      <c r="M362" s="202"/>
      <c r="N362" s="202"/>
      <c r="O362" s="202"/>
      <c r="P362" s="202"/>
      <c r="Q362" s="202"/>
      <c r="R362" s="203"/>
    </row>
    <row r="363" spans="1:18">
      <c r="A363" s="128"/>
      <c r="B363" s="131"/>
      <c r="C363" s="129"/>
      <c r="D363" s="129"/>
      <c r="E363" s="129"/>
      <c r="F363" s="132"/>
      <c r="G363" s="201"/>
      <c r="H363" s="202"/>
      <c r="I363" s="202"/>
      <c r="J363" s="202"/>
      <c r="K363" s="202"/>
      <c r="L363" s="202"/>
      <c r="M363" s="202"/>
      <c r="N363" s="202"/>
      <c r="O363" s="202"/>
      <c r="P363" s="202"/>
      <c r="Q363" s="202"/>
      <c r="R363" s="203"/>
    </row>
    <row r="364" spans="1:18">
      <c r="A364" s="128"/>
      <c r="B364" s="131"/>
      <c r="C364" s="129"/>
      <c r="D364" s="129"/>
      <c r="E364" s="129"/>
      <c r="F364" s="132"/>
      <c r="G364" s="201"/>
      <c r="H364" s="202"/>
      <c r="I364" s="202"/>
      <c r="J364" s="202"/>
      <c r="K364" s="202"/>
      <c r="L364" s="202"/>
      <c r="M364" s="202"/>
      <c r="N364" s="202"/>
      <c r="O364" s="202"/>
      <c r="P364" s="202"/>
      <c r="Q364" s="202"/>
      <c r="R364" s="203"/>
    </row>
    <row r="365" spans="1:18">
      <c r="A365" s="128"/>
      <c r="B365" s="131"/>
      <c r="C365" s="129"/>
      <c r="D365" s="129"/>
      <c r="E365" s="129"/>
      <c r="F365" s="132"/>
      <c r="G365" s="201"/>
      <c r="H365" s="202"/>
      <c r="I365" s="202"/>
      <c r="J365" s="202"/>
      <c r="K365" s="202"/>
      <c r="L365" s="202"/>
      <c r="M365" s="202"/>
      <c r="N365" s="202"/>
      <c r="O365" s="202"/>
      <c r="P365" s="202"/>
      <c r="Q365" s="202"/>
      <c r="R365" s="203"/>
    </row>
    <row r="366" spans="1:18">
      <c r="A366" s="128"/>
      <c r="B366" s="131"/>
      <c r="C366" s="129"/>
      <c r="D366" s="129"/>
      <c r="E366" s="129"/>
      <c r="F366" s="132"/>
      <c r="G366" s="201"/>
      <c r="H366" s="202"/>
      <c r="I366" s="202"/>
      <c r="J366" s="202"/>
      <c r="K366" s="202"/>
      <c r="L366" s="202"/>
      <c r="M366" s="202"/>
      <c r="N366" s="202"/>
      <c r="O366" s="202"/>
      <c r="P366" s="202"/>
      <c r="Q366" s="202"/>
      <c r="R366" s="203"/>
    </row>
    <row r="367" spans="1:18">
      <c r="A367" s="128"/>
      <c r="B367" s="131"/>
      <c r="C367" s="129"/>
      <c r="D367" s="129"/>
      <c r="E367" s="129"/>
      <c r="F367" s="132"/>
      <c r="G367" s="201"/>
      <c r="H367" s="202"/>
      <c r="I367" s="202"/>
      <c r="J367" s="202"/>
      <c r="K367" s="202"/>
      <c r="L367" s="202"/>
      <c r="M367" s="202"/>
      <c r="N367" s="202"/>
      <c r="O367" s="202"/>
      <c r="P367" s="202"/>
      <c r="Q367" s="202"/>
      <c r="R367" s="203"/>
    </row>
    <row r="368" spans="1:18">
      <c r="A368" s="128"/>
      <c r="B368" s="131"/>
      <c r="C368" s="129"/>
      <c r="D368" s="129"/>
      <c r="E368" s="129"/>
      <c r="F368" s="132"/>
      <c r="G368" s="201"/>
      <c r="H368" s="202"/>
      <c r="I368" s="202"/>
      <c r="J368" s="202"/>
      <c r="K368" s="202"/>
      <c r="L368" s="202"/>
      <c r="M368" s="202"/>
      <c r="N368" s="202"/>
      <c r="O368" s="202"/>
      <c r="P368" s="202"/>
      <c r="Q368" s="202"/>
      <c r="R368" s="203"/>
    </row>
    <row r="369" spans="1:18">
      <c r="A369" s="128"/>
      <c r="B369" s="131"/>
      <c r="C369" s="129"/>
      <c r="D369" s="129"/>
      <c r="E369" s="129"/>
      <c r="F369" s="132"/>
      <c r="G369" s="201"/>
      <c r="H369" s="202"/>
      <c r="I369" s="202"/>
      <c r="J369" s="202"/>
      <c r="K369" s="202"/>
      <c r="L369" s="202"/>
      <c r="M369" s="202"/>
      <c r="N369" s="202"/>
      <c r="O369" s="202"/>
      <c r="P369" s="202"/>
      <c r="Q369" s="202"/>
      <c r="R369" s="203"/>
    </row>
    <row r="370" spans="1:18">
      <c r="A370" s="128"/>
      <c r="B370" s="131"/>
      <c r="C370" s="129"/>
      <c r="D370" s="129"/>
      <c r="E370" s="129"/>
      <c r="F370" s="132"/>
      <c r="G370" s="201"/>
      <c r="H370" s="202"/>
      <c r="I370" s="202"/>
      <c r="J370" s="202"/>
      <c r="K370" s="202"/>
      <c r="L370" s="202"/>
      <c r="M370" s="202"/>
      <c r="N370" s="202"/>
      <c r="O370" s="202"/>
      <c r="P370" s="202"/>
      <c r="Q370" s="202"/>
      <c r="R370" s="203"/>
    </row>
    <row r="371" spans="1:18">
      <c r="A371" s="128"/>
      <c r="B371" s="131"/>
      <c r="C371" s="129"/>
      <c r="D371" s="129"/>
      <c r="E371" s="129"/>
      <c r="F371" s="132"/>
      <c r="G371" s="201"/>
      <c r="H371" s="202"/>
      <c r="I371" s="202"/>
      <c r="J371" s="202"/>
      <c r="K371" s="202"/>
      <c r="L371" s="202"/>
      <c r="M371" s="202"/>
      <c r="N371" s="202"/>
      <c r="O371" s="202"/>
      <c r="P371" s="202"/>
      <c r="Q371" s="202"/>
      <c r="R371" s="203"/>
    </row>
    <row r="372" spans="1:18">
      <c r="A372" s="128"/>
      <c r="B372" s="131"/>
      <c r="C372" s="129"/>
      <c r="D372" s="129"/>
      <c r="E372" s="129"/>
      <c r="F372" s="132"/>
      <c r="G372" s="201"/>
      <c r="H372" s="202"/>
      <c r="I372" s="202"/>
      <c r="J372" s="202"/>
      <c r="K372" s="202"/>
      <c r="L372" s="202"/>
      <c r="M372" s="202"/>
      <c r="N372" s="202"/>
      <c r="O372" s="202"/>
      <c r="P372" s="202"/>
      <c r="Q372" s="202"/>
      <c r="R372" s="203"/>
    </row>
    <row r="373" spans="1:18">
      <c r="A373" s="128"/>
      <c r="B373" s="131"/>
      <c r="C373" s="129"/>
      <c r="D373" s="129"/>
      <c r="E373" s="129"/>
      <c r="F373" s="132"/>
      <c r="G373" s="201"/>
      <c r="H373" s="202"/>
      <c r="I373" s="202"/>
      <c r="J373" s="202"/>
      <c r="K373" s="202"/>
      <c r="L373" s="202"/>
      <c r="M373" s="202"/>
      <c r="N373" s="202"/>
      <c r="O373" s="202"/>
      <c r="P373" s="202"/>
      <c r="Q373" s="202"/>
      <c r="R373" s="203"/>
    </row>
    <row r="374" spans="1:18">
      <c r="A374" s="128"/>
      <c r="B374" s="131"/>
      <c r="C374" s="129"/>
      <c r="D374" s="129"/>
      <c r="E374" s="129"/>
      <c r="F374" s="132"/>
      <c r="G374" s="201"/>
      <c r="H374" s="202"/>
      <c r="I374" s="202"/>
      <c r="J374" s="202"/>
      <c r="K374" s="202"/>
      <c r="L374" s="202"/>
      <c r="M374" s="202"/>
      <c r="N374" s="202"/>
      <c r="O374" s="202"/>
      <c r="P374" s="202"/>
      <c r="Q374" s="202"/>
      <c r="R374" s="203"/>
    </row>
    <row r="375" spans="1:18">
      <c r="A375" s="128"/>
      <c r="B375" s="131"/>
      <c r="C375" s="129"/>
      <c r="D375" s="129"/>
      <c r="E375" s="129"/>
      <c r="F375" s="132"/>
      <c r="G375" s="201"/>
      <c r="H375" s="202"/>
      <c r="I375" s="202"/>
      <c r="J375" s="202"/>
      <c r="K375" s="202"/>
      <c r="L375" s="202"/>
      <c r="M375" s="202"/>
      <c r="N375" s="202"/>
      <c r="O375" s="202"/>
      <c r="P375" s="202"/>
      <c r="Q375" s="202"/>
      <c r="R375" s="203"/>
    </row>
    <row r="376" spans="1:18">
      <c r="A376" s="128"/>
      <c r="B376" s="131"/>
      <c r="C376" s="129"/>
      <c r="D376" s="129"/>
      <c r="E376" s="129"/>
      <c r="F376" s="132"/>
      <c r="G376" s="201"/>
      <c r="H376" s="202"/>
      <c r="I376" s="202"/>
      <c r="J376" s="202"/>
      <c r="K376" s="202"/>
      <c r="L376" s="202"/>
      <c r="M376" s="202"/>
      <c r="N376" s="202"/>
      <c r="O376" s="202"/>
      <c r="P376" s="202"/>
      <c r="Q376" s="202"/>
      <c r="R376" s="203"/>
    </row>
    <row r="377" spans="1:18">
      <c r="A377" s="128"/>
      <c r="B377" s="131"/>
      <c r="C377" s="129"/>
      <c r="D377" s="129"/>
      <c r="E377" s="129"/>
      <c r="F377" s="132"/>
      <c r="G377" s="201"/>
      <c r="H377" s="202"/>
      <c r="I377" s="202"/>
      <c r="J377" s="202"/>
      <c r="K377" s="202"/>
      <c r="L377" s="202"/>
      <c r="M377" s="202"/>
      <c r="N377" s="202"/>
      <c r="O377" s="202"/>
      <c r="P377" s="202"/>
      <c r="Q377" s="202"/>
      <c r="R377" s="203"/>
    </row>
    <row r="378" spans="1:18">
      <c r="A378" s="128"/>
      <c r="B378" s="131"/>
      <c r="C378" s="129"/>
      <c r="D378" s="129"/>
      <c r="E378" s="129"/>
      <c r="F378" s="132"/>
      <c r="G378" s="201"/>
      <c r="H378" s="202"/>
      <c r="I378" s="202"/>
      <c r="J378" s="202"/>
      <c r="K378" s="202"/>
      <c r="L378" s="202"/>
      <c r="M378" s="202"/>
      <c r="N378" s="202"/>
      <c r="O378" s="202"/>
      <c r="P378" s="202"/>
      <c r="Q378" s="202"/>
      <c r="R378" s="203"/>
    </row>
    <row r="379" spans="1:18">
      <c r="A379" s="128"/>
      <c r="B379" s="131"/>
      <c r="C379" s="129"/>
      <c r="D379" s="129"/>
      <c r="E379" s="129"/>
      <c r="F379" s="132"/>
      <c r="G379" s="201"/>
      <c r="H379" s="202"/>
      <c r="I379" s="202"/>
      <c r="J379" s="202"/>
      <c r="K379" s="202"/>
      <c r="L379" s="202"/>
      <c r="M379" s="202"/>
      <c r="N379" s="202"/>
      <c r="O379" s="202"/>
      <c r="P379" s="202"/>
      <c r="Q379" s="202"/>
      <c r="R379" s="203"/>
    </row>
    <row r="380" spans="1:18">
      <c r="A380" s="128"/>
      <c r="B380" s="131"/>
      <c r="C380" s="129"/>
      <c r="D380" s="129"/>
      <c r="E380" s="129"/>
      <c r="F380" s="132"/>
      <c r="G380" s="201"/>
      <c r="H380" s="202"/>
      <c r="I380" s="202"/>
      <c r="J380" s="202"/>
      <c r="K380" s="202"/>
      <c r="L380" s="202"/>
      <c r="M380" s="202"/>
      <c r="N380" s="202"/>
      <c r="O380" s="202"/>
      <c r="P380" s="202"/>
      <c r="Q380" s="202"/>
      <c r="R380" s="203"/>
    </row>
    <row r="381" spans="1:18">
      <c r="A381" s="128"/>
      <c r="B381" s="131"/>
      <c r="C381" s="129"/>
      <c r="D381" s="129"/>
      <c r="E381" s="129"/>
      <c r="F381" s="132"/>
      <c r="G381" s="201"/>
      <c r="H381" s="202"/>
      <c r="I381" s="202"/>
      <c r="J381" s="202"/>
      <c r="K381" s="202"/>
      <c r="L381" s="202"/>
      <c r="M381" s="202"/>
      <c r="N381" s="202"/>
      <c r="O381" s="202"/>
      <c r="P381" s="202"/>
      <c r="Q381" s="202"/>
      <c r="R381" s="203"/>
    </row>
    <row r="382" spans="1:18">
      <c r="A382" s="128"/>
      <c r="B382" s="131"/>
      <c r="C382" s="129"/>
      <c r="D382" s="129"/>
      <c r="E382" s="129"/>
      <c r="F382" s="132"/>
      <c r="G382" s="201"/>
      <c r="H382" s="202"/>
      <c r="I382" s="202"/>
      <c r="J382" s="202"/>
      <c r="K382" s="202"/>
      <c r="L382" s="202"/>
      <c r="M382" s="202"/>
      <c r="N382" s="202"/>
      <c r="O382" s="202"/>
      <c r="P382" s="202"/>
      <c r="Q382" s="202"/>
      <c r="R382" s="203"/>
    </row>
    <row r="383" spans="1:18">
      <c r="A383" s="128"/>
      <c r="B383" s="131"/>
      <c r="C383" s="129"/>
      <c r="D383" s="129"/>
      <c r="E383" s="129"/>
      <c r="F383" s="132"/>
      <c r="G383" s="201"/>
      <c r="H383" s="202"/>
      <c r="I383" s="202"/>
      <c r="J383" s="202"/>
      <c r="K383" s="202"/>
      <c r="L383" s="202"/>
      <c r="M383" s="202"/>
      <c r="N383" s="202"/>
      <c r="O383" s="202"/>
      <c r="P383" s="202"/>
      <c r="Q383" s="202"/>
      <c r="R383" s="203"/>
    </row>
    <row r="384" spans="1:18">
      <c r="A384" s="128"/>
      <c r="B384" s="131"/>
      <c r="C384" s="129"/>
      <c r="D384" s="129"/>
      <c r="E384" s="129"/>
      <c r="F384" s="132"/>
      <c r="G384" s="201"/>
      <c r="H384" s="202"/>
      <c r="I384" s="202"/>
      <c r="J384" s="202"/>
      <c r="K384" s="202"/>
      <c r="L384" s="202"/>
      <c r="M384" s="202"/>
      <c r="N384" s="202"/>
      <c r="O384" s="202"/>
      <c r="P384" s="202"/>
      <c r="Q384" s="202"/>
      <c r="R384" s="203"/>
    </row>
    <row r="385" spans="1:18">
      <c r="A385" s="128"/>
      <c r="B385" s="131"/>
      <c r="C385" s="129"/>
      <c r="D385" s="129"/>
      <c r="E385" s="129"/>
      <c r="F385" s="132"/>
      <c r="G385" s="201"/>
      <c r="H385" s="202"/>
      <c r="I385" s="202"/>
      <c r="J385" s="202"/>
      <c r="K385" s="202"/>
      <c r="L385" s="202"/>
      <c r="M385" s="202"/>
      <c r="N385" s="202"/>
      <c r="O385" s="202"/>
      <c r="P385" s="202"/>
      <c r="Q385" s="202"/>
      <c r="R385" s="203"/>
    </row>
    <row r="386" spans="1:18">
      <c r="A386" s="128"/>
      <c r="B386" s="131"/>
      <c r="C386" s="129"/>
      <c r="D386" s="129"/>
      <c r="E386" s="129"/>
      <c r="F386" s="132"/>
      <c r="G386" s="201"/>
      <c r="H386" s="202"/>
      <c r="I386" s="202"/>
      <c r="J386" s="202"/>
      <c r="K386" s="202"/>
      <c r="L386" s="202"/>
      <c r="M386" s="202"/>
      <c r="N386" s="202"/>
      <c r="O386" s="202"/>
      <c r="P386" s="202"/>
      <c r="Q386" s="202"/>
      <c r="R386" s="203"/>
    </row>
    <row r="387" spans="1:18">
      <c r="A387" s="128"/>
      <c r="B387" s="131"/>
      <c r="C387" s="129"/>
      <c r="D387" s="129"/>
      <c r="E387" s="129"/>
      <c r="F387" s="132"/>
      <c r="G387" s="201"/>
      <c r="H387" s="202"/>
      <c r="I387" s="202"/>
      <c r="J387" s="202"/>
      <c r="K387" s="202"/>
      <c r="L387" s="202"/>
      <c r="M387" s="202"/>
      <c r="N387" s="202"/>
      <c r="O387" s="202"/>
      <c r="P387" s="202"/>
      <c r="Q387" s="202"/>
      <c r="R387" s="203"/>
    </row>
    <row r="388" spans="1:18">
      <c r="A388" s="128"/>
      <c r="B388" s="131"/>
      <c r="C388" s="129"/>
      <c r="D388" s="129"/>
      <c r="E388" s="129"/>
      <c r="F388" s="132"/>
      <c r="G388" s="201"/>
      <c r="H388" s="202"/>
      <c r="I388" s="202"/>
      <c r="J388" s="202"/>
      <c r="K388" s="202"/>
      <c r="L388" s="202"/>
      <c r="M388" s="202"/>
      <c r="N388" s="202"/>
      <c r="O388" s="202"/>
      <c r="P388" s="202"/>
      <c r="Q388" s="202"/>
      <c r="R388" s="203"/>
    </row>
    <row r="389" spans="1:18">
      <c r="A389" s="128"/>
      <c r="B389" s="131"/>
      <c r="C389" s="129"/>
      <c r="D389" s="129"/>
      <c r="E389" s="129"/>
      <c r="F389" s="132"/>
      <c r="G389" s="201"/>
      <c r="H389" s="202"/>
      <c r="I389" s="202"/>
      <c r="J389" s="202"/>
      <c r="K389" s="202"/>
      <c r="L389" s="202"/>
      <c r="M389" s="202"/>
      <c r="N389" s="202"/>
      <c r="O389" s="202"/>
      <c r="P389" s="202"/>
      <c r="Q389" s="202"/>
      <c r="R389" s="203"/>
    </row>
    <row r="390" spans="1:18">
      <c r="A390" s="128"/>
      <c r="B390" s="131"/>
      <c r="C390" s="129"/>
      <c r="D390" s="129"/>
      <c r="E390" s="129"/>
      <c r="F390" s="132"/>
      <c r="G390" s="201"/>
      <c r="H390" s="202"/>
      <c r="I390" s="202"/>
      <c r="J390" s="202"/>
      <c r="K390" s="202"/>
      <c r="L390" s="202"/>
      <c r="M390" s="202"/>
      <c r="N390" s="202"/>
      <c r="O390" s="202"/>
      <c r="P390" s="202"/>
      <c r="Q390" s="202"/>
      <c r="R390" s="203"/>
    </row>
    <row r="391" spans="1:18">
      <c r="A391" s="128"/>
      <c r="B391" s="131"/>
      <c r="C391" s="129"/>
      <c r="D391" s="129"/>
      <c r="E391" s="129"/>
      <c r="F391" s="132"/>
      <c r="G391" s="201"/>
      <c r="H391" s="202"/>
      <c r="I391" s="202"/>
      <c r="J391" s="202"/>
      <c r="K391" s="202"/>
      <c r="L391" s="202"/>
      <c r="M391" s="202"/>
      <c r="N391" s="202"/>
      <c r="O391" s="202"/>
      <c r="P391" s="202"/>
      <c r="Q391" s="202"/>
      <c r="R391" s="203"/>
    </row>
    <row r="392" spans="1:18">
      <c r="A392" s="128"/>
      <c r="B392" s="131"/>
      <c r="C392" s="129"/>
      <c r="D392" s="129"/>
      <c r="E392" s="129"/>
      <c r="F392" s="132"/>
      <c r="G392" s="201"/>
      <c r="H392" s="202"/>
      <c r="I392" s="202"/>
      <c r="J392" s="202"/>
      <c r="K392" s="202"/>
      <c r="L392" s="202"/>
      <c r="M392" s="202"/>
      <c r="N392" s="202"/>
      <c r="O392" s="202"/>
      <c r="P392" s="202"/>
      <c r="Q392" s="202"/>
      <c r="R392" s="203"/>
    </row>
    <row r="393" spans="1:18">
      <c r="A393" s="128"/>
      <c r="B393" s="131"/>
      <c r="C393" s="129"/>
      <c r="D393" s="129"/>
      <c r="E393" s="129"/>
      <c r="F393" s="132"/>
      <c r="G393" s="201"/>
      <c r="H393" s="202"/>
      <c r="I393" s="202"/>
      <c r="J393" s="202"/>
      <c r="K393" s="202"/>
      <c r="L393" s="202"/>
      <c r="M393" s="202"/>
      <c r="N393" s="202"/>
      <c r="O393" s="202"/>
      <c r="P393" s="202"/>
      <c r="Q393" s="202"/>
      <c r="R393" s="203"/>
    </row>
    <row r="394" spans="1:18">
      <c r="A394" s="128"/>
      <c r="B394" s="131"/>
      <c r="C394" s="129"/>
      <c r="D394" s="129"/>
      <c r="E394" s="129"/>
      <c r="F394" s="132"/>
      <c r="G394" s="201"/>
      <c r="H394" s="202"/>
      <c r="I394" s="202"/>
      <c r="J394" s="202"/>
      <c r="K394" s="202"/>
      <c r="L394" s="202"/>
      <c r="M394" s="202"/>
      <c r="N394" s="202"/>
      <c r="O394" s="202"/>
      <c r="P394" s="202"/>
      <c r="Q394" s="202"/>
      <c r="R394" s="203"/>
    </row>
    <row r="395" spans="1:18">
      <c r="A395" s="128"/>
      <c r="B395" s="131"/>
      <c r="C395" s="129"/>
      <c r="D395" s="129"/>
      <c r="E395" s="129"/>
      <c r="F395" s="132"/>
      <c r="G395" s="201"/>
      <c r="H395" s="202"/>
      <c r="I395" s="202"/>
      <c r="J395" s="202"/>
      <c r="K395" s="202"/>
      <c r="L395" s="202"/>
      <c r="M395" s="202"/>
      <c r="N395" s="202"/>
      <c r="O395" s="202"/>
      <c r="P395" s="202"/>
      <c r="Q395" s="202"/>
      <c r="R395" s="203"/>
    </row>
    <row r="396" spans="1:18">
      <c r="A396" s="128"/>
      <c r="B396" s="131"/>
      <c r="C396" s="129"/>
      <c r="D396" s="129"/>
      <c r="E396" s="129"/>
      <c r="F396" s="132"/>
      <c r="G396" s="201"/>
      <c r="H396" s="202"/>
      <c r="I396" s="202"/>
      <c r="J396" s="202"/>
      <c r="K396" s="202"/>
      <c r="L396" s="202"/>
      <c r="M396" s="202"/>
      <c r="N396" s="202"/>
      <c r="O396" s="202"/>
      <c r="P396" s="202"/>
      <c r="Q396" s="202"/>
      <c r="R396" s="203"/>
    </row>
    <row r="397" spans="1:18">
      <c r="A397" s="128"/>
      <c r="B397" s="131"/>
      <c r="C397" s="129"/>
      <c r="D397" s="129"/>
      <c r="E397" s="129"/>
      <c r="F397" s="132"/>
      <c r="G397" s="201"/>
      <c r="H397" s="202"/>
      <c r="I397" s="202"/>
      <c r="J397" s="202"/>
      <c r="K397" s="202"/>
      <c r="L397" s="202"/>
      <c r="M397" s="202"/>
      <c r="N397" s="202"/>
      <c r="O397" s="202"/>
      <c r="P397" s="202"/>
      <c r="Q397" s="202"/>
      <c r="R397" s="203"/>
    </row>
    <row r="398" spans="1:18">
      <c r="A398" s="128"/>
      <c r="B398" s="131"/>
      <c r="C398" s="129"/>
      <c r="D398" s="129"/>
      <c r="E398" s="129"/>
      <c r="F398" s="132"/>
      <c r="G398" s="201"/>
      <c r="H398" s="202"/>
      <c r="I398" s="202"/>
      <c r="J398" s="202"/>
      <c r="K398" s="202"/>
      <c r="L398" s="202"/>
      <c r="M398" s="202"/>
      <c r="N398" s="202"/>
      <c r="O398" s="202"/>
      <c r="P398" s="202"/>
      <c r="Q398" s="202"/>
      <c r="R398" s="203"/>
    </row>
    <row r="399" spans="1:18">
      <c r="A399" s="128"/>
      <c r="B399" s="131"/>
      <c r="C399" s="129"/>
      <c r="D399" s="129"/>
      <c r="E399" s="129"/>
      <c r="F399" s="132"/>
      <c r="G399" s="201"/>
      <c r="H399" s="202"/>
      <c r="I399" s="202"/>
      <c r="J399" s="202"/>
      <c r="K399" s="202"/>
      <c r="L399" s="202"/>
      <c r="M399" s="202"/>
      <c r="N399" s="202"/>
      <c r="O399" s="202"/>
      <c r="P399" s="202"/>
      <c r="Q399" s="202"/>
      <c r="R399" s="203"/>
    </row>
    <row r="400" spans="1:18">
      <c r="A400" s="128"/>
      <c r="B400" s="131"/>
      <c r="C400" s="129"/>
      <c r="D400" s="129"/>
      <c r="E400" s="129"/>
      <c r="F400" s="132"/>
      <c r="G400" s="201"/>
      <c r="H400" s="202"/>
      <c r="I400" s="202"/>
      <c r="J400" s="202"/>
      <c r="K400" s="202"/>
      <c r="L400" s="202"/>
      <c r="M400" s="202"/>
      <c r="N400" s="202"/>
      <c r="O400" s="202"/>
      <c r="P400" s="202"/>
      <c r="Q400" s="202"/>
      <c r="R400" s="203"/>
    </row>
    <row r="401" spans="1:18">
      <c r="A401" s="128"/>
      <c r="B401" s="131"/>
      <c r="C401" s="129"/>
      <c r="D401" s="129"/>
      <c r="E401" s="129"/>
      <c r="F401" s="132"/>
      <c r="G401" s="201"/>
      <c r="H401" s="202"/>
      <c r="I401" s="202"/>
      <c r="J401" s="202"/>
      <c r="K401" s="202"/>
      <c r="L401" s="202"/>
      <c r="M401" s="202"/>
      <c r="N401" s="202"/>
      <c r="O401" s="202"/>
      <c r="P401" s="202"/>
      <c r="Q401" s="202"/>
      <c r="R401" s="203"/>
    </row>
    <row r="402" spans="1:18">
      <c r="A402" s="128"/>
      <c r="B402" s="131"/>
      <c r="C402" s="129"/>
      <c r="D402" s="129"/>
      <c r="E402" s="129"/>
      <c r="F402" s="132"/>
      <c r="G402" s="201"/>
      <c r="H402" s="202"/>
      <c r="I402" s="202"/>
      <c r="J402" s="202"/>
      <c r="K402" s="202"/>
      <c r="L402" s="202"/>
      <c r="M402" s="202"/>
      <c r="N402" s="202"/>
      <c r="O402" s="202"/>
      <c r="P402" s="202"/>
      <c r="Q402" s="202"/>
      <c r="R402" s="203"/>
    </row>
    <row r="403" spans="1:18">
      <c r="A403" s="128"/>
      <c r="B403" s="131"/>
      <c r="C403" s="129"/>
      <c r="D403" s="129"/>
      <c r="E403" s="129"/>
      <c r="F403" s="132"/>
      <c r="G403" s="201"/>
      <c r="H403" s="202"/>
      <c r="I403" s="202"/>
      <c r="J403" s="202"/>
      <c r="K403" s="202"/>
      <c r="L403" s="202"/>
      <c r="M403" s="202"/>
      <c r="N403" s="202"/>
      <c r="O403" s="202"/>
      <c r="P403" s="202"/>
      <c r="Q403" s="202"/>
      <c r="R403" s="203"/>
    </row>
    <row r="404" spans="1:18">
      <c r="A404" s="128"/>
      <c r="B404" s="131"/>
      <c r="C404" s="129"/>
      <c r="D404" s="129"/>
      <c r="E404" s="129"/>
      <c r="F404" s="132"/>
      <c r="G404" s="201"/>
      <c r="H404" s="202"/>
      <c r="I404" s="202"/>
      <c r="J404" s="202"/>
      <c r="K404" s="202"/>
      <c r="L404" s="202"/>
      <c r="M404" s="202"/>
      <c r="N404" s="202"/>
      <c r="O404" s="202"/>
      <c r="P404" s="202"/>
      <c r="Q404" s="202"/>
      <c r="R404" s="203"/>
    </row>
    <row r="405" spans="1:18">
      <c r="A405" s="128"/>
      <c r="B405" s="131"/>
      <c r="C405" s="129"/>
      <c r="D405" s="129"/>
      <c r="E405" s="129"/>
      <c r="F405" s="132"/>
      <c r="G405" s="201"/>
      <c r="H405" s="202"/>
      <c r="I405" s="202"/>
      <c r="J405" s="202"/>
      <c r="K405" s="202"/>
      <c r="L405" s="202"/>
      <c r="M405" s="202"/>
      <c r="N405" s="202"/>
      <c r="O405" s="202"/>
      <c r="P405" s="202"/>
      <c r="Q405" s="202"/>
      <c r="R405" s="203"/>
    </row>
    <row r="406" spans="1:18">
      <c r="A406" s="128"/>
      <c r="B406" s="131"/>
      <c r="C406" s="129"/>
      <c r="D406" s="129"/>
      <c r="E406" s="129"/>
      <c r="F406" s="132"/>
      <c r="G406" s="201"/>
      <c r="H406" s="202"/>
      <c r="I406" s="202"/>
      <c r="J406" s="202"/>
      <c r="K406" s="202"/>
      <c r="L406" s="202"/>
      <c r="M406" s="202"/>
      <c r="N406" s="202"/>
      <c r="O406" s="202"/>
      <c r="P406" s="202"/>
      <c r="Q406" s="202"/>
      <c r="R406" s="203"/>
    </row>
    <row r="407" spans="1:18">
      <c r="A407" s="128"/>
      <c r="B407" s="131"/>
      <c r="C407" s="129"/>
      <c r="D407" s="129"/>
      <c r="E407" s="129"/>
      <c r="F407" s="132"/>
      <c r="G407" s="201"/>
      <c r="H407" s="202"/>
      <c r="I407" s="202"/>
      <c r="J407" s="202"/>
      <c r="K407" s="202"/>
      <c r="L407" s="202"/>
      <c r="M407" s="202"/>
      <c r="N407" s="202"/>
      <c r="O407" s="202"/>
      <c r="P407" s="202"/>
      <c r="Q407" s="202"/>
      <c r="R407" s="203"/>
    </row>
    <row r="408" spans="1:18">
      <c r="A408" s="128"/>
      <c r="B408" s="131"/>
      <c r="C408" s="129"/>
      <c r="D408" s="129"/>
      <c r="E408" s="129"/>
      <c r="F408" s="132"/>
      <c r="G408" s="201"/>
      <c r="H408" s="202"/>
      <c r="I408" s="202"/>
      <c r="J408" s="202"/>
      <c r="K408" s="202"/>
      <c r="L408" s="202"/>
      <c r="M408" s="202"/>
      <c r="N408" s="202"/>
      <c r="O408" s="202"/>
      <c r="P408" s="202"/>
      <c r="Q408" s="202"/>
      <c r="R408" s="203"/>
    </row>
    <row r="409" spans="1:18">
      <c r="A409" s="128"/>
      <c r="B409" s="131"/>
      <c r="C409" s="129"/>
      <c r="D409" s="129"/>
      <c r="E409" s="129"/>
      <c r="F409" s="132"/>
      <c r="G409" s="201"/>
      <c r="H409" s="202"/>
      <c r="I409" s="202"/>
      <c r="J409" s="202"/>
      <c r="K409" s="202"/>
      <c r="L409" s="202"/>
      <c r="M409" s="202"/>
      <c r="N409" s="202"/>
      <c r="O409" s="202"/>
      <c r="P409" s="202"/>
      <c r="Q409" s="202"/>
      <c r="R409" s="203"/>
    </row>
    <row r="410" spans="1:18">
      <c r="A410" s="128"/>
      <c r="B410" s="131"/>
      <c r="C410" s="129"/>
      <c r="D410" s="129"/>
      <c r="E410" s="129"/>
      <c r="F410" s="132"/>
      <c r="G410" s="201"/>
      <c r="H410" s="202"/>
      <c r="I410" s="202"/>
      <c r="J410" s="202"/>
      <c r="K410" s="202"/>
      <c r="L410" s="202"/>
      <c r="M410" s="202"/>
      <c r="N410" s="202"/>
      <c r="O410" s="202"/>
      <c r="P410" s="202"/>
      <c r="Q410" s="202"/>
      <c r="R410" s="203"/>
    </row>
    <row r="411" spans="1:18">
      <c r="A411" s="128"/>
      <c r="B411" s="131"/>
      <c r="C411" s="129"/>
      <c r="D411" s="129"/>
      <c r="E411" s="129"/>
      <c r="F411" s="132"/>
      <c r="G411" s="201"/>
      <c r="H411" s="202"/>
      <c r="I411" s="202"/>
      <c r="J411" s="202"/>
      <c r="K411" s="202"/>
      <c r="L411" s="202"/>
      <c r="M411" s="202"/>
      <c r="N411" s="202"/>
      <c r="O411" s="202"/>
      <c r="P411" s="202"/>
      <c r="Q411" s="202"/>
      <c r="R411" s="203"/>
    </row>
    <row r="412" spans="1:18">
      <c r="A412" s="128"/>
      <c r="B412" s="131"/>
      <c r="C412" s="129"/>
      <c r="D412" s="129"/>
      <c r="E412" s="129"/>
      <c r="F412" s="132"/>
      <c r="G412" s="201"/>
      <c r="H412" s="202"/>
      <c r="I412" s="202"/>
      <c r="J412" s="202"/>
      <c r="K412" s="202"/>
      <c r="L412" s="202"/>
      <c r="M412" s="202"/>
      <c r="N412" s="202"/>
      <c r="O412" s="202"/>
      <c r="P412" s="202"/>
      <c r="Q412" s="202"/>
      <c r="R412" s="203"/>
    </row>
    <row r="413" spans="1:18">
      <c r="A413" s="128"/>
      <c r="B413" s="131"/>
      <c r="C413" s="129"/>
      <c r="D413" s="129"/>
      <c r="E413" s="129"/>
      <c r="F413" s="132"/>
      <c r="G413" s="201"/>
      <c r="H413" s="202"/>
      <c r="I413" s="202"/>
      <c r="J413" s="202"/>
      <c r="K413" s="202"/>
      <c r="L413" s="202"/>
      <c r="M413" s="202"/>
      <c r="N413" s="202"/>
      <c r="O413" s="202"/>
      <c r="P413" s="202"/>
      <c r="Q413" s="202"/>
      <c r="R413" s="203"/>
    </row>
    <row r="414" spans="1:18">
      <c r="A414" s="128"/>
      <c r="B414" s="131"/>
      <c r="C414" s="129"/>
      <c r="D414" s="129"/>
      <c r="E414" s="129"/>
      <c r="F414" s="132"/>
      <c r="G414" s="201"/>
      <c r="H414" s="202"/>
      <c r="I414" s="202"/>
      <c r="J414" s="202"/>
      <c r="K414" s="202"/>
      <c r="L414" s="202"/>
      <c r="M414" s="202"/>
      <c r="N414" s="202"/>
      <c r="O414" s="202"/>
      <c r="P414" s="202"/>
      <c r="Q414" s="202"/>
      <c r="R414" s="203"/>
    </row>
    <row r="415" spans="1:18">
      <c r="A415" s="128"/>
      <c r="B415" s="131"/>
      <c r="C415" s="129"/>
      <c r="D415" s="129"/>
      <c r="E415" s="129"/>
      <c r="F415" s="132"/>
      <c r="G415" s="201"/>
      <c r="H415" s="202"/>
      <c r="I415" s="202"/>
      <c r="J415" s="202"/>
      <c r="K415" s="202"/>
      <c r="L415" s="202"/>
      <c r="M415" s="202"/>
      <c r="N415" s="202"/>
      <c r="O415" s="202"/>
      <c r="P415" s="202"/>
      <c r="Q415" s="202"/>
      <c r="R415" s="203"/>
    </row>
    <row r="416" spans="1:18">
      <c r="A416" s="128"/>
      <c r="B416" s="131"/>
      <c r="C416" s="129"/>
      <c r="D416" s="129"/>
      <c r="E416" s="129"/>
      <c r="F416" s="132"/>
      <c r="G416" s="201"/>
      <c r="H416" s="202"/>
      <c r="I416" s="202"/>
      <c r="J416" s="202"/>
      <c r="K416" s="202"/>
      <c r="L416" s="202"/>
      <c r="M416" s="202"/>
      <c r="N416" s="202"/>
      <c r="O416" s="202"/>
      <c r="P416" s="202"/>
      <c r="Q416" s="202"/>
      <c r="R416" s="203"/>
    </row>
    <row r="417" spans="1:18">
      <c r="A417" s="128"/>
      <c r="B417" s="131"/>
      <c r="C417" s="129"/>
      <c r="D417" s="129"/>
      <c r="E417" s="129"/>
      <c r="F417" s="132"/>
      <c r="G417" s="201"/>
      <c r="H417" s="202"/>
      <c r="I417" s="202"/>
      <c r="J417" s="202"/>
      <c r="K417" s="202"/>
      <c r="L417" s="202"/>
      <c r="M417" s="202"/>
      <c r="N417" s="202"/>
      <c r="O417" s="202"/>
      <c r="P417" s="202"/>
      <c r="Q417" s="202"/>
      <c r="R417" s="203"/>
    </row>
    <row r="418" spans="1:18">
      <c r="A418" s="128"/>
      <c r="B418" s="131"/>
      <c r="C418" s="129"/>
      <c r="D418" s="129"/>
      <c r="E418" s="129"/>
      <c r="F418" s="132"/>
      <c r="G418" s="201"/>
      <c r="H418" s="202"/>
      <c r="I418" s="202"/>
      <c r="J418" s="202"/>
      <c r="K418" s="202"/>
      <c r="L418" s="202"/>
      <c r="M418" s="202"/>
      <c r="N418" s="202"/>
      <c r="O418" s="202"/>
      <c r="P418" s="202"/>
      <c r="Q418" s="202"/>
      <c r="R418" s="203"/>
    </row>
    <row r="419" spans="1:18">
      <c r="A419" s="128"/>
      <c r="B419" s="131"/>
      <c r="C419" s="129"/>
      <c r="D419" s="129"/>
      <c r="E419" s="129"/>
      <c r="F419" s="132"/>
      <c r="G419" s="201"/>
      <c r="H419" s="202"/>
      <c r="I419" s="202"/>
      <c r="J419" s="202"/>
      <c r="K419" s="202"/>
      <c r="L419" s="202"/>
      <c r="M419" s="202"/>
      <c r="N419" s="202"/>
      <c r="O419" s="202"/>
      <c r="P419" s="202"/>
      <c r="Q419" s="202"/>
      <c r="R419" s="203"/>
    </row>
    <row r="420" spans="1:18">
      <c r="A420" s="128"/>
      <c r="B420" s="131"/>
      <c r="C420" s="129"/>
      <c r="D420" s="129"/>
      <c r="E420" s="129"/>
      <c r="F420" s="132"/>
      <c r="G420" s="201"/>
      <c r="H420" s="202"/>
      <c r="I420" s="202"/>
      <c r="J420" s="202"/>
      <c r="K420" s="202"/>
      <c r="L420" s="202"/>
      <c r="M420" s="202"/>
      <c r="N420" s="202"/>
      <c r="O420" s="202"/>
      <c r="P420" s="202"/>
      <c r="Q420" s="202"/>
      <c r="R420" s="203"/>
    </row>
    <row r="421" spans="1:18">
      <c r="A421" s="128"/>
      <c r="B421" s="131"/>
      <c r="C421" s="129"/>
      <c r="D421" s="129"/>
      <c r="E421" s="129"/>
      <c r="F421" s="132"/>
      <c r="G421" s="201"/>
      <c r="H421" s="202"/>
      <c r="I421" s="202"/>
      <c r="J421" s="202"/>
      <c r="K421" s="202"/>
      <c r="L421" s="202"/>
      <c r="M421" s="202"/>
      <c r="N421" s="202"/>
      <c r="O421" s="202"/>
      <c r="P421" s="202"/>
      <c r="Q421" s="202"/>
      <c r="R421" s="203"/>
    </row>
    <row r="422" spans="1:18">
      <c r="A422" s="128"/>
      <c r="B422" s="131"/>
      <c r="C422" s="129"/>
      <c r="D422" s="129"/>
      <c r="E422" s="129"/>
      <c r="F422" s="132"/>
      <c r="G422" s="201"/>
      <c r="H422" s="202"/>
      <c r="I422" s="202"/>
      <c r="J422" s="202"/>
      <c r="K422" s="202"/>
      <c r="L422" s="202"/>
      <c r="M422" s="202"/>
      <c r="N422" s="202"/>
      <c r="O422" s="202"/>
      <c r="P422" s="202"/>
      <c r="Q422" s="202"/>
      <c r="R422" s="203"/>
    </row>
    <row r="423" spans="1:18">
      <c r="A423" s="128"/>
      <c r="B423" s="131"/>
      <c r="C423" s="129"/>
      <c r="D423" s="129"/>
      <c r="E423" s="129"/>
      <c r="F423" s="132"/>
      <c r="G423" s="201"/>
      <c r="H423" s="202"/>
      <c r="I423" s="202"/>
      <c r="J423" s="202"/>
      <c r="K423" s="202"/>
      <c r="L423" s="202"/>
      <c r="M423" s="202"/>
      <c r="N423" s="202"/>
      <c r="O423" s="202"/>
      <c r="P423" s="202"/>
      <c r="Q423" s="202"/>
      <c r="R423" s="203"/>
    </row>
    <row r="424" spans="1:18">
      <c r="A424" s="128"/>
      <c r="B424" s="131"/>
      <c r="C424" s="129"/>
      <c r="D424" s="129"/>
      <c r="E424" s="129"/>
      <c r="F424" s="132"/>
      <c r="G424" s="201"/>
      <c r="H424" s="202"/>
      <c r="I424" s="202"/>
      <c r="J424" s="202"/>
      <c r="K424" s="202"/>
      <c r="L424" s="202"/>
      <c r="M424" s="202"/>
      <c r="N424" s="202"/>
      <c r="O424" s="202"/>
      <c r="P424" s="202"/>
      <c r="Q424" s="202"/>
      <c r="R424" s="203"/>
    </row>
    <row r="425" spans="1:18">
      <c r="A425" s="128"/>
      <c r="B425" s="131"/>
      <c r="C425" s="129"/>
      <c r="D425" s="129"/>
      <c r="E425" s="129"/>
      <c r="F425" s="132"/>
      <c r="G425" s="201"/>
      <c r="H425" s="202"/>
      <c r="I425" s="202"/>
      <c r="J425" s="202"/>
      <c r="K425" s="202"/>
      <c r="L425" s="202"/>
      <c r="M425" s="202"/>
      <c r="N425" s="202"/>
      <c r="O425" s="202"/>
      <c r="P425" s="202"/>
      <c r="Q425" s="202"/>
      <c r="R425" s="203"/>
    </row>
    <row r="426" spans="1:18">
      <c r="A426" s="128"/>
      <c r="B426" s="131"/>
      <c r="C426" s="129"/>
      <c r="D426" s="129"/>
      <c r="E426" s="129"/>
      <c r="F426" s="132"/>
      <c r="G426" s="201"/>
      <c r="H426" s="202"/>
      <c r="I426" s="202"/>
      <c r="J426" s="202"/>
      <c r="K426" s="202"/>
      <c r="L426" s="202"/>
      <c r="M426" s="202"/>
      <c r="N426" s="202"/>
      <c r="O426" s="202"/>
      <c r="P426" s="202"/>
      <c r="Q426" s="202"/>
      <c r="R426" s="203"/>
    </row>
    <row r="427" spans="1:18">
      <c r="A427" s="128"/>
      <c r="B427" s="131"/>
      <c r="C427" s="129"/>
      <c r="D427" s="129"/>
      <c r="E427" s="129"/>
      <c r="F427" s="132"/>
      <c r="G427" s="201"/>
      <c r="H427" s="202"/>
      <c r="I427" s="202"/>
      <c r="J427" s="202"/>
      <c r="K427" s="202"/>
      <c r="L427" s="202"/>
      <c r="M427" s="202"/>
      <c r="N427" s="202"/>
      <c r="O427" s="202"/>
      <c r="P427" s="202"/>
      <c r="Q427" s="202"/>
      <c r="R427" s="203"/>
    </row>
    <row r="428" spans="1:18">
      <c r="A428" s="128"/>
      <c r="B428" s="131"/>
      <c r="C428" s="129"/>
      <c r="D428" s="129"/>
      <c r="E428" s="129"/>
      <c r="F428" s="132"/>
      <c r="G428" s="201"/>
      <c r="H428" s="202"/>
      <c r="I428" s="202"/>
      <c r="J428" s="202"/>
      <c r="K428" s="202"/>
      <c r="L428" s="202"/>
      <c r="M428" s="202"/>
      <c r="N428" s="202"/>
      <c r="O428" s="202"/>
      <c r="P428" s="202"/>
      <c r="Q428" s="202"/>
      <c r="R428" s="203"/>
    </row>
    <row r="429" spans="1:18">
      <c r="A429" s="128"/>
      <c r="B429" s="131"/>
      <c r="C429" s="129"/>
      <c r="D429" s="129"/>
      <c r="E429" s="129"/>
      <c r="F429" s="132"/>
      <c r="G429" s="201"/>
      <c r="H429" s="202"/>
      <c r="I429" s="202"/>
      <c r="J429" s="202"/>
      <c r="K429" s="202"/>
      <c r="L429" s="202"/>
      <c r="M429" s="202"/>
      <c r="N429" s="202"/>
      <c r="O429" s="202"/>
      <c r="P429" s="202"/>
      <c r="Q429" s="202"/>
      <c r="R429" s="203"/>
    </row>
    <row r="430" spans="1:18">
      <c r="A430" s="128"/>
      <c r="B430" s="131"/>
      <c r="C430" s="129"/>
      <c r="D430" s="129"/>
      <c r="E430" s="129"/>
      <c r="F430" s="132"/>
      <c r="G430" s="201"/>
      <c r="H430" s="202"/>
      <c r="I430" s="202"/>
      <c r="J430" s="202"/>
      <c r="K430" s="202"/>
      <c r="L430" s="202"/>
      <c r="M430" s="202"/>
      <c r="N430" s="202"/>
      <c r="O430" s="202"/>
      <c r="P430" s="202"/>
      <c r="Q430" s="202"/>
      <c r="R430" s="203"/>
    </row>
    <row r="431" spans="1:18">
      <c r="A431" s="128"/>
      <c r="B431" s="131"/>
      <c r="C431" s="129"/>
      <c r="D431" s="129"/>
      <c r="E431" s="129"/>
      <c r="F431" s="132"/>
      <c r="G431" s="201"/>
      <c r="H431" s="202"/>
      <c r="I431" s="202"/>
      <c r="J431" s="202"/>
      <c r="K431" s="202"/>
      <c r="L431" s="202"/>
      <c r="M431" s="202"/>
      <c r="N431" s="202"/>
      <c r="O431" s="202"/>
      <c r="P431" s="202"/>
      <c r="Q431" s="202"/>
      <c r="R431" s="203"/>
    </row>
    <row r="432" spans="1:18">
      <c r="A432" s="128"/>
      <c r="B432" s="131"/>
      <c r="C432" s="129"/>
      <c r="D432" s="129"/>
      <c r="E432" s="129"/>
      <c r="F432" s="132"/>
      <c r="G432" s="201"/>
      <c r="H432" s="202"/>
      <c r="I432" s="202"/>
      <c r="J432" s="202"/>
      <c r="K432" s="202"/>
      <c r="L432" s="202"/>
      <c r="M432" s="202"/>
      <c r="N432" s="202"/>
      <c r="O432" s="202"/>
      <c r="P432" s="202"/>
      <c r="Q432" s="202"/>
      <c r="R432" s="203"/>
    </row>
    <row r="433" spans="1:18">
      <c r="A433" s="128"/>
      <c r="B433" s="131"/>
      <c r="C433" s="129"/>
      <c r="D433" s="129"/>
      <c r="E433" s="129"/>
      <c r="F433" s="132"/>
      <c r="G433" s="201"/>
      <c r="H433" s="202"/>
      <c r="I433" s="202"/>
      <c r="J433" s="202"/>
      <c r="K433" s="202"/>
      <c r="L433" s="202"/>
      <c r="M433" s="202"/>
      <c r="N433" s="202"/>
      <c r="O433" s="202"/>
      <c r="P433" s="202"/>
      <c r="Q433" s="202"/>
      <c r="R433" s="203"/>
    </row>
    <row r="434" spans="1:18">
      <c r="A434" s="128"/>
      <c r="B434" s="131"/>
      <c r="C434" s="129"/>
      <c r="D434" s="129"/>
      <c r="E434" s="129"/>
      <c r="F434" s="132"/>
      <c r="G434" s="201"/>
      <c r="H434" s="202"/>
      <c r="I434" s="202"/>
      <c r="J434" s="202"/>
      <c r="K434" s="202"/>
      <c r="L434" s="202"/>
      <c r="M434" s="202"/>
      <c r="N434" s="202"/>
      <c r="O434" s="202"/>
      <c r="P434" s="202"/>
      <c r="Q434" s="202"/>
      <c r="R434" s="203"/>
    </row>
    <row r="435" spans="1:18">
      <c r="A435" s="128"/>
      <c r="B435" s="131"/>
      <c r="C435" s="129"/>
      <c r="D435" s="129"/>
      <c r="E435" s="129"/>
      <c r="F435" s="132"/>
      <c r="G435" s="201"/>
      <c r="H435" s="202"/>
      <c r="I435" s="202"/>
      <c r="J435" s="202"/>
      <c r="K435" s="202"/>
      <c r="L435" s="202"/>
      <c r="M435" s="202"/>
      <c r="N435" s="202"/>
      <c r="O435" s="202"/>
      <c r="P435" s="202"/>
      <c r="Q435" s="202"/>
      <c r="R435" s="203"/>
    </row>
    <row r="436" spans="1:18">
      <c r="A436" s="128"/>
      <c r="B436" s="131"/>
      <c r="C436" s="129"/>
      <c r="D436" s="129"/>
      <c r="E436" s="129"/>
      <c r="F436" s="132"/>
      <c r="G436" s="201"/>
      <c r="H436" s="202"/>
      <c r="I436" s="202"/>
      <c r="J436" s="202"/>
      <c r="K436" s="202"/>
      <c r="L436" s="202"/>
      <c r="M436" s="202"/>
      <c r="N436" s="202"/>
      <c r="O436" s="202"/>
      <c r="P436" s="202"/>
      <c r="Q436" s="202"/>
      <c r="R436" s="203"/>
    </row>
    <row r="437" spans="1:18">
      <c r="A437" s="128"/>
      <c r="B437" s="131"/>
      <c r="C437" s="129"/>
      <c r="D437" s="129"/>
      <c r="E437" s="129"/>
      <c r="F437" s="132"/>
      <c r="G437" s="201"/>
      <c r="H437" s="202"/>
      <c r="I437" s="202"/>
      <c r="J437" s="202"/>
      <c r="K437" s="202"/>
      <c r="L437" s="202"/>
      <c r="M437" s="202"/>
      <c r="N437" s="202"/>
      <c r="O437" s="202"/>
      <c r="P437" s="202"/>
      <c r="Q437" s="202"/>
      <c r="R437" s="203"/>
    </row>
    <row r="438" spans="1:18">
      <c r="A438" s="128"/>
      <c r="B438" s="131"/>
      <c r="C438" s="129"/>
      <c r="D438" s="129"/>
      <c r="E438" s="129"/>
      <c r="F438" s="132"/>
      <c r="G438" s="201"/>
      <c r="H438" s="202"/>
      <c r="I438" s="202"/>
      <c r="J438" s="202"/>
      <c r="K438" s="202"/>
      <c r="L438" s="202"/>
      <c r="M438" s="202"/>
      <c r="N438" s="202"/>
      <c r="O438" s="202"/>
      <c r="P438" s="202"/>
      <c r="Q438" s="202"/>
      <c r="R438" s="203"/>
    </row>
    <row r="439" spans="1:18">
      <c r="A439" s="128"/>
      <c r="B439" s="131"/>
      <c r="C439" s="129"/>
      <c r="D439" s="129"/>
      <c r="E439" s="129"/>
      <c r="F439" s="132"/>
      <c r="G439" s="201"/>
      <c r="H439" s="202"/>
      <c r="I439" s="202"/>
      <c r="J439" s="202"/>
      <c r="K439" s="202"/>
      <c r="L439" s="202"/>
      <c r="M439" s="202"/>
      <c r="N439" s="202"/>
      <c r="O439" s="202"/>
      <c r="P439" s="202"/>
      <c r="Q439" s="202"/>
      <c r="R439" s="203"/>
    </row>
    <row r="440" spans="1:18">
      <c r="A440" s="128"/>
      <c r="B440" s="131"/>
      <c r="C440" s="129"/>
      <c r="D440" s="129"/>
      <c r="E440" s="129"/>
      <c r="F440" s="132"/>
      <c r="G440" s="201"/>
      <c r="H440" s="202"/>
      <c r="I440" s="202"/>
      <c r="J440" s="202"/>
      <c r="K440" s="202"/>
      <c r="L440" s="202"/>
      <c r="M440" s="202"/>
      <c r="N440" s="202"/>
      <c r="O440" s="202"/>
      <c r="P440" s="202"/>
      <c r="Q440" s="202"/>
      <c r="R440" s="203"/>
    </row>
    <row r="441" spans="1:18">
      <c r="A441" s="128"/>
      <c r="B441" s="131"/>
      <c r="C441" s="129"/>
      <c r="D441" s="129"/>
      <c r="E441" s="129"/>
      <c r="F441" s="132"/>
      <c r="G441" s="201"/>
      <c r="H441" s="202"/>
      <c r="I441" s="202"/>
      <c r="J441" s="202"/>
      <c r="K441" s="202"/>
      <c r="L441" s="202"/>
      <c r="M441" s="202"/>
      <c r="N441" s="202"/>
      <c r="O441" s="202"/>
      <c r="P441" s="202"/>
      <c r="Q441" s="202"/>
      <c r="R441" s="203"/>
    </row>
    <row r="442" spans="1:18">
      <c r="A442" s="128"/>
      <c r="B442" s="131"/>
      <c r="C442" s="129"/>
      <c r="D442" s="129"/>
      <c r="E442" s="129"/>
      <c r="F442" s="132"/>
      <c r="G442" s="201"/>
      <c r="H442" s="202"/>
      <c r="I442" s="202"/>
      <c r="J442" s="202"/>
      <c r="K442" s="202"/>
      <c r="L442" s="202"/>
      <c r="M442" s="202"/>
      <c r="N442" s="202"/>
      <c r="O442" s="202"/>
      <c r="P442" s="202"/>
      <c r="Q442" s="202"/>
      <c r="R442" s="203"/>
    </row>
    <row r="443" spans="1:18">
      <c r="A443" s="128"/>
      <c r="B443" s="131"/>
      <c r="C443" s="129"/>
      <c r="D443" s="129"/>
      <c r="E443" s="129"/>
      <c r="F443" s="132"/>
      <c r="G443" s="201"/>
      <c r="H443" s="202"/>
      <c r="I443" s="202"/>
      <c r="J443" s="202"/>
      <c r="K443" s="202"/>
      <c r="L443" s="202"/>
      <c r="M443" s="202"/>
      <c r="N443" s="202"/>
      <c r="O443" s="202"/>
      <c r="P443" s="202"/>
      <c r="Q443" s="202"/>
      <c r="R443" s="203"/>
    </row>
    <row r="444" spans="1:18">
      <c r="A444" s="128"/>
      <c r="B444" s="131"/>
      <c r="C444" s="129"/>
      <c r="D444" s="129"/>
      <c r="E444" s="129"/>
      <c r="F444" s="132"/>
      <c r="G444" s="201"/>
      <c r="H444" s="202"/>
      <c r="I444" s="202"/>
      <c r="J444" s="202"/>
      <c r="K444" s="202"/>
      <c r="L444" s="202"/>
      <c r="M444" s="202"/>
      <c r="N444" s="202"/>
      <c r="O444" s="202"/>
      <c r="P444" s="202"/>
      <c r="Q444" s="202"/>
      <c r="R444" s="203"/>
    </row>
    <row r="445" spans="1:18">
      <c r="A445" s="128"/>
      <c r="B445" s="131"/>
      <c r="C445" s="129"/>
      <c r="D445" s="129"/>
      <c r="E445" s="129"/>
      <c r="F445" s="132"/>
      <c r="G445" s="201"/>
      <c r="H445" s="202"/>
      <c r="I445" s="202"/>
      <c r="J445" s="202"/>
      <c r="K445" s="202"/>
      <c r="L445" s="202"/>
      <c r="M445" s="202"/>
      <c r="N445" s="202"/>
      <c r="O445" s="202"/>
      <c r="P445" s="202"/>
      <c r="Q445" s="202"/>
      <c r="R445" s="203"/>
    </row>
    <row r="446" spans="1:18">
      <c r="A446" s="128"/>
      <c r="B446" s="131"/>
      <c r="C446" s="129"/>
      <c r="D446" s="129"/>
      <c r="E446" s="129"/>
      <c r="F446" s="132"/>
      <c r="G446" s="201"/>
      <c r="H446" s="202"/>
      <c r="I446" s="202"/>
      <c r="J446" s="202"/>
      <c r="K446" s="202"/>
      <c r="L446" s="202"/>
      <c r="M446" s="202"/>
      <c r="N446" s="202"/>
      <c r="O446" s="202"/>
      <c r="P446" s="202"/>
      <c r="Q446" s="202"/>
      <c r="R446" s="203"/>
    </row>
    <row r="447" spans="1:18">
      <c r="A447" s="128"/>
      <c r="B447" s="131"/>
      <c r="C447" s="129"/>
      <c r="D447" s="129"/>
      <c r="E447" s="129"/>
      <c r="F447" s="132"/>
      <c r="G447" s="201"/>
      <c r="H447" s="202"/>
      <c r="I447" s="202"/>
      <c r="J447" s="202"/>
      <c r="K447" s="202"/>
      <c r="L447" s="202"/>
      <c r="M447" s="202"/>
      <c r="N447" s="202"/>
      <c r="O447" s="202"/>
      <c r="P447" s="202"/>
      <c r="Q447" s="202"/>
      <c r="R447" s="203"/>
    </row>
    <row r="448" spans="1:18">
      <c r="A448" s="128"/>
      <c r="B448" s="131"/>
      <c r="C448" s="129"/>
      <c r="D448" s="129"/>
      <c r="E448" s="129"/>
      <c r="F448" s="132"/>
      <c r="G448" s="201"/>
      <c r="H448" s="202"/>
      <c r="I448" s="202"/>
      <c r="J448" s="202"/>
      <c r="K448" s="202"/>
      <c r="L448" s="202"/>
      <c r="M448" s="202"/>
      <c r="N448" s="202"/>
      <c r="O448" s="202"/>
      <c r="P448" s="202"/>
      <c r="Q448" s="202"/>
      <c r="R448" s="203"/>
    </row>
    <row r="449" spans="1:18">
      <c r="A449" s="128"/>
      <c r="B449" s="131"/>
      <c r="C449" s="129"/>
      <c r="D449" s="129"/>
      <c r="E449" s="129"/>
      <c r="F449" s="132"/>
      <c r="G449" s="201"/>
      <c r="H449" s="202"/>
      <c r="I449" s="202"/>
      <c r="J449" s="202"/>
      <c r="K449" s="202"/>
      <c r="L449" s="202"/>
      <c r="M449" s="202"/>
      <c r="N449" s="202"/>
      <c r="O449" s="202"/>
      <c r="P449" s="202"/>
      <c r="Q449" s="202"/>
      <c r="R449" s="203"/>
    </row>
    <row r="450" spans="1:18">
      <c r="A450" s="128"/>
      <c r="B450" s="131"/>
      <c r="C450" s="129"/>
      <c r="D450" s="129"/>
      <c r="E450" s="129"/>
      <c r="F450" s="132"/>
      <c r="G450" s="201"/>
      <c r="H450" s="202"/>
      <c r="I450" s="202"/>
      <c r="J450" s="202"/>
      <c r="K450" s="202"/>
      <c r="L450" s="202"/>
      <c r="M450" s="202"/>
      <c r="N450" s="202"/>
      <c r="O450" s="202"/>
      <c r="P450" s="202"/>
      <c r="Q450" s="202"/>
      <c r="R450" s="203"/>
    </row>
    <row r="451" spans="1:18">
      <c r="A451" s="128"/>
      <c r="B451" s="131"/>
      <c r="C451" s="129"/>
      <c r="D451" s="129"/>
      <c r="E451" s="129"/>
      <c r="F451" s="132"/>
      <c r="G451" s="201"/>
      <c r="H451" s="202"/>
      <c r="I451" s="202"/>
      <c r="J451" s="202"/>
      <c r="K451" s="202"/>
      <c r="L451" s="202"/>
      <c r="M451" s="202"/>
      <c r="N451" s="202"/>
      <c r="O451" s="202"/>
      <c r="P451" s="202"/>
      <c r="Q451" s="202"/>
      <c r="R451" s="203"/>
    </row>
    <row r="452" spans="1:18">
      <c r="A452" s="128"/>
      <c r="B452" s="131"/>
      <c r="C452" s="129"/>
      <c r="D452" s="129"/>
      <c r="E452" s="129"/>
      <c r="F452" s="132"/>
      <c r="G452" s="201"/>
      <c r="H452" s="202"/>
      <c r="I452" s="202"/>
      <c r="J452" s="202"/>
      <c r="K452" s="202"/>
      <c r="L452" s="202"/>
      <c r="M452" s="202"/>
      <c r="N452" s="202"/>
      <c r="O452" s="202"/>
      <c r="P452" s="202"/>
      <c r="Q452" s="202"/>
      <c r="R452" s="203"/>
    </row>
    <row r="453" spans="1:18">
      <c r="A453" s="128"/>
      <c r="B453" s="131"/>
      <c r="C453" s="129"/>
      <c r="D453" s="129"/>
      <c r="E453" s="129"/>
      <c r="F453" s="132"/>
      <c r="G453" s="201"/>
      <c r="H453" s="202"/>
      <c r="I453" s="202"/>
      <c r="J453" s="202"/>
      <c r="K453" s="202"/>
      <c r="L453" s="202"/>
      <c r="M453" s="202"/>
      <c r="N453" s="202"/>
      <c r="O453" s="202"/>
      <c r="P453" s="202"/>
      <c r="Q453" s="202"/>
      <c r="R453" s="203"/>
    </row>
    <row r="454" spans="1:18">
      <c r="A454" s="128"/>
      <c r="B454" s="131"/>
      <c r="C454" s="129"/>
      <c r="D454" s="129"/>
      <c r="E454" s="129"/>
      <c r="F454" s="132"/>
      <c r="G454" s="201"/>
      <c r="H454" s="202"/>
      <c r="I454" s="202"/>
      <c r="J454" s="202"/>
      <c r="K454" s="202"/>
      <c r="L454" s="202"/>
      <c r="M454" s="202"/>
      <c r="N454" s="202"/>
      <c r="O454" s="202"/>
      <c r="P454" s="202"/>
      <c r="Q454" s="202"/>
      <c r="R454" s="203"/>
    </row>
    <row r="455" spans="1:18">
      <c r="A455" s="128"/>
      <c r="B455" s="131"/>
      <c r="C455" s="129"/>
      <c r="D455" s="129"/>
      <c r="E455" s="129"/>
      <c r="F455" s="132"/>
      <c r="G455" s="201"/>
      <c r="H455" s="202"/>
      <c r="I455" s="202"/>
      <c r="J455" s="202"/>
      <c r="K455" s="202"/>
      <c r="L455" s="202"/>
      <c r="M455" s="202"/>
      <c r="N455" s="202"/>
      <c r="O455" s="202"/>
      <c r="P455" s="202"/>
      <c r="Q455" s="202"/>
      <c r="R455" s="203"/>
    </row>
    <row r="456" spans="1:18">
      <c r="A456" s="128"/>
      <c r="B456" s="131"/>
      <c r="C456" s="129"/>
      <c r="D456" s="129"/>
      <c r="E456" s="129"/>
      <c r="F456" s="132"/>
      <c r="G456" s="201"/>
      <c r="H456" s="202"/>
      <c r="I456" s="202"/>
      <c r="J456" s="202"/>
      <c r="K456" s="202"/>
      <c r="L456" s="202"/>
      <c r="M456" s="202"/>
      <c r="N456" s="202"/>
      <c r="O456" s="202"/>
      <c r="P456" s="202"/>
      <c r="Q456" s="202"/>
      <c r="R456" s="203"/>
    </row>
    <row r="457" spans="1:18">
      <c r="A457" s="128"/>
      <c r="B457" s="131"/>
      <c r="C457" s="129"/>
      <c r="D457" s="129"/>
      <c r="E457" s="129"/>
      <c r="F457" s="132"/>
      <c r="G457" s="201"/>
      <c r="H457" s="202"/>
      <c r="I457" s="202"/>
      <c r="J457" s="202"/>
      <c r="K457" s="202"/>
      <c r="L457" s="202"/>
      <c r="M457" s="202"/>
      <c r="N457" s="202"/>
      <c r="O457" s="202"/>
      <c r="P457" s="202"/>
      <c r="Q457" s="202"/>
      <c r="R457" s="203"/>
    </row>
    <row r="458" spans="1:18">
      <c r="A458" s="128"/>
      <c r="B458" s="131"/>
      <c r="C458" s="129"/>
      <c r="D458" s="129"/>
      <c r="E458" s="129"/>
      <c r="F458" s="132"/>
      <c r="G458" s="201"/>
      <c r="H458" s="202"/>
      <c r="I458" s="202"/>
      <c r="J458" s="202"/>
      <c r="K458" s="202"/>
      <c r="L458" s="202"/>
      <c r="M458" s="202"/>
      <c r="N458" s="202"/>
      <c r="O458" s="202"/>
      <c r="P458" s="202"/>
      <c r="Q458" s="202"/>
      <c r="R458" s="203"/>
    </row>
    <row r="459" spans="1:18">
      <c r="A459" s="128"/>
      <c r="B459" s="131"/>
      <c r="C459" s="129"/>
      <c r="D459" s="129"/>
      <c r="E459" s="129"/>
      <c r="F459" s="132"/>
      <c r="G459" s="201"/>
      <c r="H459" s="202"/>
      <c r="I459" s="202"/>
      <c r="J459" s="202"/>
      <c r="K459" s="202"/>
      <c r="L459" s="202"/>
      <c r="M459" s="202"/>
      <c r="N459" s="202"/>
      <c r="O459" s="202"/>
      <c r="P459" s="202"/>
      <c r="Q459" s="202"/>
      <c r="R459" s="203"/>
    </row>
    <row r="460" spans="1:18">
      <c r="A460" s="128"/>
      <c r="B460" s="131"/>
      <c r="C460" s="129"/>
      <c r="D460" s="129"/>
      <c r="E460" s="129"/>
      <c r="F460" s="132"/>
      <c r="G460" s="201"/>
      <c r="H460" s="202"/>
      <c r="I460" s="202"/>
      <c r="J460" s="202"/>
      <c r="K460" s="202"/>
      <c r="L460" s="202"/>
      <c r="M460" s="202"/>
      <c r="N460" s="202"/>
      <c r="O460" s="202"/>
      <c r="P460" s="202"/>
      <c r="Q460" s="202"/>
      <c r="R460" s="203"/>
    </row>
    <row r="461" spans="1:18">
      <c r="A461" s="128"/>
      <c r="B461" s="131"/>
      <c r="C461" s="129"/>
      <c r="D461" s="129"/>
      <c r="E461" s="129"/>
      <c r="F461" s="132"/>
      <c r="G461" s="201"/>
      <c r="H461" s="202"/>
      <c r="I461" s="202"/>
      <c r="J461" s="202"/>
      <c r="K461" s="202"/>
      <c r="L461" s="202"/>
      <c r="M461" s="202"/>
      <c r="N461" s="202"/>
      <c r="O461" s="202"/>
      <c r="P461" s="202"/>
      <c r="Q461" s="202"/>
      <c r="R461" s="203"/>
    </row>
    <row r="462" spans="1:18">
      <c r="A462" s="128"/>
      <c r="B462" s="131"/>
      <c r="C462" s="129"/>
      <c r="D462" s="129"/>
      <c r="E462" s="129"/>
      <c r="F462" s="132"/>
      <c r="G462" s="201"/>
      <c r="H462" s="202"/>
      <c r="I462" s="202"/>
      <c r="J462" s="202"/>
      <c r="K462" s="202"/>
      <c r="L462" s="202"/>
      <c r="M462" s="202"/>
      <c r="N462" s="202"/>
      <c r="O462" s="202"/>
      <c r="P462" s="202"/>
      <c r="Q462" s="202"/>
      <c r="R462" s="203"/>
    </row>
    <row r="463" spans="1:18">
      <c r="A463" s="128"/>
      <c r="B463" s="131"/>
      <c r="C463" s="129"/>
      <c r="D463" s="129"/>
      <c r="E463" s="129"/>
      <c r="F463" s="132"/>
      <c r="G463" s="201"/>
      <c r="H463" s="202"/>
      <c r="I463" s="202"/>
      <c r="J463" s="202"/>
      <c r="K463" s="202"/>
      <c r="L463" s="202"/>
      <c r="M463" s="202"/>
      <c r="N463" s="202"/>
      <c r="O463" s="202"/>
      <c r="P463" s="202"/>
      <c r="Q463" s="202"/>
      <c r="R463" s="203"/>
    </row>
    <row r="464" spans="1:18">
      <c r="A464" s="128"/>
      <c r="B464" s="131"/>
      <c r="C464" s="129"/>
      <c r="D464" s="129"/>
      <c r="E464" s="129"/>
      <c r="F464" s="132"/>
      <c r="G464" s="201"/>
      <c r="H464" s="202"/>
      <c r="I464" s="202"/>
      <c r="J464" s="202"/>
      <c r="K464" s="202"/>
      <c r="L464" s="202"/>
      <c r="M464" s="202"/>
      <c r="N464" s="202"/>
      <c r="O464" s="202"/>
      <c r="P464" s="202"/>
      <c r="Q464" s="202"/>
      <c r="R464" s="203"/>
    </row>
    <row r="465" spans="1:18">
      <c r="A465" s="128"/>
      <c r="B465" s="131"/>
      <c r="C465" s="129"/>
      <c r="D465" s="129"/>
      <c r="E465" s="129"/>
      <c r="F465" s="132"/>
      <c r="G465" s="201"/>
      <c r="H465" s="202"/>
      <c r="I465" s="202"/>
      <c r="J465" s="202"/>
      <c r="K465" s="202"/>
      <c r="L465" s="202"/>
      <c r="M465" s="202"/>
      <c r="N465" s="202"/>
      <c r="O465" s="202"/>
      <c r="P465" s="202"/>
      <c r="Q465" s="202"/>
      <c r="R465" s="203"/>
    </row>
    <row r="466" spans="1:18">
      <c r="A466" s="128"/>
      <c r="B466" s="131"/>
      <c r="C466" s="129"/>
      <c r="D466" s="129"/>
      <c r="E466" s="129"/>
      <c r="F466" s="132"/>
      <c r="G466" s="201"/>
      <c r="H466" s="202"/>
      <c r="I466" s="202"/>
      <c r="J466" s="202"/>
      <c r="K466" s="202"/>
      <c r="L466" s="202"/>
      <c r="M466" s="202"/>
      <c r="N466" s="202"/>
      <c r="O466" s="202"/>
      <c r="P466" s="202"/>
      <c r="Q466" s="202"/>
      <c r="R466" s="203"/>
    </row>
    <row r="467" spans="1:18">
      <c r="A467" s="128"/>
      <c r="B467" s="131"/>
      <c r="C467" s="129"/>
      <c r="D467" s="129"/>
      <c r="E467" s="129"/>
      <c r="F467" s="132"/>
      <c r="G467" s="201"/>
      <c r="H467" s="202"/>
      <c r="I467" s="202"/>
      <c r="J467" s="202"/>
      <c r="K467" s="202"/>
      <c r="L467" s="202"/>
      <c r="M467" s="202"/>
      <c r="N467" s="202"/>
      <c r="O467" s="202"/>
      <c r="P467" s="202"/>
      <c r="Q467" s="202"/>
      <c r="R467" s="203"/>
    </row>
    <row r="468" spans="1:18">
      <c r="A468" s="128"/>
      <c r="B468" s="131"/>
      <c r="C468" s="129"/>
      <c r="D468" s="129"/>
      <c r="E468" s="129"/>
      <c r="F468" s="132"/>
      <c r="G468" s="201"/>
      <c r="H468" s="202"/>
      <c r="I468" s="202"/>
      <c r="J468" s="202"/>
      <c r="K468" s="202"/>
      <c r="L468" s="202"/>
      <c r="M468" s="202"/>
      <c r="N468" s="202"/>
      <c r="O468" s="202"/>
      <c r="P468" s="202"/>
      <c r="Q468" s="202"/>
      <c r="R468" s="203"/>
    </row>
    <row r="469" spans="1:18">
      <c r="A469" s="128"/>
      <c r="B469" s="131"/>
      <c r="C469" s="129"/>
      <c r="D469" s="129"/>
      <c r="E469" s="129"/>
      <c r="F469" s="132"/>
      <c r="G469" s="201"/>
      <c r="H469" s="202"/>
      <c r="I469" s="202"/>
      <c r="J469" s="202"/>
      <c r="K469" s="202"/>
      <c r="L469" s="202"/>
      <c r="M469" s="202"/>
      <c r="N469" s="202"/>
      <c r="O469" s="202"/>
      <c r="P469" s="202"/>
      <c r="Q469" s="202"/>
      <c r="R469" s="203"/>
    </row>
    <row r="470" spans="1:18">
      <c r="A470" s="128"/>
      <c r="B470" s="131"/>
      <c r="C470" s="129"/>
      <c r="D470" s="129"/>
      <c r="E470" s="129"/>
      <c r="F470" s="132"/>
      <c r="G470" s="201"/>
      <c r="H470" s="202"/>
      <c r="I470" s="202"/>
      <c r="J470" s="202"/>
      <c r="K470" s="202"/>
      <c r="L470" s="202"/>
      <c r="M470" s="202"/>
      <c r="N470" s="202"/>
      <c r="O470" s="202"/>
      <c r="P470" s="202"/>
      <c r="Q470" s="202"/>
      <c r="R470" s="203"/>
    </row>
    <row r="471" spans="1:18">
      <c r="A471" s="128"/>
      <c r="B471" s="131"/>
      <c r="C471" s="129"/>
      <c r="D471" s="129"/>
      <c r="E471" s="129"/>
      <c r="F471" s="132"/>
      <c r="G471" s="201"/>
      <c r="H471" s="202"/>
      <c r="I471" s="202"/>
      <c r="J471" s="202"/>
      <c r="K471" s="202"/>
      <c r="L471" s="202"/>
      <c r="M471" s="202"/>
      <c r="N471" s="202"/>
      <c r="O471" s="202"/>
      <c r="P471" s="202"/>
      <c r="Q471" s="202"/>
      <c r="R471" s="203"/>
    </row>
    <row r="472" spans="1:18">
      <c r="A472" s="128"/>
      <c r="B472" s="131"/>
      <c r="C472" s="129"/>
      <c r="D472" s="129"/>
      <c r="E472" s="129"/>
      <c r="F472" s="132"/>
      <c r="G472" s="201"/>
      <c r="H472" s="202"/>
      <c r="I472" s="202"/>
      <c r="J472" s="202"/>
      <c r="K472" s="202"/>
      <c r="L472" s="202"/>
      <c r="M472" s="202"/>
      <c r="N472" s="202"/>
      <c r="O472" s="202"/>
      <c r="P472" s="202"/>
      <c r="Q472" s="202"/>
      <c r="R472" s="203"/>
    </row>
    <row r="473" spans="1:18">
      <c r="A473" s="128"/>
      <c r="B473" s="131"/>
      <c r="C473" s="129"/>
      <c r="D473" s="129"/>
      <c r="E473" s="129"/>
      <c r="F473" s="132"/>
      <c r="G473" s="201"/>
      <c r="H473" s="202"/>
      <c r="I473" s="202"/>
      <c r="J473" s="202"/>
      <c r="K473" s="202"/>
      <c r="L473" s="202"/>
      <c r="M473" s="202"/>
      <c r="N473" s="202"/>
      <c r="O473" s="202"/>
      <c r="P473" s="202"/>
      <c r="Q473" s="202"/>
      <c r="R473" s="203"/>
    </row>
    <row r="474" spans="1:18">
      <c r="A474" s="128"/>
      <c r="B474" s="131"/>
      <c r="C474" s="129"/>
      <c r="D474" s="129"/>
      <c r="E474" s="129"/>
      <c r="F474" s="132"/>
      <c r="G474" s="201"/>
      <c r="H474" s="202"/>
      <c r="I474" s="202"/>
      <c r="J474" s="202"/>
      <c r="K474" s="202"/>
      <c r="L474" s="202"/>
      <c r="M474" s="202"/>
      <c r="N474" s="202"/>
      <c r="O474" s="202"/>
      <c r="P474" s="202"/>
      <c r="Q474" s="202"/>
      <c r="R474" s="203"/>
    </row>
    <row r="475" spans="1:18">
      <c r="A475" s="128"/>
      <c r="B475" s="131"/>
      <c r="C475" s="129"/>
      <c r="D475" s="129"/>
      <c r="E475" s="129"/>
      <c r="F475" s="132"/>
      <c r="G475" s="201"/>
      <c r="H475" s="202"/>
      <c r="I475" s="202"/>
      <c r="J475" s="202"/>
      <c r="K475" s="202"/>
      <c r="L475" s="202"/>
      <c r="M475" s="202"/>
      <c r="N475" s="202"/>
      <c r="O475" s="202"/>
      <c r="P475" s="202"/>
      <c r="Q475" s="202"/>
      <c r="R475" s="203"/>
    </row>
    <row r="476" spans="1:18">
      <c r="A476" s="128"/>
      <c r="B476" s="131"/>
      <c r="C476" s="129"/>
      <c r="D476" s="129"/>
      <c r="E476" s="129"/>
      <c r="F476" s="132"/>
      <c r="G476" s="201"/>
      <c r="H476" s="202"/>
      <c r="I476" s="202"/>
      <c r="J476" s="202"/>
      <c r="K476" s="202"/>
      <c r="L476" s="202"/>
      <c r="M476" s="202"/>
      <c r="N476" s="202"/>
      <c r="O476" s="202"/>
      <c r="P476" s="202"/>
      <c r="Q476" s="202"/>
      <c r="R476" s="203"/>
    </row>
    <row r="477" spans="1:18">
      <c r="A477" s="128"/>
      <c r="B477" s="131"/>
      <c r="C477" s="129"/>
      <c r="D477" s="129"/>
      <c r="E477" s="129"/>
      <c r="F477" s="132"/>
      <c r="G477" s="201"/>
      <c r="H477" s="202"/>
      <c r="I477" s="202"/>
      <c r="J477" s="202"/>
      <c r="K477" s="202"/>
      <c r="L477" s="202"/>
      <c r="M477" s="202"/>
      <c r="N477" s="202"/>
      <c r="O477" s="202"/>
      <c r="P477" s="202"/>
      <c r="Q477" s="202"/>
      <c r="R477" s="203"/>
    </row>
    <row r="478" spans="1:18">
      <c r="A478" s="128"/>
      <c r="B478" s="131"/>
      <c r="C478" s="129"/>
      <c r="D478" s="129"/>
      <c r="E478" s="129"/>
      <c r="F478" s="132"/>
      <c r="G478" s="201"/>
      <c r="H478" s="202"/>
      <c r="I478" s="202"/>
      <c r="J478" s="202"/>
      <c r="K478" s="202"/>
      <c r="L478" s="202"/>
      <c r="M478" s="202"/>
      <c r="N478" s="202"/>
      <c r="O478" s="202"/>
      <c r="P478" s="202"/>
      <c r="Q478" s="202"/>
      <c r="R478" s="203"/>
    </row>
    <row r="479" spans="1:18">
      <c r="A479" s="128"/>
      <c r="B479" s="131"/>
      <c r="C479" s="129"/>
      <c r="D479" s="129"/>
      <c r="E479" s="129"/>
      <c r="F479" s="132"/>
      <c r="G479" s="201"/>
      <c r="H479" s="202"/>
      <c r="I479" s="202"/>
      <c r="J479" s="202"/>
      <c r="K479" s="202"/>
      <c r="L479" s="202"/>
      <c r="M479" s="202"/>
      <c r="N479" s="202"/>
      <c r="O479" s="202"/>
      <c r="P479" s="202"/>
      <c r="Q479" s="202"/>
      <c r="R479" s="203"/>
    </row>
    <row r="480" spans="1:18">
      <c r="A480" s="128"/>
      <c r="B480" s="131"/>
      <c r="C480" s="129"/>
      <c r="D480" s="129"/>
      <c r="E480" s="129"/>
      <c r="F480" s="132"/>
      <c r="G480" s="201"/>
      <c r="H480" s="202"/>
      <c r="I480" s="202"/>
      <c r="J480" s="202"/>
      <c r="K480" s="202"/>
      <c r="L480" s="202"/>
      <c r="M480" s="202"/>
      <c r="N480" s="202"/>
      <c r="O480" s="202"/>
      <c r="P480" s="202"/>
      <c r="Q480" s="202"/>
      <c r="R480" s="203"/>
    </row>
    <row r="481" spans="1:18">
      <c r="A481" s="128"/>
      <c r="B481" s="131"/>
      <c r="C481" s="129"/>
      <c r="D481" s="129"/>
      <c r="E481" s="129"/>
      <c r="F481" s="132"/>
      <c r="G481" s="201"/>
      <c r="H481" s="202"/>
      <c r="I481" s="202"/>
      <c r="J481" s="202"/>
      <c r="K481" s="202"/>
      <c r="L481" s="202"/>
      <c r="M481" s="202"/>
      <c r="N481" s="202"/>
      <c r="O481" s="202"/>
      <c r="P481" s="202"/>
      <c r="Q481" s="202"/>
      <c r="R481" s="203"/>
    </row>
    <row r="482" spans="1:18">
      <c r="A482" s="128"/>
      <c r="B482" s="131"/>
      <c r="C482" s="129"/>
      <c r="D482" s="129"/>
      <c r="E482" s="129"/>
      <c r="F482" s="132"/>
      <c r="G482" s="201"/>
      <c r="H482" s="202"/>
      <c r="I482" s="202"/>
      <c r="J482" s="202"/>
      <c r="K482" s="202"/>
      <c r="L482" s="202"/>
      <c r="M482" s="202"/>
      <c r="N482" s="202"/>
      <c r="O482" s="202"/>
      <c r="P482" s="202"/>
      <c r="Q482" s="202"/>
      <c r="R482" s="203"/>
    </row>
    <row r="483" spans="1:18">
      <c r="A483" s="128"/>
      <c r="B483" s="131"/>
      <c r="C483" s="129"/>
      <c r="D483" s="129"/>
      <c r="E483" s="129"/>
      <c r="F483" s="132"/>
      <c r="G483" s="201"/>
      <c r="H483" s="202"/>
      <c r="I483" s="202"/>
      <c r="J483" s="202"/>
      <c r="K483" s="202"/>
      <c r="L483" s="202"/>
      <c r="M483" s="202"/>
      <c r="N483" s="202"/>
      <c r="O483" s="202"/>
      <c r="P483" s="202"/>
      <c r="Q483" s="202"/>
      <c r="R483" s="203"/>
    </row>
    <row r="484" spans="1:18">
      <c r="A484" s="128"/>
      <c r="B484" s="131"/>
      <c r="C484" s="129"/>
      <c r="D484" s="129"/>
      <c r="E484" s="129"/>
      <c r="F484" s="132"/>
      <c r="G484" s="201"/>
      <c r="H484" s="202"/>
      <c r="I484" s="202"/>
      <c r="J484" s="202"/>
      <c r="K484" s="202"/>
      <c r="L484" s="202"/>
      <c r="M484" s="202"/>
      <c r="N484" s="202"/>
      <c r="O484" s="202"/>
      <c r="P484" s="202"/>
      <c r="Q484" s="202"/>
      <c r="R484" s="203"/>
    </row>
    <row r="485" spans="1:18">
      <c r="A485" s="128"/>
      <c r="B485" s="131"/>
      <c r="C485" s="129"/>
      <c r="D485" s="129"/>
      <c r="E485" s="129"/>
      <c r="F485" s="132"/>
      <c r="G485" s="201"/>
      <c r="H485" s="202"/>
      <c r="I485" s="202"/>
      <c r="J485" s="202"/>
      <c r="K485" s="202"/>
      <c r="L485" s="202"/>
      <c r="M485" s="202"/>
      <c r="N485" s="202"/>
      <c r="O485" s="202"/>
      <c r="P485" s="202"/>
      <c r="Q485" s="202"/>
      <c r="R485" s="203"/>
    </row>
    <row r="486" spans="1:18">
      <c r="A486" s="128"/>
      <c r="B486" s="131"/>
      <c r="C486" s="129"/>
      <c r="D486" s="129"/>
      <c r="E486" s="129"/>
      <c r="F486" s="132"/>
      <c r="G486" s="201"/>
      <c r="H486" s="202"/>
      <c r="I486" s="202"/>
      <c r="J486" s="202"/>
      <c r="K486" s="202"/>
      <c r="L486" s="202"/>
      <c r="M486" s="202"/>
      <c r="N486" s="202"/>
      <c r="O486" s="202"/>
      <c r="P486" s="202"/>
      <c r="Q486" s="202"/>
      <c r="R486" s="203"/>
    </row>
    <row r="487" spans="1:18">
      <c r="A487" s="128"/>
      <c r="B487" s="131"/>
      <c r="C487" s="129"/>
      <c r="D487" s="129"/>
      <c r="E487" s="129"/>
      <c r="F487" s="132"/>
      <c r="G487" s="201"/>
      <c r="H487" s="202"/>
      <c r="I487" s="202"/>
      <c r="J487" s="202"/>
      <c r="K487" s="202"/>
      <c r="L487" s="202"/>
      <c r="M487" s="202"/>
      <c r="N487" s="202"/>
      <c r="O487" s="202"/>
      <c r="P487" s="202"/>
      <c r="Q487" s="202"/>
      <c r="R487" s="203"/>
    </row>
    <row r="488" spans="1:18">
      <c r="A488" s="128"/>
      <c r="B488" s="131"/>
      <c r="C488" s="129"/>
      <c r="D488" s="129"/>
      <c r="E488" s="129"/>
      <c r="F488" s="132"/>
      <c r="G488" s="201"/>
      <c r="H488" s="202"/>
      <c r="I488" s="202"/>
      <c r="J488" s="202"/>
      <c r="K488" s="202"/>
      <c r="L488" s="202"/>
      <c r="M488" s="202"/>
      <c r="N488" s="202"/>
      <c r="O488" s="202"/>
      <c r="P488" s="202"/>
      <c r="Q488" s="202"/>
      <c r="R488" s="203"/>
    </row>
    <row r="489" spans="1:18">
      <c r="A489" s="128"/>
      <c r="B489" s="131"/>
      <c r="C489" s="129"/>
      <c r="D489" s="129"/>
      <c r="E489" s="129"/>
      <c r="F489" s="132"/>
      <c r="G489" s="201"/>
      <c r="H489" s="202"/>
      <c r="I489" s="202"/>
      <c r="J489" s="202"/>
      <c r="K489" s="202"/>
      <c r="L489" s="202"/>
      <c r="M489" s="202"/>
      <c r="N489" s="202"/>
      <c r="O489" s="202"/>
      <c r="P489" s="202"/>
      <c r="Q489" s="202"/>
      <c r="R489" s="203"/>
    </row>
    <row r="490" spans="1:18">
      <c r="A490" s="128"/>
      <c r="B490" s="131"/>
      <c r="C490" s="129"/>
      <c r="D490" s="129"/>
      <c r="E490" s="129"/>
      <c r="F490" s="132"/>
      <c r="G490" s="201"/>
      <c r="H490" s="202"/>
      <c r="I490" s="202"/>
      <c r="J490" s="202"/>
      <c r="K490" s="202"/>
      <c r="L490" s="202"/>
      <c r="M490" s="202"/>
      <c r="N490" s="202"/>
      <c r="O490" s="202"/>
      <c r="P490" s="202"/>
      <c r="Q490" s="202"/>
      <c r="R490" s="203"/>
    </row>
    <row r="491" spans="1:18">
      <c r="A491" s="128"/>
      <c r="B491" s="131"/>
      <c r="C491" s="129"/>
      <c r="D491" s="129"/>
      <c r="E491" s="129"/>
      <c r="F491" s="132"/>
      <c r="G491" s="201"/>
      <c r="H491" s="202"/>
      <c r="I491" s="202"/>
      <c r="J491" s="202"/>
      <c r="K491" s="202"/>
      <c r="L491" s="202"/>
      <c r="M491" s="202"/>
      <c r="N491" s="202"/>
      <c r="O491" s="202"/>
      <c r="P491" s="202"/>
      <c r="Q491" s="202"/>
      <c r="R491" s="203"/>
    </row>
    <row r="492" spans="1:18">
      <c r="A492" s="128"/>
      <c r="B492" s="131"/>
      <c r="C492" s="129"/>
      <c r="D492" s="129"/>
      <c r="E492" s="129"/>
      <c r="F492" s="132"/>
      <c r="G492" s="201"/>
      <c r="H492" s="202"/>
      <c r="I492" s="202"/>
      <c r="J492" s="202"/>
      <c r="K492" s="202"/>
      <c r="L492" s="202"/>
      <c r="M492" s="202"/>
      <c r="N492" s="202"/>
      <c r="O492" s="202"/>
      <c r="P492" s="202"/>
      <c r="Q492" s="202"/>
      <c r="R492" s="203"/>
    </row>
    <row r="493" spans="1:18">
      <c r="A493" s="128"/>
      <c r="B493" s="131"/>
      <c r="C493" s="129"/>
      <c r="D493" s="129"/>
      <c r="E493" s="129"/>
      <c r="F493" s="132"/>
      <c r="G493" s="201"/>
      <c r="H493" s="202"/>
      <c r="I493" s="202"/>
      <c r="J493" s="202"/>
      <c r="K493" s="202"/>
      <c r="L493" s="202"/>
      <c r="M493" s="202"/>
      <c r="N493" s="202"/>
      <c r="O493" s="202"/>
      <c r="P493" s="202"/>
      <c r="Q493" s="202"/>
      <c r="R493" s="203"/>
    </row>
    <row r="494" spans="1:18">
      <c r="A494" s="128"/>
      <c r="B494" s="131"/>
      <c r="C494" s="129"/>
      <c r="D494" s="129"/>
      <c r="E494" s="129"/>
      <c r="F494" s="132"/>
      <c r="G494" s="201"/>
      <c r="H494" s="202"/>
      <c r="I494" s="202"/>
      <c r="J494" s="202"/>
      <c r="K494" s="202"/>
      <c r="L494" s="202"/>
      <c r="M494" s="202"/>
      <c r="N494" s="202"/>
      <c r="O494" s="202"/>
      <c r="P494" s="202"/>
      <c r="Q494" s="202"/>
      <c r="R494" s="203"/>
    </row>
    <row r="495" spans="1:18">
      <c r="A495" s="128"/>
      <c r="B495" s="131"/>
      <c r="C495" s="129"/>
      <c r="D495" s="129"/>
      <c r="E495" s="129"/>
      <c r="F495" s="132"/>
      <c r="G495" s="201"/>
      <c r="H495" s="202"/>
      <c r="I495" s="202"/>
      <c r="J495" s="202"/>
      <c r="K495" s="202"/>
      <c r="L495" s="202"/>
      <c r="M495" s="202"/>
      <c r="N495" s="202"/>
      <c r="O495" s="202"/>
      <c r="P495" s="202"/>
      <c r="Q495" s="202"/>
      <c r="R495" s="203"/>
    </row>
    <row r="496" spans="1:18">
      <c r="A496" s="128"/>
      <c r="B496" s="131"/>
      <c r="C496" s="129"/>
      <c r="D496" s="129"/>
      <c r="E496" s="129"/>
      <c r="F496" s="132"/>
      <c r="G496" s="201"/>
      <c r="H496" s="202"/>
      <c r="I496" s="202"/>
      <c r="J496" s="202"/>
      <c r="K496" s="202"/>
      <c r="L496" s="202"/>
      <c r="M496" s="202"/>
      <c r="N496" s="202"/>
      <c r="O496" s="202"/>
      <c r="P496" s="202"/>
      <c r="Q496" s="202"/>
      <c r="R496" s="203"/>
    </row>
    <row r="497" spans="1:18">
      <c r="A497" s="128"/>
      <c r="B497" s="131"/>
      <c r="C497" s="129"/>
      <c r="D497" s="129"/>
      <c r="E497" s="129"/>
      <c r="F497" s="132"/>
      <c r="G497" s="201"/>
      <c r="H497" s="202"/>
      <c r="I497" s="202"/>
      <c r="J497" s="202"/>
      <c r="K497" s="202"/>
      <c r="L497" s="202"/>
      <c r="M497" s="202"/>
      <c r="N497" s="202"/>
      <c r="O497" s="202"/>
      <c r="P497" s="202"/>
      <c r="Q497" s="202"/>
      <c r="R497" s="203"/>
    </row>
    <row r="498" spans="1:18">
      <c r="A498" s="128"/>
      <c r="B498" s="131"/>
      <c r="C498" s="129"/>
      <c r="D498" s="129"/>
      <c r="E498" s="129"/>
      <c r="F498" s="132"/>
      <c r="G498" s="201"/>
      <c r="H498" s="202"/>
      <c r="I498" s="202"/>
      <c r="J498" s="202"/>
      <c r="K498" s="202"/>
      <c r="L498" s="202"/>
      <c r="M498" s="202"/>
      <c r="N498" s="202"/>
      <c r="O498" s="202"/>
      <c r="P498" s="202"/>
      <c r="Q498" s="202"/>
      <c r="R498" s="203"/>
    </row>
    <row r="499" spans="1:18">
      <c r="A499" s="128"/>
      <c r="B499" s="131"/>
      <c r="C499" s="129"/>
      <c r="D499" s="129"/>
      <c r="E499" s="129"/>
      <c r="F499" s="132"/>
      <c r="G499" s="201"/>
      <c r="H499" s="202"/>
      <c r="I499" s="202"/>
      <c r="J499" s="202"/>
      <c r="K499" s="202"/>
      <c r="L499" s="202"/>
      <c r="M499" s="202"/>
      <c r="N499" s="202"/>
      <c r="O499" s="202"/>
      <c r="P499" s="202"/>
      <c r="Q499" s="202"/>
      <c r="R499" s="203"/>
    </row>
    <row r="500" spans="1:18">
      <c r="A500" s="128"/>
      <c r="B500" s="131"/>
      <c r="C500" s="129"/>
      <c r="D500" s="129"/>
      <c r="E500" s="129"/>
      <c r="F500" s="132"/>
      <c r="G500" s="201"/>
      <c r="H500" s="202"/>
      <c r="I500" s="202"/>
      <c r="J500" s="202"/>
      <c r="K500" s="202"/>
      <c r="L500" s="202"/>
      <c r="M500" s="202"/>
      <c r="N500" s="202"/>
      <c r="O500" s="202"/>
      <c r="P500" s="202"/>
      <c r="Q500" s="202"/>
      <c r="R500" s="203"/>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【１】キーワード</vt:lpstr>
      <vt:lpstr>【２】結果</vt:lpstr>
      <vt:lpstr>【３】出品リスト候補</vt:lpstr>
      <vt:lpstr>【４】精査</vt:lpstr>
      <vt:lpstr>【５】出品リスト</vt:lpstr>
      <vt:lpstr>【６】管理用</vt:lpstr>
      <vt:lpstr>送料</vt:lpstr>
      <vt:lpstr>【１】【２】備考</vt:lpstr>
      <vt:lpstr>【３】【５】備考</vt:lpstr>
      <vt:lpstr>【その他】出品リスト</vt:lpstr>
      <vt:lpstr>【その他】管理用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 バロック</dc:creator>
  <cp:lastModifiedBy>01 バロック</cp:lastModifiedBy>
  <dcterms:created xsi:type="dcterms:W3CDTF">2026-07-10T09:22:07Z</dcterms:created>
  <dcterms:modified xsi:type="dcterms:W3CDTF">2026-09-29T06:30:47Z</dcterms:modified>
</cp:coreProperties>
</file>
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ok\Desktop\クロードセッションテスト\"/>
    </mc:Choice>
  </mc:AlternateContent>
  <xr:revisionPtr revIDLastSave="0" documentId="13_ncr:1_{386F79E4-A9CC-4AF1-B68A-55D132FF6BF2}" xr6:coauthVersionLast="47" xr6:coauthVersionMax="47" xr10:uidLastSave="{00000000-0000-0000-0000-000000000000}"/>
  <bookViews>
    <workbookView xWindow="28680" yWindow="-120" windowWidth="29040" windowHeight="15720" xr2:uid="{7ACCC311-AFC2-4939-B60A-3DEA33852035}"/>
  </bookViews>
  <sheets>
    <sheet name="Sheet1" sheetId="1" r:id="rId1"/>
    <sheet name="送料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4" i="1" l="1"/>
  <c r="Y25" i="1"/>
  <c r="Y26" i="1"/>
  <c r="Y27" i="1"/>
  <c r="Y28" i="1"/>
  <c r="Y29" i="1"/>
  <c r="Y30" i="1"/>
  <c r="Y31" i="1"/>
  <c r="Y32" i="1"/>
  <c r="Y33" i="1"/>
  <c r="Y34" i="1"/>
  <c r="Y35" i="1"/>
  <c r="Y36" i="1"/>
  <c r="Y15" i="1"/>
  <c r="Y16" i="1"/>
  <c r="Y17" i="1"/>
  <c r="Y18" i="1"/>
  <c r="Y19" i="1"/>
  <c r="Y20" i="1"/>
  <c r="Y21" i="1"/>
  <c r="Y22" i="1"/>
  <c r="Y23" i="1"/>
  <c r="Y37" i="1"/>
  <c r="Y39" i="1"/>
  <c r="Y40" i="1"/>
  <c r="Y41" i="1"/>
  <c r="J26" i="1"/>
  <c r="K26" i="1"/>
  <c r="M26" i="1" s="1"/>
  <c r="N26" i="1" s="1"/>
  <c r="O26" i="1" s="1"/>
  <c r="Q26" i="1" s="1"/>
  <c r="P26" i="1"/>
  <c r="U26" i="1"/>
  <c r="J27" i="1"/>
  <c r="K27" i="1"/>
  <c r="M27" i="1"/>
  <c r="N27" i="1"/>
  <c r="O27" i="1" s="1"/>
  <c r="Q27" i="1" s="1"/>
  <c r="P27" i="1"/>
  <c r="U27" i="1"/>
  <c r="J28" i="1"/>
  <c r="M28" i="1" s="1"/>
  <c r="K28" i="1"/>
  <c r="P28" i="1"/>
  <c r="U28" i="1"/>
  <c r="J29" i="1"/>
  <c r="K29" i="1"/>
  <c r="M29" i="1"/>
  <c r="P29" i="1"/>
  <c r="U29" i="1"/>
  <c r="J30" i="1"/>
  <c r="K30" i="1"/>
  <c r="M30" i="1"/>
  <c r="N30" i="1" s="1"/>
  <c r="O30" i="1" s="1"/>
  <c r="Q30" i="1" s="1"/>
  <c r="P30" i="1"/>
  <c r="U30" i="1"/>
  <c r="J31" i="1"/>
  <c r="M31" i="1" s="1"/>
  <c r="K31" i="1"/>
  <c r="P31" i="1"/>
  <c r="U31" i="1"/>
  <c r="J32" i="1"/>
  <c r="K32" i="1"/>
  <c r="M32" i="1"/>
  <c r="P32" i="1"/>
  <c r="U32" i="1"/>
  <c r="J33" i="1"/>
  <c r="M33" i="1" s="1"/>
  <c r="K33" i="1"/>
  <c r="P33" i="1"/>
  <c r="U33" i="1"/>
  <c r="J34" i="1"/>
  <c r="K34" i="1"/>
  <c r="M34" i="1"/>
  <c r="N34" i="1" s="1"/>
  <c r="O34" i="1" s="1"/>
  <c r="Q34" i="1" s="1"/>
  <c r="P34" i="1"/>
  <c r="U34" i="1"/>
  <c r="J35" i="1"/>
  <c r="K35" i="1"/>
  <c r="M35" i="1"/>
  <c r="P35" i="1"/>
  <c r="U35" i="1"/>
  <c r="J36" i="1"/>
  <c r="K36" i="1"/>
  <c r="M36" i="1"/>
  <c r="N36" i="1"/>
  <c r="O36" i="1" s="1"/>
  <c r="Q36" i="1" s="1"/>
  <c r="P36" i="1"/>
  <c r="U36" i="1"/>
  <c r="J37" i="1"/>
  <c r="M37" i="1" s="1"/>
  <c r="N37" i="1" s="1"/>
  <c r="O37" i="1" s="1"/>
  <c r="Q37" i="1" s="1"/>
  <c r="K37" i="1"/>
  <c r="P37" i="1"/>
  <c r="U37" i="1"/>
  <c r="J38" i="1"/>
  <c r="M38" i="1" s="1"/>
  <c r="K38" i="1"/>
  <c r="P38" i="1"/>
  <c r="U38" i="1"/>
  <c r="Y38" i="1"/>
  <c r="J39" i="1"/>
  <c r="K39" i="1"/>
  <c r="M39" i="1"/>
  <c r="N39" i="1"/>
  <c r="O39" i="1" s="1"/>
  <c r="Q39" i="1" s="1"/>
  <c r="P39" i="1"/>
  <c r="U39" i="1"/>
  <c r="J40" i="1"/>
  <c r="M40" i="1" s="1"/>
  <c r="K40" i="1"/>
  <c r="P40" i="1"/>
  <c r="U40" i="1"/>
  <c r="J41" i="1"/>
  <c r="K41" i="1"/>
  <c r="M41" i="1"/>
  <c r="N41" i="1"/>
  <c r="O41" i="1" s="1"/>
  <c r="Q41" i="1" s="1"/>
  <c r="P41" i="1"/>
  <c r="U41" i="1"/>
  <c r="J25" i="1"/>
  <c r="K25" i="1"/>
  <c r="P25" i="1"/>
  <c r="U25" i="1"/>
  <c r="Y3" i="1"/>
  <c r="Y4" i="1"/>
  <c r="Y5" i="1"/>
  <c r="Y6" i="1"/>
  <c r="Y7" i="1"/>
  <c r="Y8" i="1"/>
  <c r="Y9" i="1"/>
  <c r="Y10" i="1"/>
  <c r="Y11" i="1"/>
  <c r="Y12" i="1"/>
  <c r="Y13" i="1"/>
  <c r="Y14" i="1"/>
  <c r="J3" i="1"/>
  <c r="K3" i="1"/>
  <c r="P3" i="1"/>
  <c r="U3" i="1"/>
  <c r="J4" i="1"/>
  <c r="K4" i="1"/>
  <c r="P4" i="1"/>
  <c r="U4" i="1"/>
  <c r="J5" i="1"/>
  <c r="K5" i="1"/>
  <c r="P5" i="1"/>
  <c r="U5" i="1"/>
  <c r="J6" i="1"/>
  <c r="K6" i="1"/>
  <c r="P6" i="1"/>
  <c r="U6" i="1"/>
  <c r="J7" i="1"/>
  <c r="K7" i="1"/>
  <c r="P7" i="1"/>
  <c r="U7" i="1"/>
  <c r="J8" i="1"/>
  <c r="K8" i="1"/>
  <c r="P8" i="1"/>
  <c r="U8" i="1"/>
  <c r="J9" i="1"/>
  <c r="K9" i="1"/>
  <c r="P9" i="1"/>
  <c r="U9" i="1"/>
  <c r="J10" i="1"/>
  <c r="K10" i="1"/>
  <c r="P10" i="1"/>
  <c r="U10" i="1"/>
  <c r="J11" i="1"/>
  <c r="K11" i="1"/>
  <c r="P11" i="1"/>
  <c r="U11" i="1"/>
  <c r="J12" i="1"/>
  <c r="K12" i="1"/>
  <c r="M12" i="1" s="1"/>
  <c r="P12" i="1"/>
  <c r="U12" i="1"/>
  <c r="J13" i="1"/>
  <c r="K13" i="1"/>
  <c r="P13" i="1"/>
  <c r="U13" i="1"/>
  <c r="J14" i="1"/>
  <c r="K14" i="1"/>
  <c r="P14" i="1"/>
  <c r="U14" i="1"/>
  <c r="J15" i="1"/>
  <c r="K15" i="1"/>
  <c r="P15" i="1"/>
  <c r="U15" i="1"/>
  <c r="J16" i="1"/>
  <c r="K16" i="1"/>
  <c r="P16" i="1"/>
  <c r="U16" i="1"/>
  <c r="J17" i="1"/>
  <c r="K17" i="1"/>
  <c r="P17" i="1"/>
  <c r="U17" i="1"/>
  <c r="J18" i="1"/>
  <c r="K18" i="1"/>
  <c r="P18" i="1"/>
  <c r="U18" i="1"/>
  <c r="J19" i="1"/>
  <c r="K19" i="1"/>
  <c r="M19" i="1"/>
  <c r="N19" i="1" s="1"/>
  <c r="O19" i="1" s="1"/>
  <c r="P19" i="1"/>
  <c r="U19" i="1"/>
  <c r="J20" i="1"/>
  <c r="K20" i="1"/>
  <c r="M20" i="1" s="1"/>
  <c r="N20" i="1" s="1"/>
  <c r="O20" i="1" s="1"/>
  <c r="P20" i="1"/>
  <c r="U20" i="1"/>
  <c r="J21" i="1"/>
  <c r="K21" i="1"/>
  <c r="P21" i="1"/>
  <c r="U21" i="1"/>
  <c r="J22" i="1"/>
  <c r="K22" i="1"/>
  <c r="P22" i="1"/>
  <c r="U22" i="1"/>
  <c r="J23" i="1"/>
  <c r="M23" i="1" s="1"/>
  <c r="K23" i="1"/>
  <c r="P23" i="1"/>
  <c r="U23" i="1"/>
  <c r="J24" i="1"/>
  <c r="K24" i="1"/>
  <c r="P24" i="1"/>
  <c r="U24" i="1"/>
  <c r="B2" i="1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Y2" i="1"/>
  <c r="U2" i="1"/>
  <c r="K2" i="1"/>
  <c r="J2" i="1"/>
  <c r="I2" i="1"/>
  <c r="M8" i="1" l="1"/>
  <c r="N8" i="1" s="1"/>
  <c r="O8" i="1" s="1"/>
  <c r="Q8" i="1" s="1"/>
  <c r="R8" i="1" s="1"/>
  <c r="M4" i="1"/>
  <c r="N4" i="1" s="1"/>
  <c r="O4" i="1" s="1"/>
  <c r="Q4" i="1" s="1"/>
  <c r="M3" i="1"/>
  <c r="N3" i="1" s="1"/>
  <c r="O3" i="1" s="1"/>
  <c r="Q3" i="1" s="1"/>
  <c r="R3" i="1" s="1"/>
  <c r="S3" i="1" s="1"/>
  <c r="R34" i="1"/>
  <c r="S34" i="1" s="1"/>
  <c r="N32" i="1"/>
  <c r="O32" i="1" s="1"/>
  <c r="Q32" i="1" s="1"/>
  <c r="N35" i="1"/>
  <c r="O35" i="1" s="1"/>
  <c r="Q35" i="1" s="1"/>
  <c r="N29" i="1"/>
  <c r="O29" i="1" s="1"/>
  <c r="Q29" i="1" s="1"/>
  <c r="R39" i="1"/>
  <c r="S39" i="1"/>
  <c r="V39" i="1" s="1"/>
  <c r="W39" i="1" s="1"/>
  <c r="X39" i="1" s="1"/>
  <c r="R41" i="1"/>
  <c r="S41" i="1" s="1"/>
  <c r="R32" i="1"/>
  <c r="S32" i="1"/>
  <c r="V32" i="1" s="1"/>
  <c r="W32" i="1" s="1"/>
  <c r="R37" i="1"/>
  <c r="S37" i="1"/>
  <c r="V37" i="1" s="1"/>
  <c r="W37" i="1" s="1"/>
  <c r="R29" i="1"/>
  <c r="S29" i="1" s="1"/>
  <c r="R36" i="1"/>
  <c r="S36" i="1" s="1"/>
  <c r="R35" i="1"/>
  <c r="S35" i="1"/>
  <c r="V35" i="1" s="1"/>
  <c r="W35" i="1" s="1"/>
  <c r="X35" i="1" s="1"/>
  <c r="R27" i="1"/>
  <c r="S27" i="1" s="1"/>
  <c r="N31" i="1"/>
  <c r="O31" i="1" s="1"/>
  <c r="Q31" i="1" s="1"/>
  <c r="R30" i="1"/>
  <c r="S30" i="1"/>
  <c r="V30" i="1" s="1"/>
  <c r="W30" i="1" s="1"/>
  <c r="X30" i="1" s="1"/>
  <c r="R26" i="1"/>
  <c r="S26" i="1"/>
  <c r="V26" i="1" s="1"/>
  <c r="W26" i="1" s="1"/>
  <c r="N38" i="1"/>
  <c r="O38" i="1" s="1"/>
  <c r="Q38" i="1" s="1"/>
  <c r="M11" i="1"/>
  <c r="N11" i="1" s="1"/>
  <c r="O11" i="1" s="1"/>
  <c r="Q11" i="1" s="1"/>
  <c r="R11" i="1" s="1"/>
  <c r="S11" i="1" s="1"/>
  <c r="N28" i="1"/>
  <c r="O28" i="1" s="1"/>
  <c r="Q28" i="1" s="1"/>
  <c r="R28" i="1" s="1"/>
  <c r="M25" i="1"/>
  <c r="N25" i="1" s="1"/>
  <c r="O25" i="1" s="1"/>
  <c r="Q25" i="1" s="1"/>
  <c r="R25" i="1" s="1"/>
  <c r="N33" i="1"/>
  <c r="O33" i="1" s="1"/>
  <c r="Q33" i="1" s="1"/>
  <c r="N40" i="1"/>
  <c r="O40" i="1" s="1"/>
  <c r="Q40" i="1" s="1"/>
  <c r="M16" i="1"/>
  <c r="N16" i="1" s="1"/>
  <c r="O16" i="1" s="1"/>
  <c r="Q16" i="1" s="1"/>
  <c r="M13" i="1"/>
  <c r="N13" i="1" s="1"/>
  <c r="O13" i="1" s="1"/>
  <c r="Q13" i="1" s="1"/>
  <c r="R13" i="1" s="1"/>
  <c r="S13" i="1" s="1"/>
  <c r="M6" i="1"/>
  <c r="N6" i="1" s="1"/>
  <c r="O6" i="1" s="1"/>
  <c r="Q6" i="1" s="1"/>
  <c r="M10" i="1"/>
  <c r="N10" i="1" s="1"/>
  <c r="O10" i="1" s="1"/>
  <c r="Q10" i="1" s="1"/>
  <c r="Q19" i="1"/>
  <c r="R19" i="1" s="1"/>
  <c r="S19" i="1" s="1"/>
  <c r="M24" i="1"/>
  <c r="N24" i="1" s="1"/>
  <c r="O24" i="1" s="1"/>
  <c r="Q24" i="1" s="1"/>
  <c r="R24" i="1" s="1"/>
  <c r="S24" i="1" s="1"/>
  <c r="N23" i="1"/>
  <c r="O23" i="1" s="1"/>
  <c r="Q23" i="1" s="1"/>
  <c r="R23" i="1" s="1"/>
  <c r="S23" i="1" s="1"/>
  <c r="M18" i="1"/>
  <c r="N18" i="1" s="1"/>
  <c r="O18" i="1" s="1"/>
  <c r="Q18" i="1" s="1"/>
  <c r="M22" i="1"/>
  <c r="N22" i="1" s="1"/>
  <c r="O22" i="1" s="1"/>
  <c r="Q22" i="1" s="1"/>
  <c r="M17" i="1"/>
  <c r="N17" i="1" s="1"/>
  <c r="O17" i="1" s="1"/>
  <c r="Q17" i="1" s="1"/>
  <c r="M2" i="1"/>
  <c r="N2" i="1" s="1"/>
  <c r="O2" i="1" s="1"/>
  <c r="Q2" i="1" s="1"/>
  <c r="R2" i="1" s="1"/>
  <c r="M5" i="1"/>
  <c r="N5" i="1" s="1"/>
  <c r="O5" i="1" s="1"/>
  <c r="Q5" i="1" s="1"/>
  <c r="Q20" i="1"/>
  <c r="M9" i="1"/>
  <c r="N9" i="1" s="1"/>
  <c r="O9" i="1" s="1"/>
  <c r="Q9" i="1" s="1"/>
  <c r="R9" i="1" s="1"/>
  <c r="S9" i="1" s="1"/>
  <c r="M7" i="1"/>
  <c r="N7" i="1" s="1"/>
  <c r="O7" i="1" s="1"/>
  <c r="Q7" i="1" s="1"/>
  <c r="M14" i="1"/>
  <c r="N14" i="1" s="1"/>
  <c r="O14" i="1" s="1"/>
  <c r="Q14" i="1" s="1"/>
  <c r="M21" i="1"/>
  <c r="N21" i="1" s="1"/>
  <c r="O21" i="1" s="1"/>
  <c r="Q21" i="1" s="1"/>
  <c r="M15" i="1"/>
  <c r="N15" i="1" s="1"/>
  <c r="O15" i="1" s="1"/>
  <c r="Q15" i="1" s="1"/>
  <c r="N12" i="1"/>
  <c r="O12" i="1" s="1"/>
  <c r="Q12" i="1" s="1"/>
  <c r="V34" i="1" l="1"/>
  <c r="W34" i="1" s="1"/>
  <c r="X34" i="1" s="1"/>
  <c r="T34" i="1"/>
  <c r="T30" i="1"/>
  <c r="Z30" i="1"/>
  <c r="S8" i="1"/>
  <c r="V27" i="1"/>
  <c r="W27" i="1" s="1"/>
  <c r="T27" i="1"/>
  <c r="T37" i="1"/>
  <c r="X37" i="1"/>
  <c r="Z37" i="1"/>
  <c r="AA37" i="1" s="1"/>
  <c r="Z34" i="1"/>
  <c r="AA34" i="1" s="1"/>
  <c r="Z39" i="1"/>
  <c r="AA39" i="1" s="1"/>
  <c r="X26" i="1"/>
  <c r="Z26" i="1"/>
  <c r="AA26" i="1" s="1"/>
  <c r="X32" i="1"/>
  <c r="Z32" i="1"/>
  <c r="AA32" i="1" s="1"/>
  <c r="T39" i="1"/>
  <c r="T32" i="1"/>
  <c r="Z35" i="1"/>
  <c r="AA35" i="1" s="1"/>
  <c r="T36" i="1"/>
  <c r="V36" i="1"/>
  <c r="W36" i="1" s="1"/>
  <c r="V29" i="1"/>
  <c r="W29" i="1" s="1"/>
  <c r="T29" i="1"/>
  <c r="V41" i="1"/>
  <c r="W41" i="1" s="1"/>
  <c r="T41" i="1"/>
  <c r="R40" i="1"/>
  <c r="S40" i="1" s="1"/>
  <c r="R33" i="1"/>
  <c r="S33" i="1" s="1"/>
  <c r="T26" i="1"/>
  <c r="AA30" i="1"/>
  <c r="R31" i="1"/>
  <c r="S31" i="1"/>
  <c r="S28" i="1"/>
  <c r="R38" i="1"/>
  <c r="S38" i="1"/>
  <c r="S25" i="1"/>
  <c r="T35" i="1"/>
  <c r="R20" i="1"/>
  <c r="S20" i="1" s="1"/>
  <c r="V20" i="1" s="1"/>
  <c r="W20" i="1" s="1"/>
  <c r="S2" i="1"/>
  <c r="R4" i="1"/>
  <c r="S4" i="1" s="1"/>
  <c r="V4" i="1" s="1"/>
  <c r="W4" i="1" s="1"/>
  <c r="T19" i="1"/>
  <c r="V19" i="1"/>
  <c r="W19" i="1" s="1"/>
  <c r="T13" i="1"/>
  <c r="V13" i="1"/>
  <c r="W13" i="1" s="1"/>
  <c r="T11" i="1"/>
  <c r="V11" i="1"/>
  <c r="W11" i="1" s="1"/>
  <c r="R15" i="1"/>
  <c r="S15" i="1" s="1"/>
  <c r="R12" i="1"/>
  <c r="S12" i="1" s="1"/>
  <c r="R18" i="1"/>
  <c r="S18" i="1" s="1"/>
  <c r="R21" i="1"/>
  <c r="S21" i="1" s="1"/>
  <c r="T9" i="1"/>
  <c r="V9" i="1"/>
  <c r="W9" i="1" s="1"/>
  <c r="T24" i="1"/>
  <c r="V24" i="1"/>
  <c r="W24" i="1" s="1"/>
  <c r="T23" i="1"/>
  <c r="V23" i="1"/>
  <c r="W23" i="1" s="1"/>
  <c r="R10" i="1"/>
  <c r="S10" i="1" s="1"/>
  <c r="V3" i="1"/>
  <c r="W3" i="1" s="1"/>
  <c r="T3" i="1"/>
  <c r="R14" i="1"/>
  <c r="S14" i="1"/>
  <c r="V8" i="1"/>
  <c r="W8" i="1" s="1"/>
  <c r="T8" i="1"/>
  <c r="R7" i="1"/>
  <c r="S7" i="1" s="1"/>
  <c r="R17" i="1"/>
  <c r="S17" i="1"/>
  <c r="R6" i="1"/>
  <c r="S6" i="1" s="1"/>
  <c r="R16" i="1"/>
  <c r="S16" i="1"/>
  <c r="R22" i="1"/>
  <c r="S22" i="1" s="1"/>
  <c r="R5" i="1"/>
  <c r="S5" i="1" s="1"/>
  <c r="X19" i="1" l="1"/>
  <c r="Z19" i="1"/>
  <c r="X41" i="1"/>
  <c r="Z41" i="1"/>
  <c r="AA41" i="1" s="1"/>
  <c r="X29" i="1"/>
  <c r="Z29" i="1"/>
  <c r="AA29" i="1" s="1"/>
  <c r="X36" i="1"/>
  <c r="Z36" i="1"/>
  <c r="X20" i="1"/>
  <c r="Z20" i="1"/>
  <c r="T20" i="1"/>
  <c r="X23" i="1"/>
  <c r="Z23" i="1"/>
  <c r="AA23" i="1" s="1"/>
  <c r="X24" i="1"/>
  <c r="Z24" i="1"/>
  <c r="AA24" i="1" s="1"/>
  <c r="T4" i="1"/>
  <c r="X27" i="1"/>
  <c r="Z27" i="1"/>
  <c r="AA27" i="1" s="1"/>
  <c r="V28" i="1"/>
  <c r="W28" i="1" s="1"/>
  <c r="T28" i="1"/>
  <c r="V33" i="1"/>
  <c r="W33" i="1" s="1"/>
  <c r="T33" i="1"/>
  <c r="AA20" i="1"/>
  <c r="V25" i="1"/>
  <c r="W25" i="1" s="1"/>
  <c r="T25" i="1"/>
  <c r="V31" i="1"/>
  <c r="W31" i="1" s="1"/>
  <c r="T31" i="1"/>
  <c r="V2" i="1"/>
  <c r="W2" i="1" s="1"/>
  <c r="X2" i="1" s="1"/>
  <c r="T2" i="1"/>
  <c r="V40" i="1"/>
  <c r="W40" i="1" s="1"/>
  <c r="T40" i="1"/>
  <c r="V38" i="1"/>
  <c r="W38" i="1" s="1"/>
  <c r="T38" i="1"/>
  <c r="AA36" i="1"/>
  <c r="X4" i="1"/>
  <c r="Z4" i="1"/>
  <c r="AA4" i="1" s="1"/>
  <c r="X9" i="1"/>
  <c r="Z9" i="1"/>
  <c r="AA9" i="1" s="1"/>
  <c r="X11" i="1"/>
  <c r="Z11" i="1"/>
  <c r="AA11" i="1" s="1"/>
  <c r="X13" i="1"/>
  <c r="Z13" i="1"/>
  <c r="AA13" i="1" s="1"/>
  <c r="X3" i="1"/>
  <c r="Z3" i="1"/>
  <c r="AA3" i="1" s="1"/>
  <c r="X8" i="1"/>
  <c r="Z8" i="1"/>
  <c r="AA8" i="1" s="1"/>
  <c r="AA19" i="1"/>
  <c r="V22" i="1"/>
  <c r="W22" i="1" s="1"/>
  <c r="T22" i="1"/>
  <c r="T7" i="1"/>
  <c r="V7" i="1"/>
  <c r="W7" i="1" s="1"/>
  <c r="T21" i="1"/>
  <c r="V21" i="1"/>
  <c r="W21" i="1" s="1"/>
  <c r="T17" i="1"/>
  <c r="V17" i="1"/>
  <c r="W17" i="1" s="1"/>
  <c r="T14" i="1"/>
  <c r="V14" i="1"/>
  <c r="W14" i="1" s="1"/>
  <c r="T6" i="1"/>
  <c r="V6" i="1"/>
  <c r="W6" i="1" s="1"/>
  <c r="T18" i="1"/>
  <c r="V18" i="1"/>
  <c r="W18" i="1" s="1"/>
  <c r="T15" i="1"/>
  <c r="V15" i="1"/>
  <c r="W15" i="1" s="1"/>
  <c r="T12" i="1"/>
  <c r="V12" i="1"/>
  <c r="W12" i="1" s="1"/>
  <c r="T16" i="1"/>
  <c r="V16" i="1"/>
  <c r="W16" i="1" s="1"/>
  <c r="V10" i="1"/>
  <c r="W10" i="1" s="1"/>
  <c r="T10" i="1"/>
  <c r="V5" i="1"/>
  <c r="W5" i="1" s="1"/>
  <c r="T5" i="1"/>
  <c r="Z2" i="1" l="1"/>
  <c r="AA2" i="1" s="1"/>
  <c r="X18" i="1"/>
  <c r="Z18" i="1"/>
  <c r="X25" i="1"/>
  <c r="Z25" i="1"/>
  <c r="X21" i="1"/>
  <c r="Z21" i="1"/>
  <c r="AA21" i="1" s="1"/>
  <c r="X33" i="1"/>
  <c r="Z33" i="1"/>
  <c r="AA33" i="1" s="1"/>
  <c r="X22" i="1"/>
  <c r="Z22" i="1"/>
  <c r="Z31" i="1"/>
  <c r="X31" i="1"/>
  <c r="X15" i="1"/>
  <c r="Z15" i="1"/>
  <c r="AA15" i="1" s="1"/>
  <c r="X28" i="1"/>
  <c r="Z28" i="1"/>
  <c r="AA28" i="1" s="1"/>
  <c r="X17" i="1"/>
  <c r="Z17" i="1"/>
  <c r="AA17" i="1" s="1"/>
  <c r="Z40" i="1"/>
  <c r="AA40" i="1" s="1"/>
  <c r="X40" i="1"/>
  <c r="X16" i="1"/>
  <c r="Z16" i="1"/>
  <c r="AA16" i="1" s="1"/>
  <c r="AA25" i="1"/>
  <c r="AA31" i="1"/>
  <c r="X38" i="1"/>
  <c r="Z38" i="1"/>
  <c r="AA38" i="1" s="1"/>
  <c r="X10" i="1"/>
  <c r="Z10" i="1"/>
  <c r="AA10" i="1" s="1"/>
  <c r="X12" i="1"/>
  <c r="Z12" i="1"/>
  <c r="AA12" i="1" s="1"/>
  <c r="AA18" i="1"/>
  <c r="X6" i="1"/>
  <c r="Z6" i="1"/>
  <c r="AA6" i="1" s="1"/>
  <c r="X14" i="1"/>
  <c r="Z14" i="1"/>
  <c r="AA14" i="1" s="1"/>
  <c r="X7" i="1"/>
  <c r="Z7" i="1"/>
  <c r="AA7" i="1" s="1"/>
  <c r="AA22" i="1"/>
  <c r="X5" i="1"/>
  <c r="Z5" i="1"/>
  <c r="AA5" i="1" s="1"/>
</calcChain>
</file>

<file path=xl/sharedStrings.xml><?xml version="1.0" encoding="utf-8"?>
<sst xmlns="http://schemas.openxmlformats.org/spreadsheetml/2006/main" count="191" uniqueCount="139">
  <si>
    <t>Fedex 1.5kg</t>
  </si>
  <si>
    <t>Fedex 3.5kg</t>
  </si>
  <si>
    <t>Fedex 1.0kg</t>
  </si>
  <si>
    <t>Fedex 2.5kg</t>
  </si>
  <si>
    <t>旧</t>
  </si>
  <si>
    <t>A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</si>
  <si>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</si>
  <si>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</si>
  <si>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</si>
  <si>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</si>
  <si>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</si>
  <si>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</si>
  <si>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</si>
  <si>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</si>
  <si>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</si>
  <si>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</si>
  <si>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</si>
  <si>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</si>
  <si>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</si>
  <si>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</si>
  <si>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</si>
  <si>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</si>
  <si>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</si>
  <si>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</si>
  <si>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</si>
  <si>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</si>
  <si>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</si>
  <si>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～2024年まで</t>
  </si>
  <si>
    <t>エンベロープ 0.5kg</t>
  </si>
  <si>
    <t>パック 0.5kg</t>
  </si>
  <si>
    <t>パック 1.0kg</t>
  </si>
  <si>
    <t>パック 1.5kg</t>
  </si>
  <si>
    <t>パック 2.0kg</t>
  </si>
  <si>
    <t>パック 2.5kg</t>
  </si>
  <si>
    <t>2025/8/30～</t>
  </si>
  <si>
    <t>Fedex 0.5kg</t>
  </si>
  <si>
    <t>黄色のところ</t>
  </si>
  <si>
    <t>Fedex 2.0kg</t>
  </si>
  <si>
    <t>Fedex 3.0kg</t>
  </si>
  <si>
    <t>Fedex 4.0kg</t>
  </si>
  <si>
    <t>Fedex 4.5kg</t>
  </si>
  <si>
    <t>Fedex 5.0kg</t>
  </si>
  <si>
    <t>Fedex 5.5kg</t>
  </si>
  <si>
    <t>Fedex 6.0kg</t>
  </si>
  <si>
    <t>Fedex 6.5kg</t>
  </si>
  <si>
    <t>Fedex 7.0kg</t>
  </si>
  <si>
    <t>Fedex 7.5kg</t>
  </si>
  <si>
    <t>Fedex 8.0kg</t>
  </si>
  <si>
    <t>Fedex 8.5kg</t>
  </si>
  <si>
    <t>Fedex 9.0kg</t>
  </si>
  <si>
    <t>Fedex 9.5kg</t>
  </si>
  <si>
    <t>Fedex 10.0kg</t>
  </si>
  <si>
    <t>Fedex 10.5kg</t>
  </si>
  <si>
    <t>Fedex 11.0kg</t>
  </si>
  <si>
    <t>Fedex 11.5kg</t>
  </si>
  <si>
    <t>Fedex 12.0kg</t>
  </si>
  <si>
    <t>Fedex 12.5kg</t>
  </si>
  <si>
    <t>Fedex 13.0kg</t>
  </si>
  <si>
    <t>Fedex 13.5kg</t>
  </si>
  <si>
    <t>Fedex 14.0kg</t>
  </si>
  <si>
    <t>Fedex 14.5kg</t>
  </si>
  <si>
    <t>Fedex 15.0kg</t>
  </si>
  <si>
    <t>Fedex 15.5kg</t>
  </si>
  <si>
    <t>Fedex 16.0kg</t>
  </si>
  <si>
    <t>Fedex 16.5kg</t>
  </si>
  <si>
    <t>Fedex 17.0kg</t>
  </si>
  <si>
    <t>Fedex 17.5kg</t>
  </si>
  <si>
    <t>Fedex 18.0kg</t>
  </si>
  <si>
    <t>Fedex 18.5kg</t>
  </si>
  <si>
    <t>Fedex 19.0kg</t>
  </si>
  <si>
    <t>Fedex 19.5kg</t>
  </si>
  <si>
    <t>Fedex 20.0kg</t>
  </si>
  <si>
    <t>Fedex 21.0kg</t>
  </si>
  <si>
    <t>Fedex 22.0kg</t>
  </si>
  <si>
    <t>Fedex 23.0kg</t>
  </si>
  <si>
    <t>Fedex 24.0kg</t>
  </si>
  <si>
    <t>Fedex 25.0kg</t>
  </si>
  <si>
    <t>Fedex 26.0kg</t>
  </si>
  <si>
    <t>Fedex 27.0kg</t>
  </si>
  <si>
    <t>Fedex 28.0kg</t>
  </si>
  <si>
    <t>Fedex 29.0kg</t>
  </si>
  <si>
    <t>Fedex 30.0kg</t>
  </si>
  <si>
    <t>Fedex 31.0kg</t>
  </si>
  <si>
    <t>Fedex 32.0kg</t>
  </si>
  <si>
    <t>Fedex 33.0kg</t>
  </si>
  <si>
    <t>Fedex 34.0kg</t>
  </si>
  <si>
    <t>Fedex 35.0kg</t>
  </si>
  <si>
    <t>Fedex 36.0kg</t>
  </si>
  <si>
    <t>Fedex 37.0kg</t>
  </si>
  <si>
    <t>Fedex 38.0kg</t>
  </si>
  <si>
    <t>Fedex 39.0kg</t>
  </si>
  <si>
    <t>Fedex 40.0kg</t>
  </si>
  <si>
    <t>商品名</t>
  </si>
  <si>
    <t>在庫数</t>
  </si>
  <si>
    <t>仕入価格</t>
  </si>
  <si>
    <t>販売価格</t>
  </si>
  <si>
    <t>見込送料1</t>
  </si>
  <si>
    <t>見込送料
契約金額</t>
  </si>
  <si>
    <t>1.落札手数料
12.35%</t>
  </si>
  <si>
    <t>2.海外手数料
0.95%</t>
  </si>
  <si>
    <t>3.落札手数料
固定$0.3</t>
  </si>
  <si>
    <t>1~3合計の
消費税（10%）</t>
  </si>
  <si>
    <t>1~4合計
(eBay全手数料)</t>
  </si>
  <si>
    <t>残高</t>
  </si>
  <si>
    <t>広告料
2.2%</t>
  </si>
  <si>
    <t>残高（6-7）</t>
  </si>
  <si>
    <t>Payoneer為替
手数料2%</t>
  </si>
  <si>
    <t>残高（8-9）</t>
  </si>
  <si>
    <t>関税額（予想）
20％想定</t>
  </si>
  <si>
    <t>関税込み
最終残高</t>
  </si>
  <si>
    <t>利益</t>
  </si>
  <si>
    <t>利益率</t>
  </si>
  <si>
    <t>還付金</t>
  </si>
  <si>
    <t>純利益</t>
  </si>
  <si>
    <t>usd-jpy</t>
  </si>
  <si>
    <t>ebay
ページ</t>
  </si>
  <si>
    <t>ebay
相場</t>
  </si>
  <si>
    <t>最安値1</t>
    <rPh sb="0" eb="3">
      <t>サイヤスネ</t>
    </rPh>
    <phoneticPr fontId="1"/>
  </si>
  <si>
    <t>最安値2</t>
    <rPh sb="0" eb="3">
      <t>サイヤスネ</t>
    </rPh>
    <phoneticPr fontId="1"/>
  </si>
  <si>
    <t>最安値3</t>
    <rPh sb="0" eb="3">
      <t>サイヤスネ</t>
    </rPh>
    <phoneticPr fontId="1"/>
  </si>
  <si>
    <t>最安値4</t>
    <rPh sb="0" eb="3">
      <t>サイヤスネ</t>
    </rPh>
    <phoneticPr fontId="1"/>
  </si>
  <si>
    <t>最安値5</t>
    <rPh sb="0" eb="3">
      <t>サイヤスネ</t>
    </rPh>
    <phoneticPr fontId="1"/>
  </si>
  <si>
    <t>仕入れ先
まとめ→</t>
    <rPh sb="0" eb="2">
      <t>シイ</t>
    </rPh>
    <rPh sb="3" eb="4">
      <t>サキ</t>
    </rPh>
    <phoneticPr fontId="1"/>
  </si>
  <si>
    <t>メルカリ</t>
    <phoneticPr fontId="1"/>
  </si>
  <si>
    <t>ラクマ</t>
    <phoneticPr fontId="1"/>
  </si>
  <si>
    <t>楽天市場</t>
    <rPh sb="0" eb="4">
      <t>ラクテンイチバ</t>
    </rPh>
    <phoneticPr fontId="1"/>
  </si>
  <si>
    <t>ヤフオク</t>
    <phoneticPr fontId="1"/>
  </si>
  <si>
    <t>ヤフー
ｼｮｯﾋﾟﾝｸﾞ</t>
    <phoneticPr fontId="1"/>
  </si>
  <si>
    <t>https://www.ebay.com/itm/287002688876?_skw=figma+Lancer+Altria&amp;itmmeta=01M3PPCANC6F89BWKQY2PE4EW7&amp;hash=item42d2b17d6c:g:z5sAAeSwrX9pOg36&amp;itmprp=enc%3AAQALAAAA8GfYFPkwiKCW4ZNSs2u11xCKVE5Omwo2QZ5431uZVFIQp74IsjHzq6rj0zZV%2BSksi%2FVWcJjFZNgDuxv4UTOYyF5rOFsROxoDrprSFFrkHqsqa3fNBDepJxYsxk%2BHESsD0cbXHW2y5oCGBN8xEjvJiCxHNd2BIqxdT3BcOluTe8Afda5yo0V6yKOE4ChZB%2FvoKVxxv2fFxCs3tiEK8pm7lex7raRCZA9EcIBKLWXKINolZZ15jjv2m%2FoxPv9ngB%2BODTSYIVeVGphu4PcufSyHWXBe8kdEYovaUqIw7HD3M%2BD5gnYkOMg6fTHeBUluwPnm%2Bw%3D%3D%7Ctkp%3ABk9SR-yqsdadaA</t>
    <phoneticPr fontId="1"/>
  </si>
  <si>
    <t>https://www.ebay.com/sch/i.html?_nkw=Figma+Altria+Pendragon&amp;_sacat=0&amp;_from=R40&amp;_sop=15</t>
    <phoneticPr fontId="1"/>
  </si>
  <si>
    <t>https://www.ebay.com/itm/276056380894?_skw=Kamen+Rider+Premium&amp;itmmeta=01M3PPND0WCFZJT0DK22ZRXE2W&amp;hash=item40463e15de:g:-XYAAOSwRj5lCoX4&amp;itmprp=enc%3AAQALAAAA0GfYFPkwiKCW4ZNSs2u11xDYBdMasoFu9fkvMGSrunEbAAhv4oYhPU2G1X4RjGF7c2ocvhQOOlTvf4%2Ff%2FEZ3FpGfjTTANMPjGAMM2a4At%2B%2F%2BB4cUIii6N4c1rhSGJFhTL%2BYIj7bof%2BoNcIhDirT9IgZWBJ%2FVOrCkYIInx1IPWPn2SgbOJWG3i5rnCApza9CtfOK0YjjILuP74g6qP%2BJAQizIFIU%2BmZDtnAjrniIyZGkDYGwFPEN0ej5ln%2Byf8PrcLSud2hYlw7aGnz724D2T2A8%3D%7Ctkp%3ABk9SR9rQ1dadaA</t>
    <phoneticPr fontId="1"/>
  </si>
  <si>
    <t>https://www.ebay.com/sch/i.html?_nkw=Kamen+Rider+Faiz+Premium+CSM&amp;_sacat=0&amp;_from=R40&amp;_trksid=m570.l1313&amp;_odkw=Figma+Altria+Pendragon&amp;_osacat=0&amp;_sop=15</t>
    <phoneticPr fontId="1"/>
  </si>
  <si>
    <t>https://www.ebay.com/itm/287596320225?nordt=true&amp;orig_cvip=true&amp;rt=nc</t>
    <phoneticPr fontId="1"/>
  </si>
  <si>
    <t>https://www.ebay.com/sch/i.html?_nkw=CSM+Ghost+Driver&amp;_sacat=0&amp;_from=R40&amp;_trksid=m570.l1313&amp;_odkw=PREMIUM+DX+Magnum+Shooter+40X&amp;_osacat=0&amp;_sop=15</t>
    <phoneticPr fontId="1"/>
  </si>
  <si>
    <t>https://www.ebay.com/sch/i.html?_nkw=PS5%20Armored%20Core%20VI%20Rubicon&amp;_sacat=0&amp;_from=R40&amp;_sop=15&amp;rt=nc&amp;_udlo=10000</t>
    <phoneticPr fontId="1"/>
  </si>
  <si>
    <t>https://www.ebay.com/itm/126764027482?nordt=true&amp;orig_cvip=true&amp;rt=nc</t>
    <phoneticPr fontId="1"/>
  </si>
  <si>
    <t>https://www.ebay.com/itm/298425371396?nordt=true&amp;orig_cvip=true&amp;rt=nc</t>
    <phoneticPr fontId="1"/>
  </si>
  <si>
    <t>https://www.ebay.com/sch/i.html?_nkw=ARMORED+CORE+TORCH+TORCH&amp;_sacat=0&amp;_from=R40&amp;_sop=15</t>
    <phoneticPr fontId="1"/>
  </si>
  <si>
    <t>Fedex 7.5kg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</si>
</sst>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26" formatCode="\$#,##0.00_);[Red]\(\$#,##0.00\)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26" fontId="0" fillId="0" borderId="0" xfId="0" applyNumberFormat="1">
      <alignment vertical="center"/>
    </xf>
    <xf numFmtId="6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  <xf numFmtId="26" fontId="0" fillId="2" borderId="0" xfId="0" applyNumberFormat="1" applyFill="1">
      <alignment vertical="center"/>
    </xf>
    <xf numFmtId="6" fontId="0" fillId="2" borderId="0" xfId="0" applyNumberFormat="1" applyFill="1">
      <alignment vertical="center"/>
    </xf>
    <xf numFmtId="10" fontId="0" fillId="2" borderId="0" xfId="0" applyNumberFormat="1" applyFill="1">
      <alignment vertical="center"/>
    </xf>
    <xf numFmtId="6" fontId="0" fillId="3" borderId="0" xfId="0" applyNumberFormat="1" applyFill="1">
      <alignment vertical="center"/>
    </xf>
    <xf numFmtId="6" fontId="0" fillId="4" borderId="0" xfId="0" applyNumberForma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6" fontId="0" fillId="7" borderId="0" xfId="0" applyNumberFormat="1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vertical="center" shrinkToFit="1"/>
    </xf>
    <xf numFmtId="0" fontId="2" fillId="0" borderId="0" xfId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bay.com/itm/126764027482?nordt=true&amp;orig_cvip=true&amp;rt=nc" TargetMode="External"/><Relationship Id="rId3" Type="http://schemas.openxmlformats.org/officeDocument/2006/relationships/hyperlink" Target="https://www.ebay.com/itm/276056380894?_skw=Kamen+Rider+Premium&amp;itmmeta=01M3PPND0WCFZJT0DK22ZRXE2W&amp;hash=item40463e15de:g:-XYAAOSwRj5lCoX4&amp;itmprp=enc%3AAQALAAAA0GfYFPkwiKCW4ZNSs2u11xDYBdMasoFu9fkvMGSrunEbAAhv4oYhPU2G1X4RjGF7c2ocvhQOOlTvf4%2Ff%2FEZ3FpGfjTTANMPjGAMM2a4At%2B%2F%2BB4cUIii6N4c1rhSGJFhTL%2BYIj7bof%2BoNcIhDirT9IgZWBJ%2FVOrCkYIInx1IPWPn2SgbOJWG3i5rnCApza9CtfOK0YjjILuP74g6qP%2BJAQizIFIU%2BmZDtnAjrniIyZGkDYGwFPEN0ej5ln%2Byf8PrcLSud2hYlw7aGnz724D2T2A8%3D%7Ctkp%3ABk9SR9rQ1dadaA" TargetMode="External"/><Relationship Id="rId7" Type="http://schemas.openxmlformats.org/officeDocument/2006/relationships/hyperlink" Target="https://www.ebay.com/sch/i.html?_nkw=PS5%20Armored%20Core%20VI%20Rubicon&amp;_sacat=0&amp;_from=R40&amp;_sop=15&amp;rt=nc&amp;_udlo=10000" TargetMode="External"/><Relationship Id="rId2" Type="http://schemas.openxmlformats.org/officeDocument/2006/relationships/hyperlink" Target="https://www.ebay.com/sch/i.html?_nkw=Figma+Altria+Pendragon&amp;_sacat=0&amp;_from=R40&amp;_sop=15" TargetMode="External"/><Relationship Id="rId1" Type="http://schemas.openxmlformats.org/officeDocument/2006/relationships/hyperlink" Target="https://www.ebay.com/itm/287002688876?_skw=figma+Lancer+Altria&amp;itmmeta=01M3PPCANC6F89BWKQY2PE4EW7&amp;hash=item42d2b17d6c:g:z5sAAeSwrX9pOg36&amp;itmprp=enc%3AAQALAAAA8GfYFPkwiKCW4ZNSs2u11xCKVE5Omwo2QZ5431uZVFIQp74IsjHzq6rj0zZV%2BSksi%2FVWcJjFZNgDuxv4UTOYyF5rOFsROxoDrprSFFrkHqsqa3fNBDepJxYsxk%2BHESsD0cbXHW2y5oCGBN8xEjvJiCxHNd2BIqxdT3BcOluTe8Afda5yo0V6yKOE4ChZB%2FvoKVxxv2fFxCs3tiEK8pm7lex7raRCZA9EcIBKLWXKINolZZ15jjv2m%2FoxPv9ngB%2BODTSYIVeVGphu4PcufSyHWXBe8kdEYovaUqIw7HD3M%2BD5gnYkOMg6fTHeBUluwPnm%2Bw%3D%3D%7Ctkp%3ABk9SR-yqsdadaA" TargetMode="External"/><Relationship Id="rId6" Type="http://schemas.openxmlformats.org/officeDocument/2006/relationships/hyperlink" Target="https://www.ebay.com/sch/i.html?_nkw=CSM+Ghost+Driver&amp;_sacat=0&amp;_from=R40&amp;_trksid=m570.l1313&amp;_odkw=PREMIUM+DX+Magnum+Shooter+40X&amp;_osacat=0&amp;_sop=15" TargetMode="External"/><Relationship Id="rId5" Type="http://schemas.openxmlformats.org/officeDocument/2006/relationships/hyperlink" Target="https://www.ebay.com/itm/287596320225?nordt=true&amp;orig_cvip=true&amp;rt=nc" TargetMode="External"/><Relationship Id="rId10" Type="http://schemas.openxmlformats.org/officeDocument/2006/relationships/hyperlink" Target="https://www.ebay.com/sch/i.html?_nkw=ARMORED+CORE+TORCH+TORCH&amp;_sacat=0&amp;_from=R40&amp;_sop=15" TargetMode="External"/><Relationship Id="rId4" Type="http://schemas.openxmlformats.org/officeDocument/2006/relationships/hyperlink" Target="https://www.ebay.com/sch/i.html?_nkw=Kamen+Rider+Faiz+Premium+CSM&amp;_sacat=0&amp;_from=R40&amp;_trksid=m570.l1313&amp;_odkw=Figma+Altria+Pendragon&amp;_osacat=0&amp;_sop=15" TargetMode="External"/><Relationship Id="rId9" Type="http://schemas.openxmlformats.org/officeDocument/2006/relationships/hyperlink" Target="https://www.ebay.com/itm/298425371396?nordt=true&amp;orig_cvip=true&amp;rt=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1361-7502-4E8C-ACB5-19C7B32C944C}">
  <dimension ref="A1:AO41"/>
  <sheetViews>
    <sheetView tabSelected="1" workbookViewId="0">
      <selection activeCell="H5" sqref="H5"/>
    </sheetView>
  </sheetViews>
  <sheetFormatPr defaultRowHeight="18.75" x14ac:dyDescent="0.4"/>
  <cols>
    <col min="1" max="2" width="1.375" customWidth="1"/>
    <col min="4" max="4" width="47.375" bestFit="1" customWidth="1"/>
    <col min="5" max="5" width="10.375" hidden="1" customWidth="1"/>
    <col min="6" max="6" width="9.625" hidden="1" customWidth="1"/>
    <col min="7" max="7" width="10.375" bestFit="1" customWidth="1"/>
    <col min="8" max="8" width="11.75" bestFit="1" customWidth="1"/>
    <col min="10" max="10" width="14.625" hidden="1" customWidth="1"/>
    <col min="11" max="11" width="13.75" hidden="1" customWidth="1"/>
    <col min="12" max="12" width="19.125" hidden="1" customWidth="1"/>
    <col min="13" max="13" width="19.875" hidden="1" customWidth="1"/>
    <col min="14" max="14" width="21.875" hidden="1" customWidth="1"/>
    <col min="15" max="15" width="20.875" hidden="1" customWidth="1"/>
    <col min="16" max="16" width="19.25" hidden="1" customWidth="1"/>
    <col min="17" max="17" width="22.375" hidden="1" customWidth="1"/>
    <col min="18" max="18" width="28.25" hidden="1" customWidth="1"/>
    <col min="19" max="19" width="29.375" hidden="1" customWidth="1"/>
    <col min="20" max="20" width="35" hidden="1" customWidth="1"/>
    <col min="21" max="21" width="31.375" hidden="1" customWidth="1"/>
    <col min="22" max="22" width="48.25" hidden="1" customWidth="1"/>
    <col min="23" max="23" width="16.75" customWidth="1"/>
    <col min="24" max="25" width="9" hidden="1" customWidth="1"/>
    <col min="26" max="26" width="17" customWidth="1"/>
    <col min="27" max="27" width="9" hidden="1" customWidth="1"/>
  </cols>
  <sheetData>
    <row r="1" spans="1:41" ht="37.5" x14ac:dyDescent="0.4">
      <c r="D1" t="s">
        <v>92</v>
      </c>
      <c r="E1" t="s">
        <v>93</v>
      </c>
      <c r="F1" t="s">
        <v>94</v>
      </c>
      <c r="G1" t="s">
        <v>95</v>
      </c>
      <c r="H1" t="s">
        <v>96</v>
      </c>
      <c r="I1" s="14" t="s">
        <v>97</v>
      </c>
      <c r="J1" s="5" t="s">
        <v>98</v>
      </c>
      <c r="K1" s="5" t="s">
        <v>99</v>
      </c>
      <c r="L1" s="5" t="s">
        <v>100</v>
      </c>
      <c r="M1" s="5" t="s">
        <v>101</v>
      </c>
      <c r="N1" s="5" t="s">
        <v>102</v>
      </c>
      <c r="O1" s="6" t="s">
        <v>103</v>
      </c>
      <c r="P1" s="5" t="s">
        <v>104</v>
      </c>
      <c r="Q1" s="6" t="s">
        <v>105</v>
      </c>
      <c r="R1" s="5" t="s">
        <v>106</v>
      </c>
      <c r="S1" s="6" t="s">
        <v>107</v>
      </c>
      <c r="T1" s="6" t="s">
        <v>103</v>
      </c>
      <c r="U1" s="5" t="s">
        <v>108</v>
      </c>
      <c r="V1" s="5" t="s">
        <v>109</v>
      </c>
      <c r="W1" s="12" t="s">
        <v>110</v>
      </c>
      <c r="X1" s="6" t="s">
        <v>111</v>
      </c>
      <c r="Y1" s="6" t="s">
        <v>112</v>
      </c>
      <c r="Z1" s="13" t="s">
        <v>113</v>
      </c>
      <c r="AA1" s="6" t="s">
        <v>111</v>
      </c>
      <c r="AB1" s="4" t="s">
        <v>115</v>
      </c>
      <c r="AC1" s="4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s="4" t="s">
        <v>122</v>
      </c>
      <c r="AJ1" t="s">
        <v>123</v>
      </c>
      <c r="AK1" t="s">
        <v>124</v>
      </c>
      <c r="AL1" t="s">
        <v>125</v>
      </c>
      <c r="AM1" t="s">
        <v>126</v>
      </c>
      <c r="AN1" s="4" t="s">
        <v>127</v>
      </c>
    </row>
    <row r="2" spans="1:41" x14ac:dyDescent="0.4">
      <c r="A2" t="s">
        <v>114</v>
      </c>
      <c r="B2" t="str">
        <f>_xlfn.WEBSERVICE("https://api.excelapi.org/currency/rate?pair="&amp;A2)</f>
        <v>157.34</v>
      </c>
      <c r="C2">
        <v>1</v>
      </c>
      <c r="F2" s="2"/>
      <c r="G2" s="1">
        <v>148</v>
      </c>
      <c r="H2" t="s">
        <v>0</v>
      </c>
      <c r="I2" s="15">
        <f>IFERROR(VLOOKUP(H2,送料!$G$10:$H$28,2,FALSE),"")</f>
        <v>5951</v>
      </c>
      <c r="J2" s="7">
        <f>(G2*1.08)*0.1235</f>
        <v>19.74024</v>
      </c>
      <c r="K2" s="7">
        <f>(G2*1.08)*0.0095</f>
        <v>1.5184800000000001</v>
      </c>
      <c r="L2" s="7">
        <v>0.3</v>
      </c>
      <c r="M2" s="7">
        <f>(J2+K2+L2)*0.1</f>
        <v>2.155872</v>
      </c>
      <c r="N2" s="7">
        <f>SUM(J2:M2)</f>
        <v>23.714592</v>
      </c>
      <c r="O2" s="7">
        <f>G2-N2</f>
        <v>124.285408</v>
      </c>
      <c r="P2" s="7">
        <f>G2*0.022</f>
        <v>3.2559999999999998</v>
      </c>
      <c r="Q2" s="7">
        <f>O2-P2</f>
        <v>121.029408</v>
      </c>
      <c r="R2" s="7">
        <f>Q2*0.02</f>
        <v>2.4205881600000003</v>
      </c>
      <c r="S2" s="7">
        <f>Q2-R2</f>
        <v>118.60881984000001</v>
      </c>
      <c r="T2" s="8">
        <f>$B$2*S2</f>
        <v>18661.911713625603</v>
      </c>
      <c r="U2" s="7">
        <f>((G2*0.15)+4.5)/0.83</f>
        <v>32.168674698795179</v>
      </c>
      <c r="V2" s="8">
        <f>(S2-U2)*$B$2</f>
        <v>13600.492436517166</v>
      </c>
      <c r="W2" s="10">
        <f>IFERROR(V2-F2-I2,"")</f>
        <v>7649.4924365171664</v>
      </c>
      <c r="X2" s="9">
        <f>IFERROR(W2/(G2*J2),"")</f>
        <v>2.6182943928846392</v>
      </c>
      <c r="Y2" s="8">
        <f>IFERROR(F2*10/110,"")</f>
        <v>0</v>
      </c>
      <c r="Z2" s="11">
        <f>IFERROR(W2+Y2,"")</f>
        <v>7649.4924365171664</v>
      </c>
      <c r="AA2" s="9">
        <f>IFERROR(Z2/(G2*J2),"")</f>
        <v>2.6182943928846392</v>
      </c>
      <c r="AB2" s="18" t="s">
        <v>128</v>
      </c>
      <c r="AC2" s="18" t="s">
        <v>129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spans="1:41" x14ac:dyDescent="0.4">
      <c r="C3">
        <v>2</v>
      </c>
      <c r="F3" s="2"/>
      <c r="G3" s="1">
        <v>346</v>
      </c>
      <c r="H3" t="s">
        <v>138</v>
      </c>
      <c r="I3" s="15">
        <f>IFERROR(VLOOKUP(H3,送料!$G$10:$H$28,2,FALSE),"")</f>
        <v>16789</v>
      </c>
      <c r="J3" s="7">
        <f t="shared" ref="J3:J41" si="0">(G3*1.08)*0.1235</f>
        <v>46.149479999999997</v>
      </c>
      <c r="K3" s="7">
        <f t="shared" ref="K3:K41" si="1">(G3*1.08)*0.0095</f>
        <v>3.54996</v>
      </c>
      <c r="L3" s="7">
        <v>0.3</v>
      </c>
      <c r="M3" s="7">
        <f t="shared" ref="M3:M41" si="2">(J3+K3+L3)*0.1</f>
        <v>4.9999439999999993</v>
      </c>
      <c r="N3" s="7">
        <f t="shared" ref="N3:N41" si="3">SUM(J3:M3)</f>
        <v>54.999383999999992</v>
      </c>
      <c r="O3" s="7">
        <f t="shared" ref="O3:O41" si="4">G3-N3</f>
        <v>291.00061600000004</v>
      </c>
      <c r="P3" s="7">
        <f t="shared" ref="P3:P41" si="5">G3*0.022</f>
        <v>7.6119999999999992</v>
      </c>
      <c r="Q3" s="7">
        <f t="shared" ref="Q3:Q41" si="6">O3-P3</f>
        <v>283.38861600000001</v>
      </c>
      <c r="R3" s="7">
        <f t="shared" ref="R3:R41" si="7">Q3*0.02</f>
        <v>5.6677723200000001</v>
      </c>
      <c r="S3" s="7">
        <f t="shared" ref="S3:S41" si="8">Q3-R3</f>
        <v>277.72084368000003</v>
      </c>
      <c r="T3" s="8">
        <f t="shared" ref="T3:T41" si="9">$B$2*S3</f>
        <v>43696.597544611206</v>
      </c>
      <c r="U3" s="7">
        <f t="shared" ref="U3:U41" si="10">((G3*0.15)+4.5)/0.83</f>
        <v>67.951807228915669</v>
      </c>
      <c r="V3" s="8">
        <f t="shared" ref="V3:V41" si="11">(S3-U3)*$B$2</f>
        <v>33005.060195213613</v>
      </c>
      <c r="W3" s="10">
        <f t="shared" ref="W3:W41" si="12">IFERROR(V3-F3-I3,"")</f>
        <v>16216.060195213613</v>
      </c>
      <c r="X3" s="9">
        <f t="shared" ref="X3:X41" si="13">IFERROR(W3/(G3*J3),"")</f>
        <v>1.0155526345633192</v>
      </c>
      <c r="Y3" s="8">
        <f t="shared" ref="Y3:Y41" si="14">IFERROR(F3*10/110,"")</f>
        <v>0</v>
      </c>
      <c r="Z3" s="11">
        <f t="shared" ref="Z3:Z41" si="15">IFERROR(W3+Y3,"")</f>
        <v>16216.060195213613</v>
      </c>
      <c r="AA3" s="9">
        <f t="shared" ref="AA3:AA41" si="16">IFERROR(Z3/(G3*J3),"")</f>
        <v>1.0155526345633192</v>
      </c>
      <c r="AB3" s="18" t="s">
        <v>130</v>
      </c>
      <c r="AC3" s="18" t="s">
        <v>131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spans="1:41" x14ac:dyDescent="0.4">
      <c r="C4">
        <v>3</v>
      </c>
      <c r="F4" s="2"/>
      <c r="G4" s="1">
        <v>386</v>
      </c>
      <c r="H4" t="s">
        <v>46</v>
      </c>
      <c r="I4" s="15">
        <f>IFERROR(VLOOKUP(H4,送料!$G$10:$H$28,2,FALSE),"")</f>
        <v>16789</v>
      </c>
      <c r="J4" s="7">
        <f t="shared" si="0"/>
        <v>51.484680000000004</v>
      </c>
      <c r="K4" s="7">
        <f t="shared" si="1"/>
        <v>3.9603600000000005</v>
      </c>
      <c r="L4" s="7">
        <v>0.3</v>
      </c>
      <c r="M4" s="7">
        <f t="shared" si="2"/>
        <v>5.574504000000001</v>
      </c>
      <c r="N4" s="7">
        <f t="shared" si="3"/>
        <v>61.319544000000008</v>
      </c>
      <c r="O4" s="7">
        <f t="shared" si="4"/>
        <v>324.68045599999999</v>
      </c>
      <c r="P4" s="7">
        <f t="shared" si="5"/>
        <v>8.4919999999999991</v>
      </c>
      <c r="Q4" s="7">
        <f t="shared" si="6"/>
        <v>316.18845599999997</v>
      </c>
      <c r="R4" s="7">
        <f t="shared" si="7"/>
        <v>6.3237691199999997</v>
      </c>
      <c r="S4" s="7">
        <f t="shared" si="8"/>
        <v>309.86468687999997</v>
      </c>
      <c r="T4" s="8">
        <f t="shared" si="9"/>
        <v>48754.109833699193</v>
      </c>
      <c r="U4" s="7">
        <f t="shared" si="10"/>
        <v>75.180722891566262</v>
      </c>
      <c r="V4" s="8">
        <f t="shared" si="11"/>
        <v>36925.174893940159</v>
      </c>
      <c r="W4" s="10">
        <f t="shared" si="12"/>
        <v>20136.174893940159</v>
      </c>
      <c r="X4" s="9">
        <f t="shared" si="13"/>
        <v>1.0132384274684723</v>
      </c>
      <c r="Y4" s="8">
        <f t="shared" si="14"/>
        <v>0</v>
      </c>
      <c r="Z4" s="11">
        <f t="shared" si="15"/>
        <v>20136.174893940159</v>
      </c>
      <c r="AA4" s="9">
        <f t="shared" si="16"/>
        <v>1.0132384274684723</v>
      </c>
      <c r="AB4" s="18" t="s">
        <v>132</v>
      </c>
      <c r="AC4" s="18" t="s">
        <v>133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x14ac:dyDescent="0.4">
      <c r="C5">
        <v>4</v>
      </c>
      <c r="F5" s="2"/>
      <c r="G5" s="1">
        <v>232</v>
      </c>
      <c r="H5" t="s">
        <v>46</v>
      </c>
      <c r="I5" s="15">
        <f>IFERROR(VLOOKUP(H5,送料!$G$10:$H$28,2,FALSE),"")</f>
        <v>16789</v>
      </c>
      <c r="J5" s="7">
        <f t="shared" si="0"/>
        <v>30.94416</v>
      </c>
      <c r="K5" s="7">
        <f t="shared" si="1"/>
        <v>2.3803199999999998</v>
      </c>
      <c r="L5" s="7">
        <v>0.3</v>
      </c>
      <c r="M5" s="7">
        <f t="shared" si="2"/>
        <v>3.3624480000000001</v>
      </c>
      <c r="N5" s="7">
        <f t="shared" si="3"/>
        <v>36.986927999999999</v>
      </c>
      <c r="O5" s="7">
        <f t="shared" si="4"/>
        <v>195.01307199999999</v>
      </c>
      <c r="P5" s="7">
        <f t="shared" si="5"/>
        <v>5.1040000000000001</v>
      </c>
      <c r="Q5" s="7">
        <f t="shared" si="6"/>
        <v>189.90907199999998</v>
      </c>
      <c r="R5" s="7">
        <f t="shared" si="7"/>
        <v>3.7981814399999996</v>
      </c>
      <c r="S5" s="7">
        <f t="shared" si="8"/>
        <v>186.11089055999997</v>
      </c>
      <c r="T5" s="8">
        <f t="shared" si="9"/>
        <v>29282.687520710395</v>
      </c>
      <c r="U5" s="7">
        <f t="shared" si="10"/>
        <v>47.349397590361441</v>
      </c>
      <c r="V5" s="8">
        <f t="shared" si="11"/>
        <v>21832.733303842928</v>
      </c>
      <c r="W5" s="10">
        <f t="shared" si="12"/>
        <v>5043.7333038429279</v>
      </c>
      <c r="X5" s="9">
        <f t="shared" si="13"/>
        <v>0.70256325451857982</v>
      </c>
      <c r="Y5" s="8">
        <f t="shared" si="14"/>
        <v>0</v>
      </c>
      <c r="Z5" s="11">
        <f t="shared" si="15"/>
        <v>5043.7333038429279</v>
      </c>
      <c r="AA5" s="9">
        <f t="shared" si="16"/>
        <v>0.70256325451857982</v>
      </c>
      <c r="AB5" s="18" t="s">
        <v>135</v>
      </c>
      <c r="AC5" s="18" t="s">
        <v>134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1" x14ac:dyDescent="0.4">
      <c r="C6">
        <v>5</v>
      </c>
      <c r="F6" s="2"/>
      <c r="G6" s="1">
        <v>1030</v>
      </c>
      <c r="H6" t="s">
        <v>0</v>
      </c>
      <c r="I6" s="15">
        <f>IFERROR(VLOOKUP(H6,送料!$G$10:$H$28,2,FALSE),"")</f>
        <v>5951</v>
      </c>
      <c r="J6" s="7">
        <f t="shared" si="0"/>
        <v>137.38140000000001</v>
      </c>
      <c r="K6" s="7">
        <f t="shared" si="1"/>
        <v>10.5678</v>
      </c>
      <c r="L6" s="7">
        <v>0.3</v>
      </c>
      <c r="M6" s="7">
        <f t="shared" si="2"/>
        <v>14.824920000000004</v>
      </c>
      <c r="N6" s="7">
        <f t="shared" si="3"/>
        <v>163.07412000000002</v>
      </c>
      <c r="O6" s="7">
        <f t="shared" si="4"/>
        <v>866.92588000000001</v>
      </c>
      <c r="P6" s="7">
        <f t="shared" si="5"/>
        <v>22.66</v>
      </c>
      <c r="Q6" s="7">
        <f t="shared" si="6"/>
        <v>844.26588000000004</v>
      </c>
      <c r="R6" s="7">
        <f t="shared" si="7"/>
        <v>16.8853176</v>
      </c>
      <c r="S6" s="7">
        <f t="shared" si="8"/>
        <v>827.38056240000003</v>
      </c>
      <c r="T6" s="8">
        <f t="shared" si="9"/>
        <v>130180.05768801601</v>
      </c>
      <c r="U6" s="7">
        <f t="shared" si="10"/>
        <v>191.56626506024097</v>
      </c>
      <c r="V6" s="8">
        <f t="shared" si="11"/>
        <v>100039.02154343769</v>
      </c>
      <c r="W6" s="10">
        <f t="shared" si="12"/>
        <v>94088.021543437688</v>
      </c>
      <c r="X6" s="9">
        <f t="shared" si="13"/>
        <v>0.66491965965911615</v>
      </c>
      <c r="Y6" s="8">
        <f t="shared" si="14"/>
        <v>0</v>
      </c>
      <c r="Z6" s="11">
        <f t="shared" si="15"/>
        <v>94088.021543437688</v>
      </c>
      <c r="AA6" s="9">
        <f t="shared" si="16"/>
        <v>0.66491965965911615</v>
      </c>
      <c r="AB6" s="18" t="s">
        <v>136</v>
      </c>
      <c r="AC6" s="18" t="s">
        <v>137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 x14ac:dyDescent="0.4">
      <c r="C7">
        <v>6</v>
      </c>
      <c r="I7" s="15" t="str">
        <f>IFERROR(VLOOKUP(H7,送料!$G$10:$H$28,2,FALSE),"")</f>
        <v/>
      </c>
      <c r="J7" s="7">
        <f t="shared" si="0"/>
        <v>0</v>
      </c>
      <c r="K7" s="7">
        <f t="shared" si="1"/>
        <v>0</v>
      </c>
      <c r="L7" s="7">
        <v>0.3</v>
      </c>
      <c r="M7" s="7">
        <f t="shared" si="2"/>
        <v>0.03</v>
      </c>
      <c r="N7" s="7">
        <f t="shared" si="3"/>
        <v>0.32999999999999996</v>
      </c>
      <c r="O7" s="7">
        <f t="shared" si="4"/>
        <v>-0.32999999999999996</v>
      </c>
      <c r="P7" s="7">
        <f t="shared" si="5"/>
        <v>0</v>
      </c>
      <c r="Q7" s="7">
        <f t="shared" si="6"/>
        <v>-0.32999999999999996</v>
      </c>
      <c r="R7" s="7">
        <f t="shared" si="7"/>
        <v>-6.5999999999999991E-3</v>
      </c>
      <c r="S7" s="7">
        <f t="shared" si="8"/>
        <v>-0.32339999999999997</v>
      </c>
      <c r="T7" s="8">
        <f t="shared" si="9"/>
        <v>-50.883755999999998</v>
      </c>
      <c r="U7" s="7">
        <f t="shared" si="10"/>
        <v>5.4216867469879517</v>
      </c>
      <c r="V7" s="8">
        <f t="shared" si="11"/>
        <v>-903.93194877108442</v>
      </c>
      <c r="W7" s="10" t="str">
        <f t="shared" si="12"/>
        <v/>
      </c>
      <c r="X7" s="9" t="str">
        <f t="shared" si="13"/>
        <v/>
      </c>
      <c r="Y7" s="8">
        <f t="shared" si="14"/>
        <v>0</v>
      </c>
      <c r="Z7" s="11" t="str">
        <f t="shared" si="15"/>
        <v/>
      </c>
      <c r="AA7" s="9" t="str">
        <f t="shared" si="16"/>
        <v/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1" x14ac:dyDescent="0.4">
      <c r="C8">
        <v>7</v>
      </c>
      <c r="I8" s="15" t="str">
        <f>IFERROR(VLOOKUP(H8,送料!$G$10:$H$28,2,FALSE),"")</f>
        <v/>
      </c>
      <c r="J8" s="7">
        <f t="shared" si="0"/>
        <v>0</v>
      </c>
      <c r="K8" s="7">
        <f t="shared" si="1"/>
        <v>0</v>
      </c>
      <c r="L8" s="7">
        <v>0.3</v>
      </c>
      <c r="M8" s="7">
        <f t="shared" si="2"/>
        <v>0.03</v>
      </c>
      <c r="N8" s="7">
        <f t="shared" si="3"/>
        <v>0.32999999999999996</v>
      </c>
      <c r="O8" s="7">
        <f t="shared" si="4"/>
        <v>-0.32999999999999996</v>
      </c>
      <c r="P8" s="7">
        <f t="shared" si="5"/>
        <v>0</v>
      </c>
      <c r="Q8" s="7">
        <f t="shared" si="6"/>
        <v>-0.32999999999999996</v>
      </c>
      <c r="R8" s="7">
        <f t="shared" si="7"/>
        <v>-6.5999999999999991E-3</v>
      </c>
      <c r="S8" s="7">
        <f t="shared" si="8"/>
        <v>-0.32339999999999997</v>
      </c>
      <c r="T8" s="8">
        <f t="shared" si="9"/>
        <v>-50.883755999999998</v>
      </c>
      <c r="U8" s="7">
        <f t="shared" si="10"/>
        <v>5.4216867469879517</v>
      </c>
      <c r="V8" s="8">
        <f t="shared" si="11"/>
        <v>-903.93194877108442</v>
      </c>
      <c r="W8" s="10" t="str">
        <f t="shared" si="12"/>
        <v/>
      </c>
      <c r="X8" s="9" t="str">
        <f t="shared" si="13"/>
        <v/>
      </c>
      <c r="Y8" s="8">
        <f t="shared" si="14"/>
        <v>0</v>
      </c>
      <c r="Z8" s="11" t="str">
        <f t="shared" si="15"/>
        <v/>
      </c>
      <c r="AA8" s="9" t="str">
        <f t="shared" si="16"/>
        <v/>
      </c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spans="1:41" x14ac:dyDescent="0.4">
      <c r="C9">
        <v>8</v>
      </c>
      <c r="I9" s="15" t="str">
        <f>IFERROR(VLOOKUP(H9,送料!$G$10:$H$28,2,FALSE),"")</f>
        <v/>
      </c>
      <c r="J9" s="7">
        <f t="shared" si="0"/>
        <v>0</v>
      </c>
      <c r="K9" s="7">
        <f t="shared" si="1"/>
        <v>0</v>
      </c>
      <c r="L9" s="7">
        <v>0.3</v>
      </c>
      <c r="M9" s="7">
        <f t="shared" si="2"/>
        <v>0.03</v>
      </c>
      <c r="N9" s="7">
        <f t="shared" si="3"/>
        <v>0.32999999999999996</v>
      </c>
      <c r="O9" s="7">
        <f t="shared" si="4"/>
        <v>-0.32999999999999996</v>
      </c>
      <c r="P9" s="7">
        <f t="shared" si="5"/>
        <v>0</v>
      </c>
      <c r="Q9" s="7">
        <f t="shared" si="6"/>
        <v>-0.32999999999999996</v>
      </c>
      <c r="R9" s="7">
        <f t="shared" si="7"/>
        <v>-6.5999999999999991E-3</v>
      </c>
      <c r="S9" s="7">
        <f t="shared" si="8"/>
        <v>-0.32339999999999997</v>
      </c>
      <c r="T9" s="8">
        <f t="shared" si="9"/>
        <v>-50.883755999999998</v>
      </c>
      <c r="U9" s="7">
        <f t="shared" si="10"/>
        <v>5.4216867469879517</v>
      </c>
      <c r="V9" s="8">
        <f t="shared" si="11"/>
        <v>-903.93194877108442</v>
      </c>
      <c r="W9" s="10" t="str">
        <f t="shared" si="12"/>
        <v/>
      </c>
      <c r="X9" s="9" t="str">
        <f t="shared" si="13"/>
        <v/>
      </c>
      <c r="Y9" s="8">
        <f t="shared" si="14"/>
        <v>0</v>
      </c>
      <c r="Z9" s="11" t="str">
        <f t="shared" si="15"/>
        <v/>
      </c>
      <c r="AA9" s="9" t="str">
        <f t="shared" si="16"/>
        <v/>
      </c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spans="1:41" x14ac:dyDescent="0.4">
      <c r="C10">
        <v>9</v>
      </c>
      <c r="F10" s="3"/>
      <c r="I10" s="15" t="str">
        <f>IFERROR(VLOOKUP(H10,送料!$G$10:$H$28,2,FALSE),"")</f>
        <v/>
      </c>
      <c r="J10" s="7">
        <f t="shared" si="0"/>
        <v>0</v>
      </c>
      <c r="K10" s="7">
        <f t="shared" si="1"/>
        <v>0</v>
      </c>
      <c r="L10" s="7">
        <v>0.3</v>
      </c>
      <c r="M10" s="7">
        <f t="shared" si="2"/>
        <v>0.03</v>
      </c>
      <c r="N10" s="7">
        <f t="shared" si="3"/>
        <v>0.32999999999999996</v>
      </c>
      <c r="O10" s="7">
        <f t="shared" si="4"/>
        <v>-0.32999999999999996</v>
      </c>
      <c r="P10" s="7">
        <f t="shared" si="5"/>
        <v>0</v>
      </c>
      <c r="Q10" s="7">
        <f t="shared" si="6"/>
        <v>-0.32999999999999996</v>
      </c>
      <c r="R10" s="7">
        <f t="shared" si="7"/>
        <v>-6.5999999999999991E-3</v>
      </c>
      <c r="S10" s="7">
        <f t="shared" si="8"/>
        <v>-0.32339999999999997</v>
      </c>
      <c r="T10" s="8">
        <f t="shared" si="9"/>
        <v>-50.883755999999998</v>
      </c>
      <c r="U10" s="7">
        <f t="shared" si="10"/>
        <v>5.4216867469879517</v>
      </c>
      <c r="V10" s="8">
        <f t="shared" si="11"/>
        <v>-903.93194877108442</v>
      </c>
      <c r="W10" s="10" t="str">
        <f t="shared" si="12"/>
        <v/>
      </c>
      <c r="X10" s="9" t="str">
        <f t="shared" si="13"/>
        <v/>
      </c>
      <c r="Y10" s="8">
        <f t="shared" si="14"/>
        <v>0</v>
      </c>
      <c r="Z10" s="11" t="str">
        <f t="shared" si="15"/>
        <v/>
      </c>
      <c r="AA10" s="9" t="str">
        <f t="shared" si="16"/>
        <v/>
      </c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spans="1:41" x14ac:dyDescent="0.4">
      <c r="C11">
        <v>10</v>
      </c>
      <c r="I11" s="15" t="str">
        <f>IFERROR(VLOOKUP(H11,送料!$G$10:$H$28,2,FALSE),"")</f>
        <v/>
      </c>
      <c r="J11" s="7">
        <f t="shared" si="0"/>
        <v>0</v>
      </c>
      <c r="K11" s="7">
        <f t="shared" si="1"/>
        <v>0</v>
      </c>
      <c r="L11" s="7">
        <v>0.3</v>
      </c>
      <c r="M11" s="7">
        <f t="shared" si="2"/>
        <v>0.03</v>
      </c>
      <c r="N11" s="7">
        <f t="shared" si="3"/>
        <v>0.32999999999999996</v>
      </c>
      <c r="O11" s="7">
        <f t="shared" si="4"/>
        <v>-0.32999999999999996</v>
      </c>
      <c r="P11" s="7">
        <f t="shared" si="5"/>
        <v>0</v>
      </c>
      <c r="Q11" s="7">
        <f t="shared" si="6"/>
        <v>-0.32999999999999996</v>
      </c>
      <c r="R11" s="7">
        <f t="shared" si="7"/>
        <v>-6.5999999999999991E-3</v>
      </c>
      <c r="S11" s="7">
        <f t="shared" si="8"/>
        <v>-0.32339999999999997</v>
      </c>
      <c r="T11" s="8">
        <f t="shared" si="9"/>
        <v>-50.883755999999998</v>
      </c>
      <c r="U11" s="7">
        <f t="shared" si="10"/>
        <v>5.4216867469879517</v>
      </c>
      <c r="V11" s="8">
        <f t="shared" si="11"/>
        <v>-903.93194877108442</v>
      </c>
      <c r="W11" s="10" t="str">
        <f t="shared" si="12"/>
        <v/>
      </c>
      <c r="X11" s="9" t="str">
        <f t="shared" si="13"/>
        <v/>
      </c>
      <c r="Y11" s="8">
        <f t="shared" si="14"/>
        <v>0</v>
      </c>
      <c r="Z11" s="11" t="str">
        <f t="shared" si="15"/>
        <v/>
      </c>
      <c r="AA11" s="9" t="str">
        <f t="shared" si="16"/>
        <v/>
      </c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x14ac:dyDescent="0.4">
      <c r="C12">
        <v>11</v>
      </c>
      <c r="I12" s="15" t="str">
        <f>IFERROR(VLOOKUP(H12,送料!$G$10:$H$28,2,FALSE),"")</f>
        <v/>
      </c>
      <c r="J12" s="7">
        <f t="shared" si="0"/>
        <v>0</v>
      </c>
      <c r="K12" s="7">
        <f t="shared" si="1"/>
        <v>0</v>
      </c>
      <c r="L12" s="7">
        <v>0.3</v>
      </c>
      <c r="M12" s="7">
        <f t="shared" si="2"/>
        <v>0.03</v>
      </c>
      <c r="N12" s="7">
        <f t="shared" si="3"/>
        <v>0.32999999999999996</v>
      </c>
      <c r="O12" s="7">
        <f t="shared" si="4"/>
        <v>-0.32999999999999996</v>
      </c>
      <c r="P12" s="7">
        <f t="shared" si="5"/>
        <v>0</v>
      </c>
      <c r="Q12" s="7">
        <f t="shared" si="6"/>
        <v>-0.32999999999999996</v>
      </c>
      <c r="R12" s="7">
        <f t="shared" si="7"/>
        <v>-6.5999999999999991E-3</v>
      </c>
      <c r="S12" s="7">
        <f t="shared" si="8"/>
        <v>-0.32339999999999997</v>
      </c>
      <c r="T12" s="8">
        <f t="shared" si="9"/>
        <v>-50.883755999999998</v>
      </c>
      <c r="U12" s="7">
        <f t="shared" si="10"/>
        <v>5.4216867469879517</v>
      </c>
      <c r="V12" s="8">
        <f t="shared" si="11"/>
        <v>-903.93194877108442</v>
      </c>
      <c r="W12" s="10" t="str">
        <f t="shared" si="12"/>
        <v/>
      </c>
      <c r="X12" s="9" t="str">
        <f t="shared" si="13"/>
        <v/>
      </c>
      <c r="Y12" s="8">
        <f t="shared" si="14"/>
        <v>0</v>
      </c>
      <c r="Z12" s="11" t="str">
        <f t="shared" si="15"/>
        <v/>
      </c>
      <c r="AA12" s="9" t="str">
        <f t="shared" si="16"/>
        <v/>
      </c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x14ac:dyDescent="0.4">
      <c r="C13">
        <v>12</v>
      </c>
      <c r="I13" s="15" t="str">
        <f>IFERROR(VLOOKUP(H13,送料!$G$10:$H$28,2,FALSE),"")</f>
        <v/>
      </c>
      <c r="J13" s="7">
        <f t="shared" si="0"/>
        <v>0</v>
      </c>
      <c r="K13" s="7">
        <f t="shared" si="1"/>
        <v>0</v>
      </c>
      <c r="L13" s="7">
        <v>0.3</v>
      </c>
      <c r="M13" s="7">
        <f t="shared" si="2"/>
        <v>0.03</v>
      </c>
      <c r="N13" s="7">
        <f t="shared" si="3"/>
        <v>0.32999999999999996</v>
      </c>
      <c r="O13" s="7">
        <f t="shared" si="4"/>
        <v>-0.32999999999999996</v>
      </c>
      <c r="P13" s="7">
        <f t="shared" si="5"/>
        <v>0</v>
      </c>
      <c r="Q13" s="7">
        <f t="shared" si="6"/>
        <v>-0.32999999999999996</v>
      </c>
      <c r="R13" s="7">
        <f t="shared" si="7"/>
        <v>-6.5999999999999991E-3</v>
      </c>
      <c r="S13" s="7">
        <f t="shared" si="8"/>
        <v>-0.32339999999999997</v>
      </c>
      <c r="T13" s="8">
        <f t="shared" si="9"/>
        <v>-50.883755999999998</v>
      </c>
      <c r="U13" s="7">
        <f t="shared" si="10"/>
        <v>5.4216867469879517</v>
      </c>
      <c r="V13" s="8">
        <f t="shared" si="11"/>
        <v>-903.93194877108442</v>
      </c>
      <c r="W13" s="10" t="str">
        <f t="shared" si="12"/>
        <v/>
      </c>
      <c r="X13" s="9" t="str">
        <f t="shared" si="13"/>
        <v/>
      </c>
      <c r="Y13" s="8">
        <f t="shared" si="14"/>
        <v>0</v>
      </c>
      <c r="Z13" s="11" t="str">
        <f t="shared" si="15"/>
        <v/>
      </c>
      <c r="AA13" s="9" t="str">
        <f t="shared" si="16"/>
        <v/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x14ac:dyDescent="0.4">
      <c r="C14">
        <v>13</v>
      </c>
      <c r="I14" s="15" t="str">
        <f>IFERROR(VLOOKUP(H14,送料!$G$10:$H$28,2,FALSE),"")</f>
        <v/>
      </c>
      <c r="J14" s="7">
        <f t="shared" si="0"/>
        <v>0</v>
      </c>
      <c r="K14" s="7">
        <f t="shared" si="1"/>
        <v>0</v>
      </c>
      <c r="L14" s="7">
        <v>0.3</v>
      </c>
      <c r="M14" s="7">
        <f t="shared" si="2"/>
        <v>0.03</v>
      </c>
      <c r="N14" s="7">
        <f t="shared" si="3"/>
        <v>0.32999999999999996</v>
      </c>
      <c r="O14" s="7">
        <f t="shared" si="4"/>
        <v>-0.32999999999999996</v>
      </c>
      <c r="P14" s="7">
        <f t="shared" si="5"/>
        <v>0</v>
      </c>
      <c r="Q14" s="7">
        <f t="shared" si="6"/>
        <v>-0.32999999999999996</v>
      </c>
      <c r="R14" s="7">
        <f t="shared" si="7"/>
        <v>-6.5999999999999991E-3</v>
      </c>
      <c r="S14" s="7">
        <f t="shared" si="8"/>
        <v>-0.32339999999999997</v>
      </c>
      <c r="T14" s="8">
        <f t="shared" si="9"/>
        <v>-50.883755999999998</v>
      </c>
      <c r="U14" s="7">
        <f t="shared" si="10"/>
        <v>5.4216867469879517</v>
      </c>
      <c r="V14" s="8">
        <f t="shared" si="11"/>
        <v>-903.93194877108442</v>
      </c>
      <c r="W14" s="10" t="str">
        <f t="shared" si="12"/>
        <v/>
      </c>
      <c r="X14" s="9" t="str">
        <f t="shared" si="13"/>
        <v/>
      </c>
      <c r="Y14" s="8">
        <f t="shared" si="14"/>
        <v>0</v>
      </c>
      <c r="Z14" s="11" t="str">
        <f t="shared" si="15"/>
        <v/>
      </c>
      <c r="AA14" s="9" t="str">
        <f t="shared" si="16"/>
        <v/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1:41" x14ac:dyDescent="0.4">
      <c r="C15">
        <v>14</v>
      </c>
      <c r="I15" s="15" t="str">
        <f>IFERROR(VLOOKUP(H15,送料!$G$10:$H$28,2,FALSE),"")</f>
        <v/>
      </c>
      <c r="J15" s="7">
        <f t="shared" si="0"/>
        <v>0</v>
      </c>
      <c r="K15" s="7">
        <f t="shared" si="1"/>
        <v>0</v>
      </c>
      <c r="L15" s="7">
        <v>0.3</v>
      </c>
      <c r="M15" s="7">
        <f t="shared" si="2"/>
        <v>0.03</v>
      </c>
      <c r="N15" s="7">
        <f t="shared" si="3"/>
        <v>0.32999999999999996</v>
      </c>
      <c r="O15" s="7">
        <f t="shared" si="4"/>
        <v>-0.32999999999999996</v>
      </c>
      <c r="P15" s="7">
        <f t="shared" si="5"/>
        <v>0</v>
      </c>
      <c r="Q15" s="7">
        <f t="shared" si="6"/>
        <v>-0.32999999999999996</v>
      </c>
      <c r="R15" s="7">
        <f t="shared" si="7"/>
        <v>-6.5999999999999991E-3</v>
      </c>
      <c r="S15" s="7">
        <f t="shared" si="8"/>
        <v>-0.32339999999999997</v>
      </c>
      <c r="T15" s="8">
        <f t="shared" si="9"/>
        <v>-50.883755999999998</v>
      </c>
      <c r="U15" s="7">
        <f t="shared" si="10"/>
        <v>5.4216867469879517</v>
      </c>
      <c r="V15" s="8">
        <f t="shared" si="11"/>
        <v>-903.93194877108442</v>
      </c>
      <c r="W15" s="10" t="str">
        <f t="shared" si="12"/>
        <v/>
      </c>
      <c r="X15" s="9" t="str">
        <f t="shared" si="13"/>
        <v/>
      </c>
      <c r="Y15" s="8">
        <f t="shared" si="14"/>
        <v>0</v>
      </c>
      <c r="Z15" s="11" t="str">
        <f t="shared" si="15"/>
        <v/>
      </c>
      <c r="AA15" s="9" t="str">
        <f t="shared" si="16"/>
        <v/>
      </c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spans="1:41" x14ac:dyDescent="0.4">
      <c r="C16">
        <v>15</v>
      </c>
      <c r="I16" s="15" t="str">
        <f>IFERROR(VLOOKUP(H16,送料!$G$10:$H$28,2,FALSE),"")</f>
        <v/>
      </c>
      <c r="J16" s="7">
        <f t="shared" si="0"/>
        <v>0</v>
      </c>
      <c r="K16" s="7">
        <f t="shared" si="1"/>
        <v>0</v>
      </c>
      <c r="L16" s="7">
        <v>0.3</v>
      </c>
      <c r="M16" s="7">
        <f t="shared" si="2"/>
        <v>0.03</v>
      </c>
      <c r="N16" s="7">
        <f t="shared" si="3"/>
        <v>0.32999999999999996</v>
      </c>
      <c r="O16" s="7">
        <f t="shared" si="4"/>
        <v>-0.32999999999999996</v>
      </c>
      <c r="P16" s="7">
        <f t="shared" si="5"/>
        <v>0</v>
      </c>
      <c r="Q16" s="7">
        <f t="shared" si="6"/>
        <v>-0.32999999999999996</v>
      </c>
      <c r="R16" s="7">
        <f t="shared" si="7"/>
        <v>-6.5999999999999991E-3</v>
      </c>
      <c r="S16" s="7">
        <f t="shared" si="8"/>
        <v>-0.32339999999999997</v>
      </c>
      <c r="T16" s="8">
        <f t="shared" si="9"/>
        <v>-50.883755999999998</v>
      </c>
      <c r="U16" s="7">
        <f t="shared" si="10"/>
        <v>5.4216867469879517</v>
      </c>
      <c r="V16" s="8">
        <f t="shared" si="11"/>
        <v>-903.93194877108442</v>
      </c>
      <c r="W16" s="10" t="str">
        <f t="shared" si="12"/>
        <v/>
      </c>
      <c r="X16" s="9" t="str">
        <f t="shared" si="13"/>
        <v/>
      </c>
      <c r="Y16" s="8">
        <f t="shared" si="14"/>
        <v>0</v>
      </c>
      <c r="Z16" s="11" t="str">
        <f t="shared" si="15"/>
        <v/>
      </c>
      <c r="AA16" s="9" t="str">
        <f t="shared" si="16"/>
        <v/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3:41" x14ac:dyDescent="0.4">
      <c r="C17">
        <v>16</v>
      </c>
      <c r="I17" s="15" t="str">
        <f>IFERROR(VLOOKUP(H17,送料!$G$10:$H$28,2,FALSE),"")</f>
        <v/>
      </c>
      <c r="J17" s="7">
        <f t="shared" si="0"/>
        <v>0</v>
      </c>
      <c r="K17" s="7">
        <f t="shared" si="1"/>
        <v>0</v>
      </c>
      <c r="L17" s="7">
        <v>0.3</v>
      </c>
      <c r="M17" s="7">
        <f t="shared" si="2"/>
        <v>0.03</v>
      </c>
      <c r="N17" s="7">
        <f t="shared" si="3"/>
        <v>0.32999999999999996</v>
      </c>
      <c r="O17" s="7">
        <f t="shared" si="4"/>
        <v>-0.32999999999999996</v>
      </c>
      <c r="P17" s="7">
        <f t="shared" si="5"/>
        <v>0</v>
      </c>
      <c r="Q17" s="7">
        <f t="shared" si="6"/>
        <v>-0.32999999999999996</v>
      </c>
      <c r="R17" s="7">
        <f t="shared" si="7"/>
        <v>-6.5999999999999991E-3</v>
      </c>
      <c r="S17" s="7">
        <f t="shared" si="8"/>
        <v>-0.32339999999999997</v>
      </c>
      <c r="T17" s="8">
        <f t="shared" si="9"/>
        <v>-50.883755999999998</v>
      </c>
      <c r="U17" s="7">
        <f t="shared" si="10"/>
        <v>5.4216867469879517</v>
      </c>
      <c r="V17" s="8">
        <f t="shared" si="11"/>
        <v>-903.93194877108442</v>
      </c>
      <c r="W17" s="10" t="str">
        <f t="shared" si="12"/>
        <v/>
      </c>
      <c r="X17" s="9" t="str">
        <f t="shared" si="13"/>
        <v/>
      </c>
      <c r="Y17" s="8">
        <f t="shared" si="14"/>
        <v>0</v>
      </c>
      <c r="Z17" s="11" t="str">
        <f t="shared" si="15"/>
        <v/>
      </c>
      <c r="AA17" s="9" t="str">
        <f t="shared" si="16"/>
        <v/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spans="3:41" x14ac:dyDescent="0.4">
      <c r="C18">
        <v>17</v>
      </c>
      <c r="I18" s="15" t="str">
        <f>IFERROR(VLOOKUP(H18,送料!$G$10:$H$28,2,FALSE),"")</f>
        <v/>
      </c>
      <c r="J18" s="7">
        <f t="shared" si="0"/>
        <v>0</v>
      </c>
      <c r="K18" s="7">
        <f t="shared" si="1"/>
        <v>0</v>
      </c>
      <c r="L18" s="7">
        <v>0.3</v>
      </c>
      <c r="M18" s="7">
        <f t="shared" si="2"/>
        <v>0.03</v>
      </c>
      <c r="N18" s="7">
        <f t="shared" si="3"/>
        <v>0.32999999999999996</v>
      </c>
      <c r="O18" s="7">
        <f t="shared" si="4"/>
        <v>-0.32999999999999996</v>
      </c>
      <c r="P18" s="7">
        <f t="shared" si="5"/>
        <v>0</v>
      </c>
      <c r="Q18" s="7">
        <f t="shared" si="6"/>
        <v>-0.32999999999999996</v>
      </c>
      <c r="R18" s="7">
        <f t="shared" si="7"/>
        <v>-6.5999999999999991E-3</v>
      </c>
      <c r="S18" s="7">
        <f t="shared" si="8"/>
        <v>-0.32339999999999997</v>
      </c>
      <c r="T18" s="8">
        <f t="shared" si="9"/>
        <v>-50.883755999999998</v>
      </c>
      <c r="U18" s="7">
        <f t="shared" si="10"/>
        <v>5.4216867469879517</v>
      </c>
      <c r="V18" s="8">
        <f t="shared" si="11"/>
        <v>-903.93194877108442</v>
      </c>
      <c r="W18" s="10" t="str">
        <f t="shared" si="12"/>
        <v/>
      </c>
      <c r="X18" s="9" t="str">
        <f t="shared" si="13"/>
        <v/>
      </c>
      <c r="Y18" s="8">
        <f t="shared" si="14"/>
        <v>0</v>
      </c>
      <c r="Z18" s="11" t="str">
        <f t="shared" si="15"/>
        <v/>
      </c>
      <c r="AA18" s="9" t="str">
        <f t="shared" si="16"/>
        <v/>
      </c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3:41" x14ac:dyDescent="0.4">
      <c r="C19">
        <v>18</v>
      </c>
      <c r="I19" s="15" t="str">
        <f>IFERROR(VLOOKUP(H19,送料!$G$10:$H$28,2,FALSE),"")</f>
        <v/>
      </c>
      <c r="J19" s="7">
        <f t="shared" si="0"/>
        <v>0</v>
      </c>
      <c r="K19" s="7">
        <f t="shared" si="1"/>
        <v>0</v>
      </c>
      <c r="L19" s="7">
        <v>0.3</v>
      </c>
      <c r="M19" s="7">
        <f t="shared" si="2"/>
        <v>0.03</v>
      </c>
      <c r="N19" s="7">
        <f t="shared" si="3"/>
        <v>0.32999999999999996</v>
      </c>
      <c r="O19" s="7">
        <f t="shared" si="4"/>
        <v>-0.32999999999999996</v>
      </c>
      <c r="P19" s="7">
        <f t="shared" si="5"/>
        <v>0</v>
      </c>
      <c r="Q19" s="7">
        <f t="shared" si="6"/>
        <v>-0.32999999999999996</v>
      </c>
      <c r="R19" s="7">
        <f t="shared" si="7"/>
        <v>-6.5999999999999991E-3</v>
      </c>
      <c r="S19" s="7">
        <f t="shared" si="8"/>
        <v>-0.32339999999999997</v>
      </c>
      <c r="T19" s="8">
        <f t="shared" si="9"/>
        <v>-50.883755999999998</v>
      </c>
      <c r="U19" s="7">
        <f t="shared" si="10"/>
        <v>5.4216867469879517</v>
      </c>
      <c r="V19" s="8">
        <f t="shared" si="11"/>
        <v>-903.93194877108442</v>
      </c>
      <c r="W19" s="10" t="str">
        <f t="shared" si="12"/>
        <v/>
      </c>
      <c r="X19" s="9" t="str">
        <f t="shared" si="13"/>
        <v/>
      </c>
      <c r="Y19" s="8">
        <f t="shared" si="14"/>
        <v>0</v>
      </c>
      <c r="Z19" s="11" t="str">
        <f t="shared" si="15"/>
        <v/>
      </c>
      <c r="AA19" s="9" t="str">
        <f t="shared" si="16"/>
        <v/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3:41" x14ac:dyDescent="0.4">
      <c r="C20">
        <v>19</v>
      </c>
      <c r="I20" s="15" t="str">
        <f>IFERROR(VLOOKUP(H20,送料!$G$10:$H$28,2,FALSE),"")</f>
        <v/>
      </c>
      <c r="J20" s="7">
        <f t="shared" si="0"/>
        <v>0</v>
      </c>
      <c r="K20" s="7">
        <f t="shared" si="1"/>
        <v>0</v>
      </c>
      <c r="L20" s="7">
        <v>0.3</v>
      </c>
      <c r="M20" s="7">
        <f t="shared" si="2"/>
        <v>0.03</v>
      </c>
      <c r="N20" s="7">
        <f t="shared" si="3"/>
        <v>0.32999999999999996</v>
      </c>
      <c r="O20" s="7">
        <f t="shared" si="4"/>
        <v>-0.32999999999999996</v>
      </c>
      <c r="P20" s="7">
        <f t="shared" si="5"/>
        <v>0</v>
      </c>
      <c r="Q20" s="7">
        <f t="shared" si="6"/>
        <v>-0.32999999999999996</v>
      </c>
      <c r="R20" s="7">
        <f t="shared" si="7"/>
        <v>-6.5999999999999991E-3</v>
      </c>
      <c r="S20" s="7">
        <f t="shared" si="8"/>
        <v>-0.32339999999999997</v>
      </c>
      <c r="T20" s="8">
        <f t="shared" si="9"/>
        <v>-50.883755999999998</v>
      </c>
      <c r="U20" s="7">
        <f t="shared" si="10"/>
        <v>5.4216867469879517</v>
      </c>
      <c r="V20" s="8">
        <f t="shared" si="11"/>
        <v>-903.93194877108442</v>
      </c>
      <c r="W20" s="10" t="str">
        <f t="shared" si="12"/>
        <v/>
      </c>
      <c r="X20" s="9" t="str">
        <f t="shared" si="13"/>
        <v/>
      </c>
      <c r="Y20" s="8">
        <f t="shared" si="14"/>
        <v>0</v>
      </c>
      <c r="Z20" s="11" t="str">
        <f t="shared" si="15"/>
        <v/>
      </c>
      <c r="AA20" s="9" t="str">
        <f t="shared" si="16"/>
        <v/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3:41" x14ac:dyDescent="0.4">
      <c r="C21">
        <v>20</v>
      </c>
      <c r="I21" s="15" t="str">
        <f>IFERROR(VLOOKUP(H21,送料!$G$10:$H$28,2,FALSE),"")</f>
        <v/>
      </c>
      <c r="J21" s="7">
        <f t="shared" si="0"/>
        <v>0</v>
      </c>
      <c r="K21" s="7">
        <f t="shared" si="1"/>
        <v>0</v>
      </c>
      <c r="L21" s="7">
        <v>0.3</v>
      </c>
      <c r="M21" s="7">
        <f t="shared" si="2"/>
        <v>0.03</v>
      </c>
      <c r="N21" s="7">
        <f t="shared" si="3"/>
        <v>0.32999999999999996</v>
      </c>
      <c r="O21" s="7">
        <f t="shared" si="4"/>
        <v>-0.32999999999999996</v>
      </c>
      <c r="P21" s="7">
        <f t="shared" si="5"/>
        <v>0</v>
      </c>
      <c r="Q21" s="7">
        <f t="shared" si="6"/>
        <v>-0.32999999999999996</v>
      </c>
      <c r="R21" s="7">
        <f t="shared" si="7"/>
        <v>-6.5999999999999991E-3</v>
      </c>
      <c r="S21" s="7">
        <f t="shared" si="8"/>
        <v>-0.32339999999999997</v>
      </c>
      <c r="T21" s="8">
        <f t="shared" si="9"/>
        <v>-50.883755999999998</v>
      </c>
      <c r="U21" s="7">
        <f t="shared" si="10"/>
        <v>5.4216867469879517</v>
      </c>
      <c r="V21" s="8">
        <f t="shared" si="11"/>
        <v>-903.93194877108442</v>
      </c>
      <c r="W21" s="10" t="str">
        <f t="shared" si="12"/>
        <v/>
      </c>
      <c r="X21" s="9" t="str">
        <f t="shared" si="13"/>
        <v/>
      </c>
      <c r="Y21" s="8">
        <f t="shared" si="14"/>
        <v>0</v>
      </c>
      <c r="Z21" s="11" t="str">
        <f t="shared" si="15"/>
        <v/>
      </c>
      <c r="AA21" s="9" t="str">
        <f t="shared" si="16"/>
        <v/>
      </c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 spans="3:41" x14ac:dyDescent="0.4">
      <c r="C22">
        <v>21</v>
      </c>
      <c r="I22" s="15" t="str">
        <f>IFERROR(VLOOKUP(H22,送料!$G$10:$H$28,2,FALSE),"")</f>
        <v/>
      </c>
      <c r="J22" s="7">
        <f t="shared" si="0"/>
        <v>0</v>
      </c>
      <c r="K22" s="7">
        <f t="shared" si="1"/>
        <v>0</v>
      </c>
      <c r="L22" s="7">
        <v>0.3</v>
      </c>
      <c r="M22" s="7">
        <f t="shared" si="2"/>
        <v>0.03</v>
      </c>
      <c r="N22" s="7">
        <f t="shared" si="3"/>
        <v>0.32999999999999996</v>
      </c>
      <c r="O22" s="7">
        <f t="shared" si="4"/>
        <v>-0.32999999999999996</v>
      </c>
      <c r="P22" s="7">
        <f t="shared" si="5"/>
        <v>0</v>
      </c>
      <c r="Q22" s="7">
        <f t="shared" si="6"/>
        <v>-0.32999999999999996</v>
      </c>
      <c r="R22" s="7">
        <f t="shared" si="7"/>
        <v>-6.5999999999999991E-3</v>
      </c>
      <c r="S22" s="7">
        <f t="shared" si="8"/>
        <v>-0.32339999999999997</v>
      </c>
      <c r="T22" s="8">
        <f t="shared" si="9"/>
        <v>-50.883755999999998</v>
      </c>
      <c r="U22" s="7">
        <f t="shared" si="10"/>
        <v>5.4216867469879517</v>
      </c>
      <c r="V22" s="8">
        <f t="shared" si="11"/>
        <v>-903.93194877108442</v>
      </c>
      <c r="W22" s="10" t="str">
        <f t="shared" si="12"/>
        <v/>
      </c>
      <c r="X22" s="9" t="str">
        <f t="shared" si="13"/>
        <v/>
      </c>
      <c r="Y22" s="8">
        <f t="shared" si="14"/>
        <v>0</v>
      </c>
      <c r="Z22" s="11" t="str">
        <f t="shared" si="15"/>
        <v/>
      </c>
      <c r="AA22" s="9" t="str">
        <f t="shared" si="16"/>
        <v/>
      </c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 spans="3:41" x14ac:dyDescent="0.4">
      <c r="C23">
        <v>22</v>
      </c>
      <c r="I23" s="15" t="str">
        <f>IFERROR(VLOOKUP(H23,送料!$G$10:$H$28,2,FALSE),"")</f>
        <v/>
      </c>
      <c r="J23" s="7">
        <f t="shared" si="0"/>
        <v>0</v>
      </c>
      <c r="K23" s="7">
        <f t="shared" si="1"/>
        <v>0</v>
      </c>
      <c r="L23" s="7">
        <v>0.3</v>
      </c>
      <c r="M23" s="7">
        <f t="shared" si="2"/>
        <v>0.03</v>
      </c>
      <c r="N23" s="7">
        <f t="shared" si="3"/>
        <v>0.32999999999999996</v>
      </c>
      <c r="O23" s="7">
        <f t="shared" si="4"/>
        <v>-0.32999999999999996</v>
      </c>
      <c r="P23" s="7">
        <f t="shared" si="5"/>
        <v>0</v>
      </c>
      <c r="Q23" s="7">
        <f t="shared" si="6"/>
        <v>-0.32999999999999996</v>
      </c>
      <c r="R23" s="7">
        <f t="shared" si="7"/>
        <v>-6.5999999999999991E-3</v>
      </c>
      <c r="S23" s="7">
        <f t="shared" si="8"/>
        <v>-0.32339999999999997</v>
      </c>
      <c r="T23" s="8">
        <f t="shared" si="9"/>
        <v>-50.883755999999998</v>
      </c>
      <c r="U23" s="7">
        <f t="shared" si="10"/>
        <v>5.4216867469879517</v>
      </c>
      <c r="V23" s="8">
        <f t="shared" si="11"/>
        <v>-903.93194877108442</v>
      </c>
      <c r="W23" s="10" t="str">
        <f t="shared" si="12"/>
        <v/>
      </c>
      <c r="X23" s="9" t="str">
        <f t="shared" si="13"/>
        <v/>
      </c>
      <c r="Y23" s="8">
        <f t="shared" si="14"/>
        <v>0</v>
      </c>
      <c r="Z23" s="11" t="str">
        <f t="shared" si="15"/>
        <v/>
      </c>
      <c r="AA23" s="9" t="str">
        <f t="shared" si="16"/>
        <v/>
      </c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 spans="3:41" x14ac:dyDescent="0.4">
      <c r="C24">
        <v>23</v>
      </c>
      <c r="I24" s="15" t="str">
        <f>IFERROR(VLOOKUP(H24,送料!$G$10:$H$28,2,FALSE),"")</f>
        <v/>
      </c>
      <c r="J24" s="7">
        <f t="shared" si="0"/>
        <v>0</v>
      </c>
      <c r="K24" s="7">
        <f t="shared" si="1"/>
        <v>0</v>
      </c>
      <c r="L24" s="7">
        <v>0.3</v>
      </c>
      <c r="M24" s="7">
        <f t="shared" si="2"/>
        <v>0.03</v>
      </c>
      <c r="N24" s="7">
        <f t="shared" si="3"/>
        <v>0.32999999999999996</v>
      </c>
      <c r="O24" s="7">
        <f t="shared" si="4"/>
        <v>-0.32999999999999996</v>
      </c>
      <c r="P24" s="7">
        <f t="shared" si="5"/>
        <v>0</v>
      </c>
      <c r="Q24" s="7">
        <f t="shared" si="6"/>
        <v>-0.32999999999999996</v>
      </c>
      <c r="R24" s="7">
        <f t="shared" si="7"/>
        <v>-6.5999999999999991E-3</v>
      </c>
      <c r="S24" s="7">
        <f t="shared" si="8"/>
        <v>-0.32339999999999997</v>
      </c>
      <c r="T24" s="8">
        <f t="shared" si="9"/>
        <v>-50.883755999999998</v>
      </c>
      <c r="U24" s="7">
        <f t="shared" si="10"/>
        <v>5.4216867469879517</v>
      </c>
      <c r="V24" s="8">
        <f t="shared" si="11"/>
        <v>-903.93194877108442</v>
      </c>
      <c r="W24" s="10" t="str">
        <f t="shared" si="12"/>
        <v/>
      </c>
      <c r="X24" s="9" t="str">
        <f t="shared" si="13"/>
        <v/>
      </c>
      <c r="Y24" s="8">
        <f t="shared" si="14"/>
        <v>0</v>
      </c>
      <c r="Z24" s="11" t="str">
        <f t="shared" si="15"/>
        <v/>
      </c>
      <c r="AA24" s="9" t="str">
        <f t="shared" si="16"/>
        <v/>
      </c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 spans="3:41" x14ac:dyDescent="0.4">
      <c r="C25">
        <v>24</v>
      </c>
      <c r="I25" s="16"/>
      <c r="J25" s="7">
        <f t="shared" si="0"/>
        <v>0</v>
      </c>
      <c r="K25" s="7">
        <f t="shared" si="1"/>
        <v>0</v>
      </c>
      <c r="L25" s="7">
        <v>0.3</v>
      </c>
      <c r="M25" s="7">
        <f t="shared" si="2"/>
        <v>0.03</v>
      </c>
      <c r="N25" s="7">
        <f t="shared" si="3"/>
        <v>0.32999999999999996</v>
      </c>
      <c r="O25" s="7">
        <f t="shared" si="4"/>
        <v>-0.32999999999999996</v>
      </c>
      <c r="P25" s="7">
        <f t="shared" si="5"/>
        <v>0</v>
      </c>
      <c r="Q25" s="7">
        <f t="shared" si="6"/>
        <v>-0.32999999999999996</v>
      </c>
      <c r="R25" s="7">
        <f t="shared" si="7"/>
        <v>-6.5999999999999991E-3</v>
      </c>
      <c r="S25" s="7">
        <f t="shared" si="8"/>
        <v>-0.32339999999999997</v>
      </c>
      <c r="T25" s="8">
        <f t="shared" si="9"/>
        <v>-50.883755999999998</v>
      </c>
      <c r="U25" s="7">
        <f t="shared" si="10"/>
        <v>5.4216867469879517</v>
      </c>
      <c r="V25" s="8">
        <f t="shared" si="11"/>
        <v>-903.93194877108442</v>
      </c>
      <c r="W25" s="10">
        <f t="shared" si="12"/>
        <v>-903.93194877108442</v>
      </c>
      <c r="X25" s="9" t="str">
        <f t="shared" si="13"/>
        <v/>
      </c>
      <c r="Y25" s="8">
        <f t="shared" si="14"/>
        <v>0</v>
      </c>
      <c r="Z25" s="11">
        <f t="shared" si="15"/>
        <v>-903.93194877108442</v>
      </c>
      <c r="AA25" s="9" t="str">
        <f t="shared" si="16"/>
        <v/>
      </c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 spans="3:41" x14ac:dyDescent="0.4">
      <c r="C26">
        <v>25</v>
      </c>
      <c r="I26" s="16"/>
      <c r="J26" s="7">
        <f t="shared" si="0"/>
        <v>0</v>
      </c>
      <c r="K26" s="7">
        <f t="shared" si="1"/>
        <v>0</v>
      </c>
      <c r="L26" s="7">
        <v>0.3</v>
      </c>
      <c r="M26" s="7">
        <f t="shared" si="2"/>
        <v>0.03</v>
      </c>
      <c r="N26" s="7">
        <f t="shared" si="3"/>
        <v>0.32999999999999996</v>
      </c>
      <c r="O26" s="7">
        <f t="shared" si="4"/>
        <v>-0.32999999999999996</v>
      </c>
      <c r="P26" s="7">
        <f t="shared" si="5"/>
        <v>0</v>
      </c>
      <c r="Q26" s="7">
        <f t="shared" si="6"/>
        <v>-0.32999999999999996</v>
      </c>
      <c r="R26" s="7">
        <f t="shared" si="7"/>
        <v>-6.5999999999999991E-3</v>
      </c>
      <c r="S26" s="7">
        <f t="shared" si="8"/>
        <v>-0.32339999999999997</v>
      </c>
      <c r="T26" s="8">
        <f t="shared" si="9"/>
        <v>-50.883755999999998</v>
      </c>
      <c r="U26" s="7">
        <f t="shared" si="10"/>
        <v>5.4216867469879517</v>
      </c>
      <c r="V26" s="8">
        <f t="shared" si="11"/>
        <v>-903.93194877108442</v>
      </c>
      <c r="W26" s="10">
        <f t="shared" si="12"/>
        <v>-903.93194877108442</v>
      </c>
      <c r="X26" s="9" t="str">
        <f t="shared" si="13"/>
        <v/>
      </c>
      <c r="Y26" s="8">
        <f t="shared" si="14"/>
        <v>0</v>
      </c>
      <c r="Z26" s="11">
        <f t="shared" si="15"/>
        <v>-903.93194877108442</v>
      </c>
      <c r="AA26" s="9" t="str">
        <f t="shared" si="16"/>
        <v/>
      </c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 spans="3:41" x14ac:dyDescent="0.4">
      <c r="C27">
        <v>26</v>
      </c>
      <c r="I27" s="16"/>
      <c r="J27" s="7">
        <f t="shared" si="0"/>
        <v>0</v>
      </c>
      <c r="K27" s="7">
        <f t="shared" si="1"/>
        <v>0</v>
      </c>
      <c r="L27" s="7">
        <v>0.3</v>
      </c>
      <c r="M27" s="7">
        <f t="shared" si="2"/>
        <v>0.03</v>
      </c>
      <c r="N27" s="7">
        <f t="shared" si="3"/>
        <v>0.32999999999999996</v>
      </c>
      <c r="O27" s="7">
        <f t="shared" si="4"/>
        <v>-0.32999999999999996</v>
      </c>
      <c r="P27" s="7">
        <f t="shared" si="5"/>
        <v>0</v>
      </c>
      <c r="Q27" s="7">
        <f t="shared" si="6"/>
        <v>-0.32999999999999996</v>
      </c>
      <c r="R27" s="7">
        <f t="shared" si="7"/>
        <v>-6.5999999999999991E-3</v>
      </c>
      <c r="S27" s="7">
        <f t="shared" si="8"/>
        <v>-0.32339999999999997</v>
      </c>
      <c r="T27" s="8">
        <f t="shared" si="9"/>
        <v>-50.883755999999998</v>
      </c>
      <c r="U27" s="7">
        <f t="shared" si="10"/>
        <v>5.4216867469879517</v>
      </c>
      <c r="V27" s="8">
        <f t="shared" si="11"/>
        <v>-903.93194877108442</v>
      </c>
      <c r="W27" s="10">
        <f t="shared" si="12"/>
        <v>-903.93194877108442</v>
      </c>
      <c r="X27" s="9" t="str">
        <f t="shared" si="13"/>
        <v/>
      </c>
      <c r="Y27" s="8">
        <f t="shared" si="14"/>
        <v>0</v>
      </c>
      <c r="Z27" s="11">
        <f t="shared" si="15"/>
        <v>-903.93194877108442</v>
      </c>
      <c r="AA27" s="9" t="str">
        <f t="shared" si="16"/>
        <v/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 spans="3:41" x14ac:dyDescent="0.4">
      <c r="C28">
        <v>27</v>
      </c>
      <c r="I28" s="16"/>
      <c r="J28" s="7">
        <f t="shared" si="0"/>
        <v>0</v>
      </c>
      <c r="K28" s="7">
        <f t="shared" si="1"/>
        <v>0</v>
      </c>
      <c r="L28" s="7">
        <v>0.3</v>
      </c>
      <c r="M28" s="7">
        <f t="shared" si="2"/>
        <v>0.03</v>
      </c>
      <c r="N28" s="7">
        <f t="shared" si="3"/>
        <v>0.32999999999999996</v>
      </c>
      <c r="O28" s="7">
        <f t="shared" si="4"/>
        <v>-0.32999999999999996</v>
      </c>
      <c r="P28" s="7">
        <f t="shared" si="5"/>
        <v>0</v>
      </c>
      <c r="Q28" s="7">
        <f t="shared" si="6"/>
        <v>-0.32999999999999996</v>
      </c>
      <c r="R28" s="7">
        <f t="shared" si="7"/>
        <v>-6.5999999999999991E-3</v>
      </c>
      <c r="S28" s="7">
        <f t="shared" si="8"/>
        <v>-0.32339999999999997</v>
      </c>
      <c r="T28" s="8">
        <f t="shared" si="9"/>
        <v>-50.883755999999998</v>
      </c>
      <c r="U28" s="7">
        <f t="shared" si="10"/>
        <v>5.4216867469879517</v>
      </c>
      <c r="V28" s="8">
        <f t="shared" si="11"/>
        <v>-903.93194877108442</v>
      </c>
      <c r="W28" s="10">
        <f t="shared" si="12"/>
        <v>-903.93194877108442</v>
      </c>
      <c r="X28" s="9" t="str">
        <f t="shared" si="13"/>
        <v/>
      </c>
      <c r="Y28" s="8">
        <f t="shared" si="14"/>
        <v>0</v>
      </c>
      <c r="Z28" s="11">
        <f t="shared" si="15"/>
        <v>-903.93194877108442</v>
      </c>
      <c r="AA28" s="9" t="str">
        <f t="shared" si="16"/>
        <v/>
      </c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 spans="3:41" x14ac:dyDescent="0.4">
      <c r="C29">
        <v>28</v>
      </c>
      <c r="I29" s="16"/>
      <c r="J29" s="7">
        <f t="shared" si="0"/>
        <v>0</v>
      </c>
      <c r="K29" s="7">
        <f t="shared" si="1"/>
        <v>0</v>
      </c>
      <c r="L29" s="7">
        <v>0.3</v>
      </c>
      <c r="M29" s="7">
        <f t="shared" si="2"/>
        <v>0.03</v>
      </c>
      <c r="N29" s="7">
        <f t="shared" si="3"/>
        <v>0.32999999999999996</v>
      </c>
      <c r="O29" s="7">
        <f t="shared" si="4"/>
        <v>-0.32999999999999996</v>
      </c>
      <c r="P29" s="7">
        <f t="shared" si="5"/>
        <v>0</v>
      </c>
      <c r="Q29" s="7">
        <f t="shared" si="6"/>
        <v>-0.32999999999999996</v>
      </c>
      <c r="R29" s="7">
        <f t="shared" si="7"/>
        <v>-6.5999999999999991E-3</v>
      </c>
      <c r="S29" s="7">
        <f t="shared" si="8"/>
        <v>-0.32339999999999997</v>
      </c>
      <c r="T29" s="8">
        <f t="shared" si="9"/>
        <v>-50.883755999999998</v>
      </c>
      <c r="U29" s="7">
        <f t="shared" si="10"/>
        <v>5.4216867469879517</v>
      </c>
      <c r="V29" s="8">
        <f t="shared" si="11"/>
        <v>-903.93194877108442</v>
      </c>
      <c r="W29" s="10">
        <f t="shared" si="12"/>
        <v>-903.93194877108442</v>
      </c>
      <c r="X29" s="9" t="str">
        <f t="shared" si="13"/>
        <v/>
      </c>
      <c r="Y29" s="8">
        <f t="shared" si="14"/>
        <v>0</v>
      </c>
      <c r="Z29" s="11">
        <f t="shared" si="15"/>
        <v>-903.93194877108442</v>
      </c>
      <c r="AA29" s="9" t="str">
        <f t="shared" si="16"/>
        <v/>
      </c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spans="3:41" x14ac:dyDescent="0.4">
      <c r="C30">
        <v>29</v>
      </c>
      <c r="I30" s="16"/>
      <c r="J30" s="7">
        <f t="shared" si="0"/>
        <v>0</v>
      </c>
      <c r="K30" s="7">
        <f t="shared" si="1"/>
        <v>0</v>
      </c>
      <c r="L30" s="7">
        <v>0.3</v>
      </c>
      <c r="M30" s="7">
        <f t="shared" si="2"/>
        <v>0.03</v>
      </c>
      <c r="N30" s="7">
        <f t="shared" si="3"/>
        <v>0.32999999999999996</v>
      </c>
      <c r="O30" s="7">
        <f t="shared" si="4"/>
        <v>-0.32999999999999996</v>
      </c>
      <c r="P30" s="7">
        <f t="shared" si="5"/>
        <v>0</v>
      </c>
      <c r="Q30" s="7">
        <f t="shared" si="6"/>
        <v>-0.32999999999999996</v>
      </c>
      <c r="R30" s="7">
        <f t="shared" si="7"/>
        <v>-6.5999999999999991E-3</v>
      </c>
      <c r="S30" s="7">
        <f t="shared" si="8"/>
        <v>-0.32339999999999997</v>
      </c>
      <c r="T30" s="8">
        <f t="shared" si="9"/>
        <v>-50.883755999999998</v>
      </c>
      <c r="U30" s="7">
        <f t="shared" si="10"/>
        <v>5.4216867469879517</v>
      </c>
      <c r="V30" s="8">
        <f t="shared" si="11"/>
        <v>-903.93194877108442</v>
      </c>
      <c r="W30" s="10">
        <f t="shared" si="12"/>
        <v>-903.93194877108442</v>
      </c>
      <c r="X30" s="9" t="str">
        <f t="shared" si="13"/>
        <v/>
      </c>
      <c r="Y30" s="8">
        <f t="shared" si="14"/>
        <v>0</v>
      </c>
      <c r="Z30" s="11">
        <f t="shared" si="15"/>
        <v>-903.93194877108442</v>
      </c>
      <c r="AA30" s="9" t="str">
        <f t="shared" si="16"/>
        <v/>
      </c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 spans="3:41" x14ac:dyDescent="0.4">
      <c r="C31">
        <v>30</v>
      </c>
      <c r="I31" s="16"/>
      <c r="J31" s="7">
        <f t="shared" si="0"/>
        <v>0</v>
      </c>
      <c r="K31" s="7">
        <f t="shared" si="1"/>
        <v>0</v>
      </c>
      <c r="L31" s="7">
        <v>0.3</v>
      </c>
      <c r="M31" s="7">
        <f t="shared" si="2"/>
        <v>0.03</v>
      </c>
      <c r="N31" s="7">
        <f t="shared" si="3"/>
        <v>0.32999999999999996</v>
      </c>
      <c r="O31" s="7">
        <f t="shared" si="4"/>
        <v>-0.32999999999999996</v>
      </c>
      <c r="P31" s="7">
        <f t="shared" si="5"/>
        <v>0</v>
      </c>
      <c r="Q31" s="7">
        <f t="shared" si="6"/>
        <v>-0.32999999999999996</v>
      </c>
      <c r="R31" s="7">
        <f t="shared" si="7"/>
        <v>-6.5999999999999991E-3</v>
      </c>
      <c r="S31" s="7">
        <f t="shared" si="8"/>
        <v>-0.32339999999999997</v>
      </c>
      <c r="T31" s="8">
        <f t="shared" si="9"/>
        <v>-50.883755999999998</v>
      </c>
      <c r="U31" s="7">
        <f t="shared" si="10"/>
        <v>5.4216867469879517</v>
      </c>
      <c r="V31" s="8">
        <f t="shared" si="11"/>
        <v>-903.93194877108442</v>
      </c>
      <c r="W31" s="10">
        <f t="shared" si="12"/>
        <v>-903.93194877108442</v>
      </c>
      <c r="X31" s="9" t="str">
        <f t="shared" si="13"/>
        <v/>
      </c>
      <c r="Y31" s="8">
        <f t="shared" si="14"/>
        <v>0</v>
      </c>
      <c r="Z31" s="11">
        <f t="shared" si="15"/>
        <v>-903.93194877108442</v>
      </c>
      <c r="AA31" s="9" t="str">
        <f t="shared" si="16"/>
        <v/>
      </c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spans="3:41" x14ac:dyDescent="0.4">
      <c r="C32">
        <v>31</v>
      </c>
      <c r="I32" s="16"/>
      <c r="J32" s="7">
        <f t="shared" si="0"/>
        <v>0</v>
      </c>
      <c r="K32" s="7">
        <f t="shared" si="1"/>
        <v>0</v>
      </c>
      <c r="L32" s="7">
        <v>0.3</v>
      </c>
      <c r="M32" s="7">
        <f t="shared" si="2"/>
        <v>0.03</v>
      </c>
      <c r="N32" s="7">
        <f t="shared" si="3"/>
        <v>0.32999999999999996</v>
      </c>
      <c r="O32" s="7">
        <f t="shared" si="4"/>
        <v>-0.32999999999999996</v>
      </c>
      <c r="P32" s="7">
        <f t="shared" si="5"/>
        <v>0</v>
      </c>
      <c r="Q32" s="7">
        <f t="shared" si="6"/>
        <v>-0.32999999999999996</v>
      </c>
      <c r="R32" s="7">
        <f t="shared" si="7"/>
        <v>-6.5999999999999991E-3</v>
      </c>
      <c r="S32" s="7">
        <f t="shared" si="8"/>
        <v>-0.32339999999999997</v>
      </c>
      <c r="T32" s="8">
        <f t="shared" si="9"/>
        <v>-50.883755999999998</v>
      </c>
      <c r="U32" s="7">
        <f t="shared" si="10"/>
        <v>5.4216867469879517</v>
      </c>
      <c r="V32" s="8">
        <f t="shared" si="11"/>
        <v>-903.93194877108442</v>
      </c>
      <c r="W32" s="10">
        <f t="shared" si="12"/>
        <v>-903.93194877108442</v>
      </c>
      <c r="X32" s="9" t="str">
        <f t="shared" si="13"/>
        <v/>
      </c>
      <c r="Y32" s="8">
        <f t="shared" si="14"/>
        <v>0</v>
      </c>
      <c r="Z32" s="11">
        <f t="shared" si="15"/>
        <v>-903.93194877108442</v>
      </c>
      <c r="AA32" s="9" t="str">
        <f t="shared" si="16"/>
        <v/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 spans="3:41" x14ac:dyDescent="0.4">
      <c r="C33">
        <v>32</v>
      </c>
      <c r="I33" s="16"/>
      <c r="J33" s="7">
        <f t="shared" si="0"/>
        <v>0</v>
      </c>
      <c r="K33" s="7">
        <f t="shared" si="1"/>
        <v>0</v>
      </c>
      <c r="L33" s="7">
        <v>0.3</v>
      </c>
      <c r="M33" s="7">
        <f t="shared" si="2"/>
        <v>0.03</v>
      </c>
      <c r="N33" s="7">
        <f t="shared" si="3"/>
        <v>0.32999999999999996</v>
      </c>
      <c r="O33" s="7">
        <f t="shared" si="4"/>
        <v>-0.32999999999999996</v>
      </c>
      <c r="P33" s="7">
        <f t="shared" si="5"/>
        <v>0</v>
      </c>
      <c r="Q33" s="7">
        <f t="shared" si="6"/>
        <v>-0.32999999999999996</v>
      </c>
      <c r="R33" s="7">
        <f t="shared" si="7"/>
        <v>-6.5999999999999991E-3</v>
      </c>
      <c r="S33" s="7">
        <f t="shared" si="8"/>
        <v>-0.32339999999999997</v>
      </c>
      <c r="T33" s="8">
        <f t="shared" si="9"/>
        <v>-50.883755999999998</v>
      </c>
      <c r="U33" s="7">
        <f t="shared" si="10"/>
        <v>5.4216867469879517</v>
      </c>
      <c r="V33" s="8">
        <f t="shared" si="11"/>
        <v>-903.93194877108442</v>
      </c>
      <c r="W33" s="10">
        <f t="shared" si="12"/>
        <v>-903.93194877108442</v>
      </c>
      <c r="X33" s="9" t="str">
        <f t="shared" si="13"/>
        <v/>
      </c>
      <c r="Y33" s="8">
        <f t="shared" si="14"/>
        <v>0</v>
      </c>
      <c r="Z33" s="11">
        <f t="shared" si="15"/>
        <v>-903.93194877108442</v>
      </c>
      <c r="AA33" s="9" t="str">
        <f t="shared" si="16"/>
        <v/>
      </c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spans="3:41" x14ac:dyDescent="0.4">
      <c r="C34">
        <v>33</v>
      </c>
      <c r="I34" s="16"/>
      <c r="J34" s="7">
        <f t="shared" si="0"/>
        <v>0</v>
      </c>
      <c r="K34" s="7">
        <f t="shared" si="1"/>
        <v>0</v>
      </c>
      <c r="L34" s="7">
        <v>0.3</v>
      </c>
      <c r="M34" s="7">
        <f t="shared" si="2"/>
        <v>0.03</v>
      </c>
      <c r="N34" s="7">
        <f t="shared" si="3"/>
        <v>0.32999999999999996</v>
      </c>
      <c r="O34" s="7">
        <f t="shared" si="4"/>
        <v>-0.32999999999999996</v>
      </c>
      <c r="P34" s="7">
        <f t="shared" si="5"/>
        <v>0</v>
      </c>
      <c r="Q34" s="7">
        <f t="shared" si="6"/>
        <v>-0.32999999999999996</v>
      </c>
      <c r="R34" s="7">
        <f t="shared" si="7"/>
        <v>-6.5999999999999991E-3</v>
      </c>
      <c r="S34" s="7">
        <f t="shared" si="8"/>
        <v>-0.32339999999999997</v>
      </c>
      <c r="T34" s="8">
        <f t="shared" si="9"/>
        <v>-50.883755999999998</v>
      </c>
      <c r="U34" s="7">
        <f t="shared" si="10"/>
        <v>5.4216867469879517</v>
      </c>
      <c r="V34" s="8">
        <f t="shared" si="11"/>
        <v>-903.93194877108442</v>
      </c>
      <c r="W34" s="10">
        <f t="shared" si="12"/>
        <v>-903.93194877108442</v>
      </c>
      <c r="X34" s="9" t="str">
        <f t="shared" si="13"/>
        <v/>
      </c>
      <c r="Y34" s="8">
        <f t="shared" si="14"/>
        <v>0</v>
      </c>
      <c r="Z34" s="11">
        <f t="shared" si="15"/>
        <v>-903.93194877108442</v>
      </c>
      <c r="AA34" s="9" t="str">
        <f t="shared" si="16"/>
        <v/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 spans="3:41" x14ac:dyDescent="0.4">
      <c r="C35">
        <v>34</v>
      </c>
      <c r="I35" s="16"/>
      <c r="J35" s="7">
        <f t="shared" si="0"/>
        <v>0</v>
      </c>
      <c r="K35" s="7">
        <f t="shared" si="1"/>
        <v>0</v>
      </c>
      <c r="L35" s="7">
        <v>0.3</v>
      </c>
      <c r="M35" s="7">
        <f t="shared" si="2"/>
        <v>0.03</v>
      </c>
      <c r="N35" s="7">
        <f t="shared" si="3"/>
        <v>0.32999999999999996</v>
      </c>
      <c r="O35" s="7">
        <f t="shared" si="4"/>
        <v>-0.32999999999999996</v>
      </c>
      <c r="P35" s="7">
        <f t="shared" si="5"/>
        <v>0</v>
      </c>
      <c r="Q35" s="7">
        <f t="shared" si="6"/>
        <v>-0.32999999999999996</v>
      </c>
      <c r="R35" s="7">
        <f t="shared" si="7"/>
        <v>-6.5999999999999991E-3</v>
      </c>
      <c r="S35" s="7">
        <f t="shared" si="8"/>
        <v>-0.32339999999999997</v>
      </c>
      <c r="T35" s="8">
        <f t="shared" si="9"/>
        <v>-50.883755999999998</v>
      </c>
      <c r="U35" s="7">
        <f t="shared" si="10"/>
        <v>5.4216867469879517</v>
      </c>
      <c r="V35" s="8">
        <f t="shared" si="11"/>
        <v>-903.93194877108442</v>
      </c>
      <c r="W35" s="10">
        <f t="shared" si="12"/>
        <v>-903.93194877108442</v>
      </c>
      <c r="X35" s="9" t="str">
        <f t="shared" si="13"/>
        <v/>
      </c>
      <c r="Y35" s="8">
        <f t="shared" si="14"/>
        <v>0</v>
      </c>
      <c r="Z35" s="11">
        <f t="shared" si="15"/>
        <v>-903.93194877108442</v>
      </c>
      <c r="AA35" s="9" t="str">
        <f t="shared" si="16"/>
        <v/>
      </c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spans="3:41" x14ac:dyDescent="0.4">
      <c r="C36">
        <v>35</v>
      </c>
      <c r="I36" s="16"/>
      <c r="J36" s="7">
        <f t="shared" si="0"/>
        <v>0</v>
      </c>
      <c r="K36" s="7">
        <f t="shared" si="1"/>
        <v>0</v>
      </c>
      <c r="L36" s="7">
        <v>0.3</v>
      </c>
      <c r="M36" s="7">
        <f t="shared" si="2"/>
        <v>0.03</v>
      </c>
      <c r="N36" s="7">
        <f t="shared" si="3"/>
        <v>0.32999999999999996</v>
      </c>
      <c r="O36" s="7">
        <f t="shared" si="4"/>
        <v>-0.32999999999999996</v>
      </c>
      <c r="P36" s="7">
        <f t="shared" si="5"/>
        <v>0</v>
      </c>
      <c r="Q36" s="7">
        <f t="shared" si="6"/>
        <v>-0.32999999999999996</v>
      </c>
      <c r="R36" s="7">
        <f t="shared" si="7"/>
        <v>-6.5999999999999991E-3</v>
      </c>
      <c r="S36" s="7">
        <f t="shared" si="8"/>
        <v>-0.32339999999999997</v>
      </c>
      <c r="T36" s="8">
        <f t="shared" si="9"/>
        <v>-50.883755999999998</v>
      </c>
      <c r="U36" s="7">
        <f t="shared" si="10"/>
        <v>5.4216867469879517</v>
      </c>
      <c r="V36" s="8">
        <f t="shared" si="11"/>
        <v>-903.93194877108442</v>
      </c>
      <c r="W36" s="10">
        <f t="shared" si="12"/>
        <v>-903.93194877108442</v>
      </c>
      <c r="X36" s="9" t="str">
        <f t="shared" si="13"/>
        <v/>
      </c>
      <c r="Y36" s="8">
        <f t="shared" si="14"/>
        <v>0</v>
      </c>
      <c r="Z36" s="11">
        <f t="shared" si="15"/>
        <v>-903.93194877108442</v>
      </c>
      <c r="AA36" s="9" t="str">
        <f t="shared" si="16"/>
        <v/>
      </c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spans="3:41" x14ac:dyDescent="0.4">
      <c r="C37">
        <v>36</v>
      </c>
      <c r="I37" s="16"/>
      <c r="J37" s="7">
        <f t="shared" si="0"/>
        <v>0</v>
      </c>
      <c r="K37" s="7">
        <f t="shared" si="1"/>
        <v>0</v>
      </c>
      <c r="L37" s="7">
        <v>0.3</v>
      </c>
      <c r="M37" s="7">
        <f t="shared" si="2"/>
        <v>0.03</v>
      </c>
      <c r="N37" s="7">
        <f t="shared" si="3"/>
        <v>0.32999999999999996</v>
      </c>
      <c r="O37" s="7">
        <f t="shared" si="4"/>
        <v>-0.32999999999999996</v>
      </c>
      <c r="P37" s="7">
        <f t="shared" si="5"/>
        <v>0</v>
      </c>
      <c r="Q37" s="7">
        <f t="shared" si="6"/>
        <v>-0.32999999999999996</v>
      </c>
      <c r="R37" s="7">
        <f t="shared" si="7"/>
        <v>-6.5999999999999991E-3</v>
      </c>
      <c r="S37" s="7">
        <f t="shared" si="8"/>
        <v>-0.32339999999999997</v>
      </c>
      <c r="T37" s="8">
        <f t="shared" si="9"/>
        <v>-50.883755999999998</v>
      </c>
      <c r="U37" s="7">
        <f t="shared" si="10"/>
        <v>5.4216867469879517</v>
      </c>
      <c r="V37" s="8">
        <f t="shared" si="11"/>
        <v>-903.93194877108442</v>
      </c>
      <c r="W37" s="10">
        <f t="shared" si="12"/>
        <v>-903.93194877108442</v>
      </c>
      <c r="X37" s="9" t="str">
        <f t="shared" si="13"/>
        <v/>
      </c>
      <c r="Y37" s="8">
        <f t="shared" si="14"/>
        <v>0</v>
      </c>
      <c r="Z37" s="11">
        <f t="shared" si="15"/>
        <v>-903.93194877108442</v>
      </c>
      <c r="AA37" s="9" t="str">
        <f t="shared" si="16"/>
        <v/>
      </c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spans="3:41" x14ac:dyDescent="0.4">
      <c r="C38">
        <v>37</v>
      </c>
      <c r="I38" s="16"/>
      <c r="J38" s="7">
        <f t="shared" si="0"/>
        <v>0</v>
      </c>
      <c r="K38" s="7">
        <f t="shared" si="1"/>
        <v>0</v>
      </c>
      <c r="L38" s="7">
        <v>0.3</v>
      </c>
      <c r="M38" s="7">
        <f t="shared" si="2"/>
        <v>0.03</v>
      </c>
      <c r="N38" s="7">
        <f t="shared" si="3"/>
        <v>0.32999999999999996</v>
      </c>
      <c r="O38" s="7">
        <f t="shared" si="4"/>
        <v>-0.32999999999999996</v>
      </c>
      <c r="P38" s="7">
        <f t="shared" si="5"/>
        <v>0</v>
      </c>
      <c r="Q38" s="7">
        <f t="shared" si="6"/>
        <v>-0.32999999999999996</v>
      </c>
      <c r="R38" s="7">
        <f t="shared" si="7"/>
        <v>-6.5999999999999991E-3</v>
      </c>
      <c r="S38" s="7">
        <f t="shared" si="8"/>
        <v>-0.32339999999999997</v>
      </c>
      <c r="T38" s="8">
        <f t="shared" si="9"/>
        <v>-50.883755999999998</v>
      </c>
      <c r="U38" s="7">
        <f t="shared" si="10"/>
        <v>5.4216867469879517</v>
      </c>
      <c r="V38" s="8">
        <f t="shared" si="11"/>
        <v>-903.93194877108442</v>
      </c>
      <c r="W38" s="10">
        <f t="shared" si="12"/>
        <v>-903.93194877108442</v>
      </c>
      <c r="X38" s="9" t="str">
        <f t="shared" si="13"/>
        <v/>
      </c>
      <c r="Y38" s="8">
        <f t="shared" si="14"/>
        <v>0</v>
      </c>
      <c r="Z38" s="11">
        <f t="shared" si="15"/>
        <v>-903.93194877108442</v>
      </c>
      <c r="AA38" s="9" t="str">
        <f t="shared" si="16"/>
        <v/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 spans="3:41" x14ac:dyDescent="0.4">
      <c r="C39">
        <v>38</v>
      </c>
      <c r="I39" s="16"/>
      <c r="J39" s="7">
        <f t="shared" si="0"/>
        <v>0</v>
      </c>
      <c r="K39" s="7">
        <f t="shared" si="1"/>
        <v>0</v>
      </c>
      <c r="L39" s="7">
        <v>0.3</v>
      </c>
      <c r="M39" s="7">
        <f t="shared" si="2"/>
        <v>0.03</v>
      </c>
      <c r="N39" s="7">
        <f t="shared" si="3"/>
        <v>0.32999999999999996</v>
      </c>
      <c r="O39" s="7">
        <f t="shared" si="4"/>
        <v>-0.32999999999999996</v>
      </c>
      <c r="P39" s="7">
        <f t="shared" si="5"/>
        <v>0</v>
      </c>
      <c r="Q39" s="7">
        <f t="shared" si="6"/>
        <v>-0.32999999999999996</v>
      </c>
      <c r="R39" s="7">
        <f t="shared" si="7"/>
        <v>-6.5999999999999991E-3</v>
      </c>
      <c r="S39" s="7">
        <f t="shared" si="8"/>
        <v>-0.32339999999999997</v>
      </c>
      <c r="T39" s="8">
        <f t="shared" si="9"/>
        <v>-50.883755999999998</v>
      </c>
      <c r="U39" s="7">
        <f t="shared" si="10"/>
        <v>5.4216867469879517</v>
      </c>
      <c r="V39" s="8">
        <f t="shared" si="11"/>
        <v>-903.93194877108442</v>
      </c>
      <c r="W39" s="10">
        <f t="shared" si="12"/>
        <v>-903.93194877108442</v>
      </c>
      <c r="X39" s="9" t="str">
        <f t="shared" si="13"/>
        <v/>
      </c>
      <c r="Y39" s="8">
        <f t="shared" si="14"/>
        <v>0</v>
      </c>
      <c r="Z39" s="11">
        <f t="shared" si="15"/>
        <v>-903.93194877108442</v>
      </c>
      <c r="AA39" s="9" t="str">
        <f t="shared" si="16"/>
        <v/>
      </c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spans="3:41" x14ac:dyDescent="0.4">
      <c r="C40">
        <v>39</v>
      </c>
      <c r="I40" s="16"/>
      <c r="J40" s="7">
        <f t="shared" si="0"/>
        <v>0</v>
      </c>
      <c r="K40" s="7">
        <f t="shared" si="1"/>
        <v>0</v>
      </c>
      <c r="L40" s="7">
        <v>0.3</v>
      </c>
      <c r="M40" s="7">
        <f t="shared" si="2"/>
        <v>0.03</v>
      </c>
      <c r="N40" s="7">
        <f t="shared" si="3"/>
        <v>0.32999999999999996</v>
      </c>
      <c r="O40" s="7">
        <f t="shared" si="4"/>
        <v>-0.32999999999999996</v>
      </c>
      <c r="P40" s="7">
        <f t="shared" si="5"/>
        <v>0</v>
      </c>
      <c r="Q40" s="7">
        <f t="shared" si="6"/>
        <v>-0.32999999999999996</v>
      </c>
      <c r="R40" s="7">
        <f t="shared" si="7"/>
        <v>-6.5999999999999991E-3</v>
      </c>
      <c r="S40" s="7">
        <f t="shared" si="8"/>
        <v>-0.32339999999999997</v>
      </c>
      <c r="T40" s="8">
        <f t="shared" si="9"/>
        <v>-50.883755999999998</v>
      </c>
      <c r="U40" s="7">
        <f t="shared" si="10"/>
        <v>5.4216867469879517</v>
      </c>
      <c r="V40" s="8">
        <f t="shared" si="11"/>
        <v>-903.93194877108442</v>
      </c>
      <c r="W40" s="10">
        <f t="shared" si="12"/>
        <v>-903.93194877108442</v>
      </c>
      <c r="X40" s="9" t="str">
        <f t="shared" si="13"/>
        <v/>
      </c>
      <c r="Y40" s="8">
        <f t="shared" si="14"/>
        <v>0</v>
      </c>
      <c r="Z40" s="11">
        <f t="shared" si="15"/>
        <v>-903.93194877108442</v>
      </c>
      <c r="AA40" s="9" t="str">
        <f t="shared" si="16"/>
        <v/>
      </c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3:41" x14ac:dyDescent="0.4">
      <c r="C41">
        <v>40</v>
      </c>
      <c r="I41" s="16"/>
      <c r="J41" s="7">
        <f t="shared" si="0"/>
        <v>0</v>
      </c>
      <c r="K41" s="7">
        <f t="shared" si="1"/>
        <v>0</v>
      </c>
      <c r="L41" s="7">
        <v>0.3</v>
      </c>
      <c r="M41" s="7">
        <f t="shared" si="2"/>
        <v>0.03</v>
      </c>
      <c r="N41" s="7">
        <f t="shared" si="3"/>
        <v>0.32999999999999996</v>
      </c>
      <c r="O41" s="7">
        <f t="shared" si="4"/>
        <v>-0.32999999999999996</v>
      </c>
      <c r="P41" s="7">
        <f t="shared" si="5"/>
        <v>0</v>
      </c>
      <c r="Q41" s="7">
        <f t="shared" si="6"/>
        <v>-0.32999999999999996</v>
      </c>
      <c r="R41" s="7">
        <f t="shared" si="7"/>
        <v>-6.5999999999999991E-3</v>
      </c>
      <c r="S41" s="7">
        <f t="shared" si="8"/>
        <v>-0.32339999999999997</v>
      </c>
      <c r="T41" s="8">
        <f t="shared" si="9"/>
        <v>-50.883755999999998</v>
      </c>
      <c r="U41" s="7">
        <f t="shared" si="10"/>
        <v>5.4216867469879517</v>
      </c>
      <c r="V41" s="8">
        <f t="shared" si="11"/>
        <v>-903.93194877108442</v>
      </c>
      <c r="W41" s="10">
        <f t="shared" si="12"/>
        <v>-903.93194877108442</v>
      </c>
      <c r="X41" s="9" t="str">
        <f t="shared" si="13"/>
        <v/>
      </c>
      <c r="Y41" s="8">
        <f t="shared" si="14"/>
        <v>0</v>
      </c>
      <c r="Z41" s="11">
        <f t="shared" si="15"/>
        <v>-903.93194877108442</v>
      </c>
      <c r="AA41" s="9" t="str">
        <f t="shared" si="16"/>
        <v/>
      </c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</sheetData>
  <phoneticPr fontId="1"/>
  <hyperlinks>
    <hyperlink ref="AB2" r:id="rId1" display="https://www.ebay.com/itm/287002688876?_skw=figma+Lancer+Altria&amp;itmmeta=01M3PPCANC6F89BWKQY2PE4EW7&amp;hash=item42d2b17d6c:g:z5sAAeSwrX9pOg36&amp;itmprp=enc%3AAQALAAAA8GfYFPkwiKCW4ZNSs2u11xCKVE5Omwo2QZ5431uZVFIQp74IsjHzq6rj0zZV%2BSksi%2FVWcJjFZNgDuxv4UTOYyF5rOFsROxoDrprSFFrkHqsqa3fNBDepJxYsxk%2BHESsD0cbXHW2y5oCGBN8xEjvJiCxHNd2BIqxdT3BcOluTe8Afda5yo0V6yKOE4ChZB%2FvoKVxxv2fFxCs3tiEK8pm7lex7raRCZA9EcIBKLWXKINolZZ15jjv2m%2FoxPv9ngB%2BODTSYIVeVGphu4PcufSyHWXBe8kdEYovaUqIw7HD3M%2BD5gnYkOMg6fTHeBUluwPnm%2Bw%3D%3D%7Ctkp%3ABk9SR-yqsdadaA" xr:uid="{FFD3AEF5-04ED-486F-BB80-5982F8F0C05B}"/>
    <hyperlink ref="AC2" r:id="rId2" xr:uid="{CC3A7FD5-254C-4A17-A968-39B25FE67977}"/>
    <hyperlink ref="AB3" r:id="rId3" display="https://www.ebay.com/itm/276056380894?_skw=Kamen+Rider+Premium&amp;itmmeta=01M3PPND0WCFZJT0DK22ZRXE2W&amp;hash=item40463e15de:g:-XYAAOSwRj5lCoX4&amp;itmprp=enc%3AAQALAAAA0GfYFPkwiKCW4ZNSs2u11xDYBdMasoFu9fkvMGSrunEbAAhv4oYhPU2G1X4RjGF7c2ocvhQOOlTvf4%2Ff%2FEZ3FpGfjTTANMPjGAMM2a4At%2B%2F%2BB4cUIii6N4c1rhSGJFhTL%2BYIj7bof%2BoNcIhDirT9IgZWBJ%2FVOrCkYIInx1IPWPn2SgbOJWG3i5rnCApza9CtfOK0YjjILuP74g6qP%2BJAQizIFIU%2BmZDtnAjrniIyZGkDYGwFPEN0ej5ln%2Byf8PrcLSud2hYlw7aGnz724D2T2A8%3D%7Ctkp%3ABk9SR9rQ1dadaA" xr:uid="{CF8B1A64-5FE9-4421-80D3-A2D9F552E956}"/>
    <hyperlink ref="AC3" r:id="rId4" xr:uid="{8CF0B208-BE63-4CD6-ABB8-09E473AED5D6}"/>
    <hyperlink ref="AB4" r:id="rId5" xr:uid="{68558723-A736-4848-AB95-41D60EA8B429}"/>
    <hyperlink ref="AC4" r:id="rId6" xr:uid="{0D2E2F92-276C-4203-A1E7-6A4078B5C54C}"/>
    <hyperlink ref="AC5" r:id="rId7" xr:uid="{C0F0EBCD-4AA4-4C53-84C0-597FD47067A7}"/>
    <hyperlink ref="AB5" r:id="rId8" xr:uid="{2EF9BD89-E444-48CA-A22F-44B01A85DFF4}"/>
    <hyperlink ref="AB6" r:id="rId9" xr:uid="{3731AD34-C24A-48DA-929D-3F239707F3E1}"/>
    <hyperlink ref="AC6" r:id="rId10" xr:uid="{2E67BC9E-409C-492E-9149-5D05E04BD1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3227-A55D-4BD0-854D-1DDFC0C8E197}">
  <dimension ref="B2:Z68"/>
  <sheetViews>
    <sheetView workbookViewId="0">
      <selection activeCell="G11" sqref="G11"/>
    </sheetView>
  </sheetViews>
  <sheetFormatPr defaultRowHeight="18.75" x14ac:dyDescent="0.4"/>
  <cols>
    <col min="7" max="7" width="18.625" bestFit="1" customWidth="1"/>
  </cols>
  <sheetData>
    <row r="2" spans="2:26" x14ac:dyDescent="0.4">
      <c r="B2" t="s">
        <v>4</v>
      </c>
      <c r="D2" t="s">
        <v>5</v>
      </c>
      <c r="E2" t="s">
        <v>6</v>
      </c>
      <c r="F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</row>
    <row r="3" spans="2:26" x14ac:dyDescent="0.4">
      <c r="B3" t="s">
        <v>27</v>
      </c>
      <c r="C3" t="s">
        <v>28</v>
      </c>
      <c r="D3" s="3">
        <v>2094</v>
      </c>
      <c r="E3" s="3">
        <v>2491</v>
      </c>
      <c r="F3" s="3">
        <v>1774</v>
      </c>
      <c r="G3" t="s">
        <v>28</v>
      </c>
      <c r="H3" s="3">
        <v>1803</v>
      </c>
      <c r="I3" s="3">
        <v>2175</v>
      </c>
      <c r="J3" s="3">
        <v>1848</v>
      </c>
      <c r="K3" s="3">
        <v>1865</v>
      </c>
      <c r="L3" s="3">
        <v>1694</v>
      </c>
      <c r="M3" s="3">
        <v>1340</v>
      </c>
      <c r="N3" s="3">
        <v>1802</v>
      </c>
      <c r="O3" s="3">
        <v>2092</v>
      </c>
      <c r="P3" s="3">
        <v>1479</v>
      </c>
      <c r="Q3" s="3">
        <v>1363</v>
      </c>
      <c r="R3" s="3">
        <v>1445</v>
      </c>
      <c r="S3" s="3">
        <v>1629</v>
      </c>
      <c r="T3" s="3">
        <v>1840</v>
      </c>
      <c r="U3" s="3">
        <v>2465</v>
      </c>
      <c r="V3" s="3">
        <v>1281</v>
      </c>
      <c r="W3" s="3">
        <v>1402</v>
      </c>
      <c r="X3" s="3">
        <v>1581</v>
      </c>
      <c r="Y3" s="3">
        <v>1545</v>
      </c>
      <c r="Z3" s="3">
        <v>1658</v>
      </c>
    </row>
    <row r="4" spans="2:26" x14ac:dyDescent="0.4">
      <c r="C4" t="s">
        <v>29</v>
      </c>
      <c r="D4" s="3">
        <v>2141</v>
      </c>
      <c r="E4" s="3">
        <v>3698</v>
      </c>
      <c r="F4" s="3">
        <v>2046</v>
      </c>
      <c r="G4" t="s">
        <v>29</v>
      </c>
      <c r="H4" s="3">
        <v>2076</v>
      </c>
      <c r="I4" s="3">
        <v>2220</v>
      </c>
      <c r="J4" s="3">
        <v>2050</v>
      </c>
      <c r="K4" s="3">
        <v>2065</v>
      </c>
      <c r="L4" s="3">
        <v>1913</v>
      </c>
      <c r="M4" s="3">
        <v>1364</v>
      </c>
      <c r="N4" s="3">
        <v>1977</v>
      </c>
      <c r="O4" s="3">
        <v>2213</v>
      </c>
      <c r="P4" s="3">
        <v>1684</v>
      </c>
      <c r="Q4" s="3">
        <v>1394</v>
      </c>
      <c r="R4" s="3">
        <v>1476</v>
      </c>
      <c r="S4" s="3">
        <v>1665</v>
      </c>
      <c r="T4" s="3">
        <v>1884</v>
      </c>
      <c r="U4" s="3">
        <v>2536</v>
      </c>
      <c r="V4" s="3">
        <v>1305</v>
      </c>
      <c r="W4" s="3">
        <v>1429</v>
      </c>
      <c r="X4" s="3">
        <v>1613</v>
      </c>
      <c r="Y4" s="3">
        <v>1580</v>
      </c>
      <c r="Z4" s="3">
        <v>1690</v>
      </c>
    </row>
    <row r="5" spans="2:26" x14ac:dyDescent="0.4">
      <c r="C5" t="s">
        <v>30</v>
      </c>
      <c r="D5" s="3">
        <v>2633</v>
      </c>
      <c r="E5" s="3">
        <v>4450</v>
      </c>
      <c r="F5" s="3">
        <v>2416</v>
      </c>
      <c r="G5" t="s">
        <v>30</v>
      </c>
      <c r="H5" s="3">
        <v>2451</v>
      </c>
      <c r="I5" s="3">
        <v>2816</v>
      </c>
      <c r="J5" s="3">
        <v>2223</v>
      </c>
      <c r="K5" s="3">
        <v>2245</v>
      </c>
      <c r="L5" s="3">
        <v>2392</v>
      </c>
      <c r="M5" s="3">
        <v>1669</v>
      </c>
      <c r="N5" s="3">
        <v>2064</v>
      </c>
      <c r="O5" s="3">
        <v>2654</v>
      </c>
      <c r="P5" s="3">
        <v>2015</v>
      </c>
      <c r="Q5" s="3">
        <v>1663</v>
      </c>
      <c r="R5" s="3">
        <v>1763</v>
      </c>
      <c r="S5" s="3">
        <v>1992</v>
      </c>
      <c r="T5" s="3">
        <v>2223</v>
      </c>
      <c r="U5" s="3">
        <v>3045</v>
      </c>
      <c r="V5" s="3">
        <v>1596</v>
      </c>
      <c r="W5" s="3">
        <v>1749</v>
      </c>
      <c r="X5" s="3">
        <v>1978</v>
      </c>
      <c r="Y5" s="3">
        <v>1889</v>
      </c>
      <c r="Z5" s="3">
        <v>2074</v>
      </c>
    </row>
    <row r="6" spans="2:26" x14ac:dyDescent="0.4">
      <c r="C6" t="s">
        <v>31</v>
      </c>
      <c r="D6" s="3">
        <v>3115</v>
      </c>
      <c r="E6" s="3">
        <v>5283</v>
      </c>
      <c r="F6" s="3">
        <v>2836</v>
      </c>
      <c r="G6" t="s">
        <v>31</v>
      </c>
      <c r="H6" s="3">
        <v>2881</v>
      </c>
      <c r="I6" s="3">
        <v>3564</v>
      </c>
      <c r="J6" s="3">
        <v>2857</v>
      </c>
      <c r="K6" s="3">
        <v>2915</v>
      </c>
      <c r="L6" s="3">
        <v>3099</v>
      </c>
      <c r="M6" s="3">
        <v>2009</v>
      </c>
      <c r="N6" s="3">
        <v>2658</v>
      </c>
      <c r="O6" s="3">
        <v>3069</v>
      </c>
      <c r="P6" s="3">
        <v>2442</v>
      </c>
      <c r="Q6" s="3">
        <v>1958</v>
      </c>
      <c r="R6" s="3">
        <v>2071</v>
      </c>
      <c r="S6" s="3">
        <v>2327</v>
      </c>
      <c r="T6" s="3">
        <v>2574</v>
      </c>
      <c r="U6" s="3">
        <v>3643</v>
      </c>
      <c r="V6" s="3">
        <v>1924</v>
      </c>
      <c r="W6" s="3">
        <v>2100</v>
      </c>
      <c r="X6" s="3">
        <v>2363</v>
      </c>
      <c r="Y6" s="3">
        <v>2212</v>
      </c>
      <c r="Z6" s="3">
        <v>2473</v>
      </c>
    </row>
    <row r="7" spans="2:26" x14ac:dyDescent="0.4">
      <c r="C7" t="s">
        <v>32</v>
      </c>
      <c r="D7" s="3">
        <v>3460</v>
      </c>
      <c r="E7" s="3">
        <v>6010</v>
      </c>
      <c r="F7" s="3">
        <v>3157</v>
      </c>
      <c r="G7" t="s">
        <v>32</v>
      </c>
      <c r="H7" s="3">
        <v>3204</v>
      </c>
      <c r="I7" s="3">
        <v>4254</v>
      </c>
      <c r="J7" s="3">
        <v>3408</v>
      </c>
      <c r="K7" s="3">
        <v>3404</v>
      </c>
      <c r="L7" s="3">
        <v>3630</v>
      </c>
      <c r="M7" s="3">
        <v>2222</v>
      </c>
      <c r="N7" s="3">
        <v>3168</v>
      </c>
      <c r="O7" s="3">
        <v>3377</v>
      </c>
      <c r="P7" s="3">
        <v>2761</v>
      </c>
      <c r="Q7" s="3">
        <v>2146</v>
      </c>
      <c r="R7" s="3">
        <v>2271</v>
      </c>
      <c r="S7" s="3">
        <v>2554</v>
      </c>
      <c r="T7" s="3">
        <v>2804</v>
      </c>
      <c r="U7" s="3">
        <v>4135</v>
      </c>
      <c r="V7" s="3">
        <v>2127</v>
      </c>
      <c r="W7" s="3">
        <v>2324</v>
      </c>
      <c r="X7" s="3">
        <v>2619</v>
      </c>
      <c r="Y7" s="3">
        <v>2427</v>
      </c>
      <c r="Z7" s="3">
        <v>2742</v>
      </c>
    </row>
    <row r="8" spans="2:26" x14ac:dyDescent="0.4">
      <c r="C8" t="s">
        <v>33</v>
      </c>
      <c r="D8" s="3">
        <v>3943</v>
      </c>
      <c r="E8" s="3">
        <v>6887</v>
      </c>
      <c r="F8" s="3">
        <v>3589</v>
      </c>
      <c r="G8" t="s">
        <v>33</v>
      </c>
      <c r="H8" s="3">
        <v>3641</v>
      </c>
      <c r="I8" s="3">
        <v>5025</v>
      </c>
      <c r="J8" s="3">
        <v>4046</v>
      </c>
      <c r="K8" s="3">
        <v>4019</v>
      </c>
      <c r="L8" s="3">
        <v>4261</v>
      </c>
      <c r="M8" s="3">
        <v>2563</v>
      </c>
      <c r="N8" s="3">
        <v>3766</v>
      </c>
      <c r="O8" s="3">
        <v>3820</v>
      </c>
      <c r="P8" s="3">
        <v>3207</v>
      </c>
      <c r="Q8" s="3">
        <v>2460</v>
      </c>
      <c r="R8" s="3">
        <v>2598</v>
      </c>
      <c r="S8" s="3">
        <v>2912</v>
      </c>
      <c r="T8" s="3">
        <v>3164</v>
      </c>
      <c r="U8" s="3">
        <v>4763</v>
      </c>
      <c r="V8" s="3">
        <v>2458</v>
      </c>
      <c r="W8" s="3">
        <v>2677</v>
      </c>
      <c r="X8" s="3">
        <v>3005</v>
      </c>
      <c r="Y8" s="3">
        <v>2770</v>
      </c>
      <c r="Z8" s="3">
        <v>3143</v>
      </c>
    </row>
    <row r="9" spans="2:26" x14ac:dyDescent="0.4">
      <c r="B9" t="s">
        <v>34</v>
      </c>
      <c r="C9" t="s">
        <v>35</v>
      </c>
      <c r="D9" s="3">
        <v>2523</v>
      </c>
      <c r="E9" s="3">
        <v>5323</v>
      </c>
      <c r="F9" s="3">
        <v>1999</v>
      </c>
      <c r="G9" t="s">
        <v>35</v>
      </c>
      <c r="H9">
        <v>4474</v>
      </c>
      <c r="I9" s="3">
        <v>3580</v>
      </c>
      <c r="J9" s="3">
        <v>2142</v>
      </c>
      <c r="K9" s="3">
        <v>2158</v>
      </c>
      <c r="L9" s="3">
        <v>2995</v>
      </c>
      <c r="M9" s="3">
        <v>1630</v>
      </c>
      <c r="N9" s="3">
        <v>2065</v>
      </c>
      <c r="O9" s="3">
        <v>2944</v>
      </c>
      <c r="P9" s="3">
        <v>2360</v>
      </c>
      <c r="Q9" s="3">
        <v>1788</v>
      </c>
      <c r="R9" s="3">
        <v>1914</v>
      </c>
      <c r="S9" s="3">
        <v>2170</v>
      </c>
      <c r="T9" s="3">
        <v>2751</v>
      </c>
      <c r="U9" s="3">
        <v>3071</v>
      </c>
      <c r="V9" s="3">
        <v>1522</v>
      </c>
      <c r="W9" s="3">
        <v>1692</v>
      </c>
      <c r="X9" s="3">
        <v>1692</v>
      </c>
      <c r="Y9" s="3">
        <v>1914</v>
      </c>
      <c r="Z9" s="3">
        <v>1904</v>
      </c>
    </row>
    <row r="10" spans="2:26" x14ac:dyDescent="0.4">
      <c r="B10" t="s">
        <v>36</v>
      </c>
      <c r="C10" t="s">
        <v>2</v>
      </c>
      <c r="D10" s="3">
        <v>3336</v>
      </c>
      <c r="E10" s="3">
        <v>5907</v>
      </c>
      <c r="F10" s="3">
        <v>2226</v>
      </c>
      <c r="G10" t="s">
        <v>2</v>
      </c>
      <c r="H10">
        <v>5279</v>
      </c>
      <c r="I10" s="3">
        <v>4152</v>
      </c>
      <c r="J10" s="3">
        <v>2386</v>
      </c>
      <c r="K10" s="3">
        <v>2407</v>
      </c>
      <c r="L10" s="3">
        <v>3320</v>
      </c>
      <c r="M10" s="3">
        <v>1717</v>
      </c>
      <c r="N10" s="3">
        <v>2243</v>
      </c>
      <c r="O10" s="3">
        <v>2816</v>
      </c>
      <c r="P10" s="3">
        <v>2745</v>
      </c>
      <c r="Q10" s="3">
        <v>1965</v>
      </c>
      <c r="R10" s="3">
        <v>2050</v>
      </c>
      <c r="S10" s="3">
        <v>2392</v>
      </c>
      <c r="T10" s="3">
        <v>2792</v>
      </c>
      <c r="U10" s="3">
        <v>3571</v>
      </c>
      <c r="V10" s="3">
        <v>1691</v>
      </c>
      <c r="W10" s="3">
        <v>1800</v>
      </c>
      <c r="X10" s="3">
        <v>2037</v>
      </c>
      <c r="Y10" s="3">
        <v>2050</v>
      </c>
      <c r="Z10" s="3">
        <v>2135</v>
      </c>
    </row>
    <row r="11" spans="2:26" x14ac:dyDescent="0.4">
      <c r="C11" t="s">
        <v>0</v>
      </c>
      <c r="D11" s="3">
        <v>3857</v>
      </c>
      <c r="E11" s="3">
        <v>7011</v>
      </c>
      <c r="F11" s="3">
        <v>2552</v>
      </c>
      <c r="G11" t="s">
        <v>0</v>
      </c>
      <c r="H11">
        <v>5951</v>
      </c>
      <c r="I11" s="3">
        <v>5201</v>
      </c>
      <c r="J11" s="3">
        <v>2729</v>
      </c>
      <c r="K11" s="3">
        <v>2753</v>
      </c>
      <c r="L11" s="3">
        <v>4140</v>
      </c>
      <c r="M11" s="3">
        <v>2031</v>
      </c>
      <c r="N11" s="3">
        <v>2517</v>
      </c>
      <c r="O11" s="3">
        <v>3185</v>
      </c>
      <c r="P11" s="3">
        <v>3307</v>
      </c>
      <c r="Q11" s="3">
        <v>2294</v>
      </c>
      <c r="R11" s="3">
        <v>2390</v>
      </c>
      <c r="S11" s="3">
        <v>2774</v>
      </c>
      <c r="T11" s="3">
        <v>3267</v>
      </c>
      <c r="U11" s="3">
        <v>4274</v>
      </c>
      <c r="V11" s="3">
        <v>2003</v>
      </c>
      <c r="W11" s="3">
        <v>2125</v>
      </c>
      <c r="X11" s="3">
        <v>2391</v>
      </c>
      <c r="Y11" s="3">
        <v>2390</v>
      </c>
      <c r="Z11" s="3">
        <v>2503</v>
      </c>
    </row>
    <row r="12" spans="2:26" x14ac:dyDescent="0.4">
      <c r="C12" t="s">
        <v>37</v>
      </c>
      <c r="D12" s="3">
        <v>4277</v>
      </c>
      <c r="E12" s="3">
        <v>7826</v>
      </c>
      <c r="F12" s="3">
        <v>2670</v>
      </c>
      <c r="G12" t="s">
        <v>37</v>
      </c>
      <c r="H12">
        <v>6627</v>
      </c>
      <c r="I12" s="3">
        <v>6100</v>
      </c>
      <c r="J12" s="3">
        <v>2906</v>
      </c>
      <c r="K12" s="3">
        <v>2948</v>
      </c>
      <c r="L12" s="3">
        <v>4704</v>
      </c>
      <c r="M12" s="3">
        <v>2186</v>
      </c>
      <c r="N12" s="3">
        <v>2600</v>
      </c>
      <c r="O12" s="3">
        <v>3463</v>
      </c>
      <c r="P12" s="3">
        <v>3669</v>
      </c>
      <c r="Q12" s="3">
        <v>2428</v>
      </c>
      <c r="R12" s="3">
        <v>2535</v>
      </c>
      <c r="S12" s="3">
        <v>2955</v>
      </c>
      <c r="T12" s="3">
        <v>3616</v>
      </c>
      <c r="U12" s="3">
        <v>4777</v>
      </c>
      <c r="V12" s="3">
        <v>2202</v>
      </c>
      <c r="W12" s="3">
        <v>2335</v>
      </c>
      <c r="X12" s="3">
        <v>2602</v>
      </c>
      <c r="Y12" s="3">
        <v>2535</v>
      </c>
      <c r="Z12" s="3">
        <v>2731</v>
      </c>
    </row>
    <row r="13" spans="2:26" x14ac:dyDescent="0.4">
      <c r="C13" t="s">
        <v>3</v>
      </c>
      <c r="D13" s="3">
        <v>4799</v>
      </c>
      <c r="E13" s="3">
        <v>8940</v>
      </c>
      <c r="F13" s="3">
        <v>3056</v>
      </c>
      <c r="G13" t="s">
        <v>3</v>
      </c>
      <c r="H13">
        <v>7340</v>
      </c>
      <c r="I13" s="3">
        <v>7172</v>
      </c>
      <c r="J13" s="3">
        <v>3390</v>
      </c>
      <c r="K13" s="3">
        <v>3502</v>
      </c>
      <c r="L13" s="3">
        <v>5537</v>
      </c>
      <c r="M13" s="3">
        <v>2495</v>
      </c>
      <c r="N13" s="3">
        <v>3042</v>
      </c>
      <c r="O13" s="3">
        <v>3897</v>
      </c>
      <c r="P13" s="3">
        <v>4233</v>
      </c>
      <c r="Q13" s="3">
        <v>2760</v>
      </c>
      <c r="R13" s="3">
        <v>2878</v>
      </c>
      <c r="S13" s="3">
        <v>3339</v>
      </c>
      <c r="T13" s="3">
        <v>4134</v>
      </c>
      <c r="U13" s="3">
        <v>5489</v>
      </c>
      <c r="V13" s="3">
        <v>2513</v>
      </c>
      <c r="W13" s="3">
        <v>2659</v>
      </c>
      <c r="X13" s="3">
        <v>2954</v>
      </c>
      <c r="Y13" s="3">
        <v>2878</v>
      </c>
      <c r="Z13" s="3">
        <v>3096</v>
      </c>
    </row>
    <row r="14" spans="2:26" x14ac:dyDescent="0.4">
      <c r="C14" t="s">
        <v>38</v>
      </c>
      <c r="D14" s="3">
        <v>5164</v>
      </c>
      <c r="E14" s="3">
        <v>9948</v>
      </c>
      <c r="F14" s="3">
        <v>3542</v>
      </c>
      <c r="G14" t="s">
        <v>38</v>
      </c>
      <c r="H14">
        <v>9602</v>
      </c>
      <c r="I14" s="3">
        <v>8089</v>
      </c>
      <c r="J14" s="3">
        <v>3771</v>
      </c>
      <c r="K14" s="3">
        <v>3953</v>
      </c>
      <c r="L14" s="3">
        <v>6282</v>
      </c>
      <c r="M14" s="3">
        <v>2672</v>
      </c>
      <c r="N14" s="3">
        <v>3379</v>
      </c>
      <c r="O14" s="3">
        <v>4322</v>
      </c>
      <c r="P14" s="3">
        <v>4691</v>
      </c>
      <c r="Q14" s="3">
        <v>3049</v>
      </c>
      <c r="R14" s="3">
        <v>3180</v>
      </c>
      <c r="S14" s="3">
        <v>3698</v>
      </c>
      <c r="T14" s="3">
        <v>4543</v>
      </c>
      <c r="U14" s="3">
        <v>6092</v>
      </c>
      <c r="V14" s="3">
        <v>2692</v>
      </c>
      <c r="W14" s="3">
        <v>2849</v>
      </c>
      <c r="X14" s="3">
        <v>3168</v>
      </c>
      <c r="Y14" s="3">
        <v>3180</v>
      </c>
      <c r="Z14" s="3">
        <v>3321</v>
      </c>
    </row>
    <row r="15" spans="2:26" x14ac:dyDescent="0.4">
      <c r="C15" t="s">
        <v>1</v>
      </c>
      <c r="D15" s="3">
        <v>5692</v>
      </c>
      <c r="E15" s="3">
        <v>10166</v>
      </c>
      <c r="F15" s="3">
        <v>3325</v>
      </c>
      <c r="G15" t="s">
        <v>1</v>
      </c>
      <c r="H15">
        <v>10966</v>
      </c>
      <c r="I15" s="3">
        <v>8870</v>
      </c>
      <c r="J15" s="3">
        <v>3867</v>
      </c>
      <c r="K15" s="3">
        <v>4084</v>
      </c>
      <c r="L15" s="3">
        <v>7049</v>
      </c>
      <c r="M15" s="3">
        <v>2790</v>
      </c>
      <c r="N15" s="3">
        <v>3351</v>
      </c>
      <c r="O15" s="3">
        <v>4595</v>
      </c>
      <c r="P15" s="3">
        <v>4906</v>
      </c>
      <c r="Q15" s="3">
        <v>3151</v>
      </c>
      <c r="R15" s="3">
        <v>3267</v>
      </c>
      <c r="S15" s="3">
        <v>3827</v>
      </c>
      <c r="T15" s="3">
        <v>5008</v>
      </c>
      <c r="U15" s="3">
        <v>6301</v>
      </c>
      <c r="V15" s="3">
        <v>2826</v>
      </c>
      <c r="W15" s="3">
        <v>2987</v>
      </c>
      <c r="X15" s="3">
        <v>3351</v>
      </c>
      <c r="Y15" s="3">
        <v>3265</v>
      </c>
      <c r="Z15" s="3">
        <v>3490</v>
      </c>
    </row>
    <row r="16" spans="2:26" x14ac:dyDescent="0.4">
      <c r="C16" t="s">
        <v>39</v>
      </c>
      <c r="D16" s="3">
        <v>6064</v>
      </c>
      <c r="E16" s="3">
        <v>11092</v>
      </c>
      <c r="F16" s="3">
        <v>3709</v>
      </c>
      <c r="G16" t="s">
        <v>39</v>
      </c>
      <c r="H16">
        <v>12329</v>
      </c>
      <c r="I16" s="3">
        <v>9764</v>
      </c>
      <c r="J16" s="3">
        <v>4213</v>
      </c>
      <c r="K16" s="3">
        <v>4492</v>
      </c>
      <c r="L16" s="3">
        <v>7789</v>
      </c>
      <c r="M16" s="3">
        <v>2958</v>
      </c>
      <c r="N16" s="3">
        <v>3646</v>
      </c>
      <c r="O16" s="3">
        <v>4997</v>
      </c>
      <c r="P16" s="3">
        <v>5334</v>
      </c>
      <c r="Q16" s="3">
        <v>3416</v>
      </c>
      <c r="R16" s="3">
        <v>3542</v>
      </c>
      <c r="S16" s="3">
        <v>4157</v>
      </c>
      <c r="T16" s="3">
        <v>5415</v>
      </c>
      <c r="U16" s="3">
        <v>6861</v>
      </c>
      <c r="V16" s="3">
        <v>2996</v>
      </c>
      <c r="W16" s="3">
        <v>3168</v>
      </c>
      <c r="X16" s="3">
        <v>3558</v>
      </c>
      <c r="Y16" s="3">
        <v>3540</v>
      </c>
      <c r="Z16" s="3">
        <v>3708</v>
      </c>
    </row>
    <row r="17" spans="3:26" x14ac:dyDescent="0.4">
      <c r="C17" t="s">
        <v>40</v>
      </c>
      <c r="D17" s="3">
        <v>6536</v>
      </c>
      <c r="E17" s="3">
        <v>12118</v>
      </c>
      <c r="F17" s="3">
        <v>4193</v>
      </c>
      <c r="G17" t="s">
        <v>40</v>
      </c>
      <c r="H17">
        <v>13693</v>
      </c>
      <c r="I17" s="3">
        <v>10759</v>
      </c>
      <c r="J17" s="3">
        <v>4658</v>
      </c>
      <c r="K17" s="3">
        <v>4999</v>
      </c>
      <c r="L17" s="3">
        <v>8628</v>
      </c>
      <c r="M17" s="3">
        <v>3226</v>
      </c>
      <c r="N17" s="3">
        <v>4041</v>
      </c>
      <c r="O17" s="3">
        <v>5501</v>
      </c>
      <c r="P17" s="3">
        <v>5862</v>
      </c>
      <c r="Q17" s="3">
        <v>3780</v>
      </c>
      <c r="R17" s="3">
        <v>3918</v>
      </c>
      <c r="S17" s="3">
        <v>4586</v>
      </c>
      <c r="T17" s="3">
        <v>5922</v>
      </c>
      <c r="U17" s="3">
        <v>7520</v>
      </c>
      <c r="V17" s="3">
        <v>3267</v>
      </c>
      <c r="W17" s="3">
        <v>3450</v>
      </c>
      <c r="X17" s="3">
        <v>3865</v>
      </c>
      <c r="Y17" s="3">
        <v>3915</v>
      </c>
      <c r="Z17" s="3">
        <v>4025</v>
      </c>
    </row>
    <row r="18" spans="3:26" x14ac:dyDescent="0.4">
      <c r="C18" t="s">
        <v>41</v>
      </c>
      <c r="D18" s="3">
        <v>6907</v>
      </c>
      <c r="E18" s="3">
        <v>13045</v>
      </c>
      <c r="F18" s="3">
        <v>4577</v>
      </c>
      <c r="G18" t="s">
        <v>41</v>
      </c>
      <c r="H18">
        <v>15056</v>
      </c>
      <c r="I18" s="3">
        <v>11653</v>
      </c>
      <c r="J18" s="3">
        <v>5004</v>
      </c>
      <c r="K18" s="3">
        <v>5406</v>
      </c>
      <c r="L18" s="3">
        <v>9368</v>
      </c>
      <c r="M18" s="3">
        <v>3393</v>
      </c>
      <c r="N18" s="3">
        <v>4335</v>
      </c>
      <c r="O18" s="3">
        <v>5904</v>
      </c>
      <c r="P18" s="3">
        <v>6289</v>
      </c>
      <c r="Q18" s="3">
        <v>4045</v>
      </c>
      <c r="R18" s="3">
        <v>4193</v>
      </c>
      <c r="S18" s="3">
        <v>4916</v>
      </c>
      <c r="T18" s="3">
        <v>6329</v>
      </c>
      <c r="U18" s="3">
        <v>8080</v>
      </c>
      <c r="V18" s="3">
        <v>3437</v>
      </c>
      <c r="W18" s="3">
        <v>3632</v>
      </c>
      <c r="X18" s="3">
        <v>4073</v>
      </c>
      <c r="Y18" s="3">
        <v>4191</v>
      </c>
      <c r="Z18" s="3">
        <v>4242</v>
      </c>
    </row>
    <row r="19" spans="3:26" x14ac:dyDescent="0.4">
      <c r="C19" t="s">
        <v>42</v>
      </c>
      <c r="D19" s="3">
        <v>8558</v>
      </c>
      <c r="E19" s="3">
        <v>13782</v>
      </c>
      <c r="F19" s="3">
        <v>5715</v>
      </c>
      <c r="G19" t="s">
        <v>42</v>
      </c>
      <c r="H19">
        <v>15205</v>
      </c>
      <c r="I19" s="3">
        <v>13932</v>
      </c>
      <c r="J19" s="3">
        <v>6086</v>
      </c>
      <c r="K19" s="3">
        <v>6861</v>
      </c>
      <c r="L19" s="3">
        <v>12913</v>
      </c>
      <c r="M19" s="3">
        <v>3582</v>
      </c>
      <c r="N19" s="3">
        <v>5099</v>
      </c>
      <c r="O19" s="3">
        <v>6627</v>
      </c>
      <c r="P19" s="3">
        <v>7203</v>
      </c>
      <c r="Q19" s="3">
        <v>4620</v>
      </c>
      <c r="R19" s="3">
        <v>4454</v>
      </c>
      <c r="S19" s="3">
        <v>5656</v>
      </c>
      <c r="T19" s="3">
        <v>7856</v>
      </c>
      <c r="U19" s="3">
        <v>9244</v>
      </c>
      <c r="V19" s="3">
        <v>3580</v>
      </c>
      <c r="W19" s="3">
        <v>3709</v>
      </c>
      <c r="X19" s="3">
        <v>4630</v>
      </c>
      <c r="Y19" s="3">
        <v>4380</v>
      </c>
      <c r="Z19" s="3">
        <v>4282</v>
      </c>
    </row>
    <row r="20" spans="3:26" x14ac:dyDescent="0.4">
      <c r="C20" t="s">
        <v>43</v>
      </c>
      <c r="D20" s="3">
        <v>8827</v>
      </c>
      <c r="E20" s="3">
        <v>14364</v>
      </c>
      <c r="F20" s="3">
        <v>5840</v>
      </c>
      <c r="G20" t="s">
        <v>43</v>
      </c>
      <c r="H20">
        <v>15600</v>
      </c>
      <c r="I20" s="3">
        <v>14201</v>
      </c>
      <c r="J20" s="3">
        <v>6268</v>
      </c>
      <c r="K20" s="3">
        <v>6996</v>
      </c>
      <c r="L20" s="3">
        <v>13171</v>
      </c>
      <c r="M20" s="3">
        <v>3682</v>
      </c>
      <c r="N20" s="3">
        <v>5248</v>
      </c>
      <c r="O20" s="3">
        <v>6774</v>
      </c>
      <c r="P20" s="3">
        <v>7495</v>
      </c>
      <c r="Q20" s="3">
        <v>4718</v>
      </c>
      <c r="R20" s="3">
        <v>4548</v>
      </c>
      <c r="S20" s="3">
        <v>5779</v>
      </c>
      <c r="T20" s="3">
        <v>8025</v>
      </c>
      <c r="U20" s="3">
        <v>9625</v>
      </c>
      <c r="V20" s="3">
        <v>3680</v>
      </c>
      <c r="W20" s="3">
        <v>3814</v>
      </c>
      <c r="X20" s="3">
        <v>4765</v>
      </c>
      <c r="Y20" s="3">
        <v>4470</v>
      </c>
      <c r="Z20" s="3">
        <v>4407</v>
      </c>
    </row>
    <row r="21" spans="3:26" x14ac:dyDescent="0.4">
      <c r="C21" t="s">
        <v>44</v>
      </c>
      <c r="D21" s="3">
        <v>9196</v>
      </c>
      <c r="E21" s="3">
        <v>15045</v>
      </c>
      <c r="F21" s="3">
        <v>6065</v>
      </c>
      <c r="G21" t="s">
        <v>44</v>
      </c>
      <c r="H21">
        <v>15997</v>
      </c>
      <c r="I21" s="3">
        <v>14569</v>
      </c>
      <c r="J21" s="3">
        <v>6549</v>
      </c>
      <c r="K21" s="3">
        <v>7230</v>
      </c>
      <c r="L21" s="3">
        <v>13529</v>
      </c>
      <c r="M21" s="3">
        <v>3884</v>
      </c>
      <c r="N21" s="3">
        <v>5497</v>
      </c>
      <c r="O21" s="3">
        <v>7020</v>
      </c>
      <c r="P21" s="3">
        <v>7886</v>
      </c>
      <c r="Q21" s="3">
        <v>4915</v>
      </c>
      <c r="R21" s="3">
        <v>4742</v>
      </c>
      <c r="S21" s="3">
        <v>6002</v>
      </c>
      <c r="T21" s="3">
        <v>8293</v>
      </c>
      <c r="U21" s="3">
        <v>10106</v>
      </c>
      <c r="V21" s="3">
        <v>3880</v>
      </c>
      <c r="W21" s="3">
        <v>4019</v>
      </c>
      <c r="X21" s="3">
        <v>5002</v>
      </c>
      <c r="Y21" s="3">
        <v>4662</v>
      </c>
      <c r="Z21" s="3">
        <v>4631</v>
      </c>
    </row>
    <row r="22" spans="3:26" x14ac:dyDescent="0.4">
      <c r="C22" t="s">
        <v>45</v>
      </c>
      <c r="D22" s="3">
        <v>9465</v>
      </c>
      <c r="E22" s="3">
        <v>15627</v>
      </c>
      <c r="F22" s="3">
        <v>6191</v>
      </c>
      <c r="G22" t="s">
        <v>45</v>
      </c>
      <c r="H22">
        <v>16392</v>
      </c>
      <c r="I22" s="3">
        <v>14838</v>
      </c>
      <c r="J22" s="3">
        <v>6731</v>
      </c>
      <c r="K22" s="3">
        <v>7365</v>
      </c>
      <c r="L22" s="3">
        <v>13786</v>
      </c>
      <c r="M22" s="3">
        <v>3984</v>
      </c>
      <c r="N22" s="3">
        <v>5647</v>
      </c>
      <c r="O22" s="3">
        <v>7166</v>
      </c>
      <c r="P22" s="3">
        <v>8178</v>
      </c>
      <c r="Q22" s="3">
        <v>5013</v>
      </c>
      <c r="R22" s="3">
        <v>4835</v>
      </c>
      <c r="S22" s="3">
        <v>6124</v>
      </c>
      <c r="T22" s="3">
        <v>8461</v>
      </c>
      <c r="U22" s="3">
        <v>10487</v>
      </c>
      <c r="V22" s="3">
        <v>3982</v>
      </c>
      <c r="W22" s="3">
        <v>4124</v>
      </c>
      <c r="X22" s="3">
        <v>5138</v>
      </c>
      <c r="Y22" s="3">
        <v>4754</v>
      </c>
      <c r="Z22" s="3">
        <v>4756</v>
      </c>
    </row>
    <row r="23" spans="3:26" x14ac:dyDescent="0.4">
      <c r="C23" t="s">
        <v>46</v>
      </c>
      <c r="D23" s="3">
        <v>9834</v>
      </c>
      <c r="E23" s="3">
        <v>16309</v>
      </c>
      <c r="F23" s="3">
        <v>6417</v>
      </c>
      <c r="G23" t="s">
        <v>46</v>
      </c>
      <c r="H23">
        <v>16789</v>
      </c>
      <c r="I23" s="3">
        <v>15205</v>
      </c>
      <c r="J23" s="3">
        <v>7013</v>
      </c>
      <c r="K23" s="3">
        <v>7599</v>
      </c>
      <c r="L23" s="3">
        <v>14143</v>
      </c>
      <c r="M23" s="3">
        <v>4184</v>
      </c>
      <c r="N23" s="3">
        <v>5895</v>
      </c>
      <c r="O23" s="3">
        <v>7413</v>
      </c>
      <c r="P23" s="3">
        <v>8569</v>
      </c>
      <c r="Q23" s="3">
        <v>5211</v>
      </c>
      <c r="R23" s="3">
        <v>5028</v>
      </c>
      <c r="S23" s="3">
        <v>6347</v>
      </c>
      <c r="T23" s="3">
        <v>8730</v>
      </c>
      <c r="U23" s="3">
        <v>10968</v>
      </c>
      <c r="V23" s="3">
        <v>4182</v>
      </c>
      <c r="W23" s="3">
        <v>4329</v>
      </c>
      <c r="X23" s="3">
        <v>5374</v>
      </c>
      <c r="Y23" s="3">
        <v>4947</v>
      </c>
      <c r="Z23" s="3">
        <v>4980</v>
      </c>
    </row>
    <row r="24" spans="3:26" x14ac:dyDescent="0.4">
      <c r="C24" t="s">
        <v>47</v>
      </c>
      <c r="D24" s="3">
        <v>10103</v>
      </c>
      <c r="E24" s="3">
        <v>16890</v>
      </c>
      <c r="F24" s="3">
        <v>6542</v>
      </c>
      <c r="G24" t="s">
        <v>47</v>
      </c>
      <c r="H24">
        <v>17184</v>
      </c>
      <c r="I24" s="3">
        <v>15474</v>
      </c>
      <c r="J24" s="3">
        <v>7196</v>
      </c>
      <c r="K24" s="3">
        <v>7734</v>
      </c>
      <c r="L24" s="3">
        <v>14401</v>
      </c>
      <c r="M24" s="3">
        <v>4286</v>
      </c>
      <c r="N24" s="3">
        <v>6044</v>
      </c>
      <c r="O24" s="3">
        <v>7559</v>
      </c>
      <c r="P24" s="3">
        <v>8861</v>
      </c>
      <c r="Q24" s="3">
        <v>5308</v>
      </c>
      <c r="R24" s="3">
        <v>5122</v>
      </c>
      <c r="S24" s="3">
        <v>6470</v>
      </c>
      <c r="T24" s="3">
        <v>8897</v>
      </c>
      <c r="U24" s="3">
        <v>11349</v>
      </c>
      <c r="V24" s="3">
        <v>4282</v>
      </c>
      <c r="W24" s="3">
        <v>4434</v>
      </c>
      <c r="X24" s="3">
        <v>5511</v>
      </c>
      <c r="Y24" s="3">
        <v>5037</v>
      </c>
      <c r="Z24" s="3">
        <v>5105</v>
      </c>
    </row>
    <row r="25" spans="3:26" x14ac:dyDescent="0.4">
      <c r="C25" t="s">
        <v>48</v>
      </c>
      <c r="D25" s="3">
        <v>10472</v>
      </c>
      <c r="E25" s="3">
        <v>17572</v>
      </c>
      <c r="F25" s="3">
        <v>6767</v>
      </c>
      <c r="G25" t="s">
        <v>48</v>
      </c>
      <c r="H25">
        <v>17581</v>
      </c>
      <c r="I25" s="3">
        <v>15842</v>
      </c>
      <c r="J25" s="3">
        <v>7477</v>
      </c>
      <c r="K25" s="3">
        <v>7968</v>
      </c>
      <c r="L25" s="3">
        <v>14759</v>
      </c>
      <c r="M25" s="3">
        <v>4486</v>
      </c>
      <c r="N25" s="3">
        <v>6294</v>
      </c>
      <c r="O25" s="3">
        <v>7805</v>
      </c>
      <c r="P25" s="3">
        <v>9252</v>
      </c>
      <c r="Q25" s="3">
        <v>5506</v>
      </c>
      <c r="R25" s="3">
        <v>5316</v>
      </c>
      <c r="S25" s="3">
        <v>6693</v>
      </c>
      <c r="T25" s="3">
        <v>9166</v>
      </c>
      <c r="U25" s="3">
        <v>11832</v>
      </c>
      <c r="V25" s="3">
        <v>4484</v>
      </c>
      <c r="W25" s="3">
        <v>4639</v>
      </c>
      <c r="X25" s="3">
        <v>5746</v>
      </c>
      <c r="Y25" s="3">
        <v>5229</v>
      </c>
      <c r="Z25" s="3">
        <v>5329</v>
      </c>
    </row>
    <row r="26" spans="3:26" x14ac:dyDescent="0.4">
      <c r="C26" t="s">
        <v>49</v>
      </c>
      <c r="D26" s="3">
        <v>10741</v>
      </c>
      <c r="E26" s="3">
        <v>18154</v>
      </c>
      <c r="F26" s="3">
        <v>6892</v>
      </c>
      <c r="G26" t="s">
        <v>49</v>
      </c>
      <c r="H26">
        <v>17976</v>
      </c>
      <c r="I26" s="3">
        <v>16111</v>
      </c>
      <c r="J26" s="3">
        <v>7659</v>
      </c>
      <c r="K26" s="3">
        <v>8104</v>
      </c>
      <c r="L26" s="3">
        <v>15016</v>
      </c>
      <c r="M26" s="3">
        <v>4588</v>
      </c>
      <c r="N26" s="3">
        <v>6442</v>
      </c>
      <c r="O26" s="3">
        <v>7952</v>
      </c>
      <c r="P26" s="3">
        <v>9544</v>
      </c>
      <c r="Q26" s="3">
        <v>5603</v>
      </c>
      <c r="R26" s="3">
        <v>5409</v>
      </c>
      <c r="S26" s="3">
        <v>6815</v>
      </c>
      <c r="T26" s="3">
        <v>9335</v>
      </c>
      <c r="U26" s="3">
        <v>12213</v>
      </c>
      <c r="V26" s="3">
        <v>4584</v>
      </c>
      <c r="W26" s="3">
        <v>4744</v>
      </c>
      <c r="X26" s="3">
        <v>5883</v>
      </c>
      <c r="Y26" s="3">
        <v>5321</v>
      </c>
      <c r="Z26" s="3">
        <v>5454</v>
      </c>
    </row>
    <row r="27" spans="3:26" x14ac:dyDescent="0.4">
      <c r="C27" t="s">
        <v>50</v>
      </c>
      <c r="D27" s="3">
        <v>10834</v>
      </c>
      <c r="E27" s="3">
        <v>18791</v>
      </c>
      <c r="F27" s="3">
        <v>8613</v>
      </c>
      <c r="G27" t="s">
        <v>50</v>
      </c>
      <c r="H27">
        <v>18373</v>
      </c>
      <c r="I27" s="3">
        <v>20068</v>
      </c>
      <c r="J27" s="3">
        <v>9496</v>
      </c>
      <c r="K27" s="3">
        <v>10254</v>
      </c>
      <c r="L27" s="3">
        <v>19813</v>
      </c>
      <c r="M27" s="3">
        <v>5543</v>
      </c>
      <c r="N27" s="3">
        <v>7955</v>
      </c>
      <c r="O27" s="3">
        <v>8715</v>
      </c>
      <c r="P27" s="3">
        <v>10697</v>
      </c>
      <c r="Q27" s="3">
        <v>6676</v>
      </c>
      <c r="R27" s="3">
        <v>6754</v>
      </c>
      <c r="S27" s="3">
        <v>7497</v>
      </c>
      <c r="T27" s="3">
        <v>9511</v>
      </c>
      <c r="U27" s="3">
        <v>14140</v>
      </c>
      <c r="V27" s="3">
        <v>5445</v>
      </c>
      <c r="W27" s="3">
        <v>5670</v>
      </c>
      <c r="X27" s="3">
        <v>6629</v>
      </c>
      <c r="Y27" s="3">
        <v>6630</v>
      </c>
      <c r="Z27" s="3">
        <v>6564</v>
      </c>
    </row>
    <row r="28" spans="3:26" x14ac:dyDescent="0.4">
      <c r="C28" t="s">
        <v>51</v>
      </c>
      <c r="D28" s="3">
        <v>11096</v>
      </c>
      <c r="E28" s="3">
        <v>19370</v>
      </c>
      <c r="F28" s="3">
        <v>8769</v>
      </c>
      <c r="G28" t="s">
        <v>51</v>
      </c>
      <c r="H28">
        <v>18768</v>
      </c>
      <c r="I28" s="3">
        <v>20399</v>
      </c>
      <c r="J28" s="3">
        <v>9719</v>
      </c>
      <c r="K28" s="3">
        <v>10423</v>
      </c>
      <c r="L28" s="3">
        <v>20149</v>
      </c>
      <c r="M28" s="3">
        <v>5663</v>
      </c>
      <c r="N28" s="3">
        <v>8138</v>
      </c>
      <c r="O28" s="3">
        <v>8872</v>
      </c>
      <c r="P28" s="3">
        <v>11013</v>
      </c>
      <c r="Q28" s="3">
        <v>6791</v>
      </c>
      <c r="R28" s="3">
        <v>6871</v>
      </c>
      <c r="S28" s="3">
        <v>7629</v>
      </c>
      <c r="T28" s="3">
        <v>9678</v>
      </c>
      <c r="U28" s="3">
        <v>14569</v>
      </c>
      <c r="V28" s="3">
        <v>5563</v>
      </c>
      <c r="W28" s="3">
        <v>5796</v>
      </c>
      <c r="X28" s="3">
        <v>6777</v>
      </c>
      <c r="Y28" s="3">
        <v>6744</v>
      </c>
      <c r="Z28" s="3">
        <v>6712</v>
      </c>
    </row>
    <row r="29" spans="3:26" x14ac:dyDescent="0.4">
      <c r="C29" t="s">
        <v>52</v>
      </c>
      <c r="D29" s="3">
        <v>11403</v>
      </c>
      <c r="E29" s="3">
        <v>19837</v>
      </c>
      <c r="F29" s="3">
        <v>9013</v>
      </c>
      <c r="G29" t="s">
        <v>52</v>
      </c>
      <c r="H29">
        <v>23054</v>
      </c>
      <c r="I29" s="3">
        <v>20836</v>
      </c>
      <c r="J29" s="3">
        <v>9948</v>
      </c>
      <c r="K29" s="3">
        <v>10695</v>
      </c>
      <c r="L29" s="3">
        <v>20592</v>
      </c>
      <c r="M29" s="3">
        <v>5859</v>
      </c>
      <c r="N29" s="3">
        <v>8343</v>
      </c>
      <c r="O29" s="3">
        <v>9093</v>
      </c>
      <c r="P29" s="3">
        <v>11313</v>
      </c>
      <c r="Q29" s="3">
        <v>6981</v>
      </c>
      <c r="R29" s="3">
        <v>7061</v>
      </c>
      <c r="S29" s="3">
        <v>7832</v>
      </c>
      <c r="T29" s="3">
        <v>9905</v>
      </c>
      <c r="U29" s="3">
        <v>14940</v>
      </c>
      <c r="V29" s="3">
        <v>5756</v>
      </c>
      <c r="W29" s="3">
        <v>5993</v>
      </c>
      <c r="X29" s="3">
        <v>6996</v>
      </c>
      <c r="Y29" s="3">
        <v>6933</v>
      </c>
      <c r="Z29" s="3">
        <v>6929</v>
      </c>
    </row>
    <row r="30" spans="3:26" x14ac:dyDescent="0.4">
      <c r="C30" t="s">
        <v>53</v>
      </c>
      <c r="D30" s="3">
        <v>11609</v>
      </c>
      <c r="E30" s="3">
        <v>20204</v>
      </c>
      <c r="F30" s="3">
        <v>9158</v>
      </c>
      <c r="G30" t="s">
        <v>53</v>
      </c>
      <c r="H30">
        <v>23489</v>
      </c>
      <c r="I30" s="3">
        <v>21172</v>
      </c>
      <c r="J30" s="3">
        <v>10076</v>
      </c>
      <c r="K30" s="3">
        <v>10866</v>
      </c>
      <c r="L30" s="3">
        <v>20936</v>
      </c>
      <c r="M30" s="3">
        <v>5955</v>
      </c>
      <c r="N30" s="3">
        <v>8448</v>
      </c>
      <c r="O30" s="3">
        <v>9215</v>
      </c>
      <c r="P30" s="3">
        <v>11514</v>
      </c>
      <c r="Q30" s="3">
        <v>7071</v>
      </c>
      <c r="R30" s="3">
        <v>7152</v>
      </c>
      <c r="S30" s="3">
        <v>7935</v>
      </c>
      <c r="T30" s="3">
        <v>10034</v>
      </c>
      <c r="U30" s="3">
        <v>15212</v>
      </c>
      <c r="V30" s="3">
        <v>5851</v>
      </c>
      <c r="W30" s="3">
        <v>6091</v>
      </c>
      <c r="X30" s="3">
        <v>7114</v>
      </c>
      <c r="Y30" s="3">
        <v>7021</v>
      </c>
      <c r="Z30" s="3">
        <v>7046</v>
      </c>
    </row>
    <row r="31" spans="3:26" x14ac:dyDescent="0.4">
      <c r="C31" t="s">
        <v>54</v>
      </c>
      <c r="D31" s="3">
        <v>11916</v>
      </c>
      <c r="E31" s="3">
        <v>20671</v>
      </c>
      <c r="F31" s="3">
        <v>9403</v>
      </c>
      <c r="G31" t="s">
        <v>54</v>
      </c>
      <c r="H31">
        <v>23921</v>
      </c>
      <c r="I31" s="3">
        <v>21609</v>
      </c>
      <c r="J31" s="3">
        <v>10305</v>
      </c>
      <c r="K31" s="3">
        <v>11137</v>
      </c>
      <c r="L31" s="3">
        <v>21379</v>
      </c>
      <c r="M31" s="3">
        <v>6150</v>
      </c>
      <c r="N31" s="3">
        <v>8654</v>
      </c>
      <c r="O31" s="3">
        <v>9436</v>
      </c>
      <c r="P31" s="3">
        <v>11813</v>
      </c>
      <c r="Q31" s="3">
        <v>7260</v>
      </c>
      <c r="R31" s="3">
        <v>7343</v>
      </c>
      <c r="S31" s="3">
        <v>8136</v>
      </c>
      <c r="T31" s="3">
        <v>10261</v>
      </c>
      <c r="U31" s="3">
        <v>15582</v>
      </c>
      <c r="V31" s="3">
        <v>6044</v>
      </c>
      <c r="W31" s="3">
        <v>6289</v>
      </c>
      <c r="X31" s="3">
        <v>7332</v>
      </c>
      <c r="Y31" s="3">
        <v>7210</v>
      </c>
      <c r="Z31" s="3">
        <v>7263</v>
      </c>
    </row>
    <row r="32" spans="3:26" x14ac:dyDescent="0.4">
      <c r="C32" t="s">
        <v>55</v>
      </c>
      <c r="D32" s="3">
        <v>12122</v>
      </c>
      <c r="E32" s="3">
        <v>21038</v>
      </c>
      <c r="F32" s="3">
        <v>9547</v>
      </c>
      <c r="G32" t="s">
        <v>55</v>
      </c>
      <c r="H32">
        <v>24354</v>
      </c>
      <c r="I32" s="3">
        <v>21946</v>
      </c>
      <c r="J32" s="3">
        <v>10434</v>
      </c>
      <c r="K32" s="3">
        <v>11308</v>
      </c>
      <c r="L32" s="3">
        <v>21723</v>
      </c>
      <c r="M32" s="3">
        <v>6246</v>
      </c>
      <c r="N32" s="3">
        <v>8759</v>
      </c>
      <c r="O32" s="3">
        <v>9558</v>
      </c>
      <c r="P32" s="3">
        <v>12014</v>
      </c>
      <c r="Q32" s="3">
        <v>7350</v>
      </c>
      <c r="R32" s="3">
        <v>7434</v>
      </c>
      <c r="S32" s="3">
        <v>8239</v>
      </c>
      <c r="T32" s="3">
        <v>10389</v>
      </c>
      <c r="U32" s="3">
        <v>15853</v>
      </c>
      <c r="V32" s="3">
        <v>6137</v>
      </c>
      <c r="W32" s="3">
        <v>6387</v>
      </c>
      <c r="X32" s="3">
        <v>7450</v>
      </c>
      <c r="Y32" s="3">
        <v>7299</v>
      </c>
      <c r="Z32" s="3">
        <v>7380</v>
      </c>
    </row>
    <row r="33" spans="3:26" x14ac:dyDescent="0.4">
      <c r="C33" t="s">
        <v>56</v>
      </c>
      <c r="D33" s="3">
        <v>12173</v>
      </c>
      <c r="E33" s="3">
        <v>22287</v>
      </c>
      <c r="F33" s="3">
        <v>11162</v>
      </c>
      <c r="G33" t="s">
        <v>56</v>
      </c>
      <c r="H33">
        <v>24787</v>
      </c>
      <c r="I33" s="3">
        <v>31201</v>
      </c>
      <c r="J33" s="3">
        <v>12433</v>
      </c>
      <c r="K33" s="3">
        <v>13415</v>
      </c>
      <c r="L33" s="3">
        <v>31246</v>
      </c>
      <c r="M33" s="3">
        <v>8020</v>
      </c>
      <c r="N33" s="3">
        <v>10414</v>
      </c>
      <c r="O33" s="3">
        <v>10066</v>
      </c>
      <c r="P33" s="3">
        <v>13014</v>
      </c>
      <c r="Q33" s="3">
        <v>8391</v>
      </c>
      <c r="R33" s="3">
        <v>10006</v>
      </c>
      <c r="S33" s="3">
        <v>9639</v>
      </c>
      <c r="T33" s="3">
        <v>10686</v>
      </c>
      <c r="U33" s="3">
        <v>20351</v>
      </c>
      <c r="V33" s="3">
        <v>7402</v>
      </c>
      <c r="W33" s="3">
        <v>8294</v>
      </c>
      <c r="X33" s="3">
        <v>8928</v>
      </c>
      <c r="Y33" s="3">
        <v>10037</v>
      </c>
      <c r="Z33" s="3">
        <v>9690</v>
      </c>
    </row>
    <row r="34" spans="3:26" x14ac:dyDescent="0.4">
      <c r="C34" t="s">
        <v>57</v>
      </c>
      <c r="D34" s="3">
        <v>12374</v>
      </c>
      <c r="E34" s="3">
        <v>22669</v>
      </c>
      <c r="F34" s="3">
        <v>11330</v>
      </c>
      <c r="G34" t="s">
        <v>57</v>
      </c>
      <c r="H34">
        <v>25220</v>
      </c>
      <c r="I34" s="3">
        <v>31679</v>
      </c>
      <c r="J34" s="3">
        <v>12587</v>
      </c>
      <c r="K34" s="3">
        <v>13616</v>
      </c>
      <c r="L34" s="3">
        <v>31738</v>
      </c>
      <c r="M34" s="3">
        <v>8145</v>
      </c>
      <c r="N34" s="3">
        <v>10539</v>
      </c>
      <c r="O34" s="3">
        <v>10192</v>
      </c>
      <c r="P34" s="3">
        <v>13226</v>
      </c>
      <c r="Q34" s="3">
        <v>8492</v>
      </c>
      <c r="R34" s="3">
        <v>10131</v>
      </c>
      <c r="S34" s="3">
        <v>9758</v>
      </c>
      <c r="T34" s="3">
        <v>10814</v>
      </c>
      <c r="U34" s="3">
        <v>20698</v>
      </c>
      <c r="V34" s="3">
        <v>7515</v>
      </c>
      <c r="W34" s="3">
        <v>8425</v>
      </c>
      <c r="X34" s="3">
        <v>9069</v>
      </c>
      <c r="Y34" s="3">
        <v>10162</v>
      </c>
      <c r="Z34" s="3">
        <v>9846</v>
      </c>
    </row>
    <row r="35" spans="3:26" x14ac:dyDescent="0.4">
      <c r="C35" t="s">
        <v>58</v>
      </c>
      <c r="D35" s="3">
        <v>12677</v>
      </c>
      <c r="E35" s="3">
        <v>23150</v>
      </c>
      <c r="F35" s="3">
        <v>11598</v>
      </c>
      <c r="G35" t="s">
        <v>58</v>
      </c>
      <c r="H35">
        <v>25654</v>
      </c>
      <c r="I35" s="3">
        <v>32256</v>
      </c>
      <c r="J35" s="3">
        <v>12840</v>
      </c>
      <c r="K35" s="3">
        <v>13917</v>
      </c>
      <c r="L35" s="3">
        <v>32331</v>
      </c>
      <c r="M35" s="3">
        <v>8369</v>
      </c>
      <c r="N35" s="3">
        <v>10766</v>
      </c>
      <c r="O35" s="3">
        <v>10418</v>
      </c>
      <c r="P35" s="3">
        <v>13539</v>
      </c>
      <c r="Q35" s="3">
        <v>8694</v>
      </c>
      <c r="R35" s="3">
        <v>10356</v>
      </c>
      <c r="S35" s="3">
        <v>9979</v>
      </c>
      <c r="T35" s="3">
        <v>11043</v>
      </c>
      <c r="U35" s="3">
        <v>21144</v>
      </c>
      <c r="V35" s="3">
        <v>7728</v>
      </c>
      <c r="W35" s="3">
        <v>8655</v>
      </c>
      <c r="X35" s="3">
        <v>9311</v>
      </c>
      <c r="Y35" s="3">
        <v>10387</v>
      </c>
      <c r="Z35" s="3">
        <v>10101</v>
      </c>
    </row>
    <row r="36" spans="3:26" x14ac:dyDescent="0.4">
      <c r="C36" t="s">
        <v>59</v>
      </c>
      <c r="D36" s="3">
        <v>12879</v>
      </c>
      <c r="E36" s="3">
        <v>23531</v>
      </c>
      <c r="F36" s="3">
        <v>11766</v>
      </c>
      <c r="G36" t="s">
        <v>59</v>
      </c>
      <c r="H36">
        <v>26087</v>
      </c>
      <c r="I36" s="3">
        <v>32734</v>
      </c>
      <c r="J36" s="3">
        <v>12992</v>
      </c>
      <c r="K36" s="3">
        <v>14119</v>
      </c>
      <c r="L36" s="3">
        <v>32823</v>
      </c>
      <c r="M36" s="3">
        <v>8494</v>
      </c>
      <c r="N36" s="3">
        <v>10891</v>
      </c>
      <c r="O36" s="3">
        <v>10544</v>
      </c>
      <c r="P36" s="3">
        <v>13752</v>
      </c>
      <c r="Q36" s="3">
        <v>8795</v>
      </c>
      <c r="R36" s="3">
        <v>10481</v>
      </c>
      <c r="S36" s="3">
        <v>10098</v>
      </c>
      <c r="T36" s="3">
        <v>11172</v>
      </c>
      <c r="U36" s="3">
        <v>21490</v>
      </c>
      <c r="V36" s="3">
        <v>7842</v>
      </c>
      <c r="W36" s="3">
        <v>8784</v>
      </c>
      <c r="X36" s="3">
        <v>9452</v>
      </c>
      <c r="Y36" s="3">
        <v>10513</v>
      </c>
      <c r="Z36" s="3">
        <v>10257</v>
      </c>
    </row>
    <row r="37" spans="3:26" x14ac:dyDescent="0.4">
      <c r="C37" t="s">
        <v>60</v>
      </c>
      <c r="D37" s="3">
        <v>13181</v>
      </c>
      <c r="E37" s="3">
        <v>24012</v>
      </c>
      <c r="F37" s="3">
        <v>12034</v>
      </c>
      <c r="G37" t="s">
        <v>60</v>
      </c>
      <c r="H37">
        <v>26519</v>
      </c>
      <c r="I37" s="3">
        <v>33312</v>
      </c>
      <c r="J37" s="3">
        <v>13246</v>
      </c>
      <c r="K37" s="3">
        <v>14421</v>
      </c>
      <c r="L37" s="3">
        <v>33417</v>
      </c>
      <c r="M37" s="3">
        <v>8719</v>
      </c>
      <c r="N37" s="3">
        <v>11116</v>
      </c>
      <c r="O37" s="3">
        <v>10770</v>
      </c>
      <c r="P37" s="3">
        <v>14065</v>
      </c>
      <c r="Q37" s="3">
        <v>8997</v>
      </c>
      <c r="R37" s="3">
        <v>10706</v>
      </c>
      <c r="S37" s="3">
        <v>10317</v>
      </c>
      <c r="T37" s="3">
        <v>11400</v>
      </c>
      <c r="U37" s="3">
        <v>21935</v>
      </c>
      <c r="V37" s="3">
        <v>8055</v>
      </c>
      <c r="W37" s="3">
        <v>9014</v>
      </c>
      <c r="X37" s="3">
        <v>9694</v>
      </c>
      <c r="Y37" s="3">
        <v>10738</v>
      </c>
      <c r="Z37" s="3">
        <v>10513</v>
      </c>
    </row>
    <row r="38" spans="3:26" x14ac:dyDescent="0.4">
      <c r="C38" t="s">
        <v>61</v>
      </c>
      <c r="D38" s="3">
        <v>13383</v>
      </c>
      <c r="E38" s="3">
        <v>24393</v>
      </c>
      <c r="F38" s="3">
        <v>12203</v>
      </c>
      <c r="G38" t="s">
        <v>61</v>
      </c>
      <c r="H38">
        <v>26952</v>
      </c>
      <c r="I38" s="3">
        <v>33788</v>
      </c>
      <c r="J38" s="3">
        <v>13399</v>
      </c>
      <c r="K38" s="3">
        <v>14623</v>
      </c>
      <c r="L38" s="3">
        <v>33909</v>
      </c>
      <c r="M38" s="3">
        <v>8843</v>
      </c>
      <c r="N38" s="3">
        <v>11241</v>
      </c>
      <c r="O38" s="3">
        <v>10895</v>
      </c>
      <c r="P38" s="3">
        <v>14277</v>
      </c>
      <c r="Q38" s="3">
        <v>9099</v>
      </c>
      <c r="R38" s="3">
        <v>10831</v>
      </c>
      <c r="S38" s="3">
        <v>10437</v>
      </c>
      <c r="T38" s="3">
        <v>11530</v>
      </c>
      <c r="U38" s="3">
        <v>22281</v>
      </c>
      <c r="V38" s="3">
        <v>8168</v>
      </c>
      <c r="W38" s="3">
        <v>9144</v>
      </c>
      <c r="X38" s="3">
        <v>9836</v>
      </c>
      <c r="Y38" s="3">
        <v>10863</v>
      </c>
      <c r="Z38" s="3">
        <v>10669</v>
      </c>
    </row>
    <row r="39" spans="3:26" x14ac:dyDescent="0.4">
      <c r="C39" t="s">
        <v>62</v>
      </c>
      <c r="D39" s="3">
        <v>13684</v>
      </c>
      <c r="E39" s="3">
        <v>24874</v>
      </c>
      <c r="F39" s="3">
        <v>12470</v>
      </c>
      <c r="G39" t="s">
        <v>62</v>
      </c>
      <c r="H39">
        <v>27385</v>
      </c>
      <c r="I39" s="3">
        <v>34366</v>
      </c>
      <c r="J39" s="3">
        <v>13653</v>
      </c>
      <c r="K39" s="3">
        <v>14925</v>
      </c>
      <c r="L39" s="3">
        <v>34502</v>
      </c>
      <c r="M39" s="3">
        <v>9068</v>
      </c>
      <c r="N39" s="3">
        <v>11466</v>
      </c>
      <c r="O39" s="3">
        <v>11121</v>
      </c>
      <c r="P39" s="3">
        <v>14589</v>
      </c>
      <c r="Q39" s="3">
        <v>9301</v>
      </c>
      <c r="R39" s="3">
        <v>11057</v>
      </c>
      <c r="S39" s="3">
        <v>10657</v>
      </c>
      <c r="T39" s="3">
        <v>11759</v>
      </c>
      <c r="U39" s="3">
        <v>22727</v>
      </c>
      <c r="V39" s="3">
        <v>8381</v>
      </c>
      <c r="W39" s="3">
        <v>9374</v>
      </c>
      <c r="X39" s="3">
        <v>10077</v>
      </c>
      <c r="Y39" s="3">
        <v>11088</v>
      </c>
      <c r="Z39" s="3">
        <v>10924</v>
      </c>
    </row>
    <row r="40" spans="3:26" x14ac:dyDescent="0.4">
      <c r="C40" t="s">
        <v>63</v>
      </c>
      <c r="D40" s="3">
        <v>13886</v>
      </c>
      <c r="E40" s="3">
        <v>25945</v>
      </c>
      <c r="F40" s="3">
        <v>14278</v>
      </c>
      <c r="G40" t="s">
        <v>63</v>
      </c>
      <c r="H40">
        <v>27819</v>
      </c>
      <c r="I40" s="3">
        <v>34844</v>
      </c>
      <c r="J40" s="3">
        <v>15982</v>
      </c>
      <c r="K40" s="3">
        <v>17555</v>
      </c>
      <c r="L40" s="3">
        <v>34994</v>
      </c>
      <c r="M40" s="3">
        <v>9296</v>
      </c>
      <c r="N40" s="3">
        <v>13326</v>
      </c>
      <c r="O40" s="3">
        <v>11544</v>
      </c>
      <c r="P40" s="3">
        <v>14867</v>
      </c>
      <c r="Q40" s="3">
        <v>9459</v>
      </c>
      <c r="R40" s="3">
        <v>11284</v>
      </c>
      <c r="S40" s="3">
        <v>10818</v>
      </c>
      <c r="T40" s="3">
        <v>12742</v>
      </c>
      <c r="U40" s="3">
        <v>23202</v>
      </c>
      <c r="V40" s="3">
        <v>9064</v>
      </c>
      <c r="W40" s="3">
        <v>9504</v>
      </c>
      <c r="X40" s="3">
        <v>10219</v>
      </c>
      <c r="Y40" s="3">
        <v>11218</v>
      </c>
      <c r="Z40" s="3">
        <v>11080</v>
      </c>
    </row>
    <row r="41" spans="3:26" x14ac:dyDescent="0.4">
      <c r="C41" t="s">
        <v>64</v>
      </c>
      <c r="D41" s="3">
        <v>14188</v>
      </c>
      <c r="E41" s="3">
        <v>26436</v>
      </c>
      <c r="F41" s="3">
        <v>14571</v>
      </c>
      <c r="G41" t="s">
        <v>64</v>
      </c>
      <c r="H41">
        <v>28252</v>
      </c>
      <c r="I41" s="3">
        <v>35422</v>
      </c>
      <c r="J41" s="3">
        <v>16262</v>
      </c>
      <c r="K41" s="3">
        <v>17893</v>
      </c>
      <c r="L41" s="3">
        <v>35587</v>
      </c>
      <c r="M41" s="3">
        <v>9523</v>
      </c>
      <c r="N41" s="3">
        <v>13573</v>
      </c>
      <c r="O41" s="3">
        <v>11774</v>
      </c>
      <c r="P41" s="3">
        <v>15180</v>
      </c>
      <c r="Q41" s="3">
        <v>9661</v>
      </c>
      <c r="R41" s="3">
        <v>11511</v>
      </c>
      <c r="S41" s="3">
        <v>11039</v>
      </c>
      <c r="T41" s="3">
        <v>12981</v>
      </c>
      <c r="U41" s="3">
        <v>23650</v>
      </c>
      <c r="V41" s="3">
        <v>9286</v>
      </c>
      <c r="W41" s="3">
        <v>9733</v>
      </c>
      <c r="X41" s="3">
        <v>10460</v>
      </c>
      <c r="Y41" s="3">
        <v>11444</v>
      </c>
      <c r="Z41" s="3">
        <v>11336</v>
      </c>
    </row>
    <row r="42" spans="3:26" x14ac:dyDescent="0.4">
      <c r="C42" t="s">
        <v>65</v>
      </c>
      <c r="D42" s="3">
        <v>14390</v>
      </c>
      <c r="E42" s="3">
        <v>26828</v>
      </c>
      <c r="F42" s="3">
        <v>14765</v>
      </c>
      <c r="G42" t="s">
        <v>65</v>
      </c>
      <c r="H42">
        <v>28685</v>
      </c>
      <c r="I42" s="3">
        <v>35899</v>
      </c>
      <c r="J42" s="3">
        <v>16443</v>
      </c>
      <c r="K42" s="3">
        <v>18130</v>
      </c>
      <c r="L42" s="3">
        <v>36079</v>
      </c>
      <c r="M42" s="3">
        <v>9650</v>
      </c>
      <c r="N42" s="3">
        <v>13721</v>
      </c>
      <c r="O42" s="3">
        <v>11902</v>
      </c>
      <c r="P42" s="3">
        <v>15394</v>
      </c>
      <c r="Q42" s="3">
        <v>9764</v>
      </c>
      <c r="R42" s="3">
        <v>11637</v>
      </c>
      <c r="S42" s="3">
        <v>11159</v>
      </c>
      <c r="T42" s="3">
        <v>13120</v>
      </c>
      <c r="U42" s="3">
        <v>23998</v>
      </c>
      <c r="V42" s="3">
        <v>9409</v>
      </c>
      <c r="W42" s="3">
        <v>9863</v>
      </c>
      <c r="X42" s="3">
        <v>10602</v>
      </c>
      <c r="Y42" s="3">
        <v>11570</v>
      </c>
      <c r="Z42" s="3">
        <v>11492</v>
      </c>
    </row>
    <row r="43" spans="3:26" x14ac:dyDescent="0.4">
      <c r="C43" t="s">
        <v>66</v>
      </c>
      <c r="D43" s="3">
        <v>14692</v>
      </c>
      <c r="E43" s="3">
        <v>27321</v>
      </c>
      <c r="F43" s="3">
        <v>15057</v>
      </c>
      <c r="G43" t="s">
        <v>66</v>
      </c>
      <c r="H43">
        <v>29117</v>
      </c>
      <c r="I43" s="3">
        <v>36477</v>
      </c>
      <c r="J43" s="3">
        <v>16723</v>
      </c>
      <c r="K43" s="3">
        <v>18469</v>
      </c>
      <c r="L43" s="3">
        <v>36673</v>
      </c>
      <c r="M43" s="3">
        <v>9876</v>
      </c>
      <c r="N43" s="3">
        <v>13967</v>
      </c>
      <c r="O43" s="3">
        <v>12132</v>
      </c>
      <c r="P43" s="3">
        <v>15709</v>
      </c>
      <c r="Q43" s="3">
        <v>9966</v>
      </c>
      <c r="R43" s="3">
        <v>11863</v>
      </c>
      <c r="S43" s="3">
        <v>11379</v>
      </c>
      <c r="T43" s="3">
        <v>13359</v>
      </c>
      <c r="U43" s="3">
        <v>24445</v>
      </c>
      <c r="V43" s="3">
        <v>9632</v>
      </c>
      <c r="W43" s="3">
        <v>10093</v>
      </c>
      <c r="X43" s="3">
        <v>10844</v>
      </c>
      <c r="Y43" s="3">
        <v>11795</v>
      </c>
      <c r="Z43" s="3">
        <v>11747</v>
      </c>
    </row>
    <row r="44" spans="3:26" x14ac:dyDescent="0.4">
      <c r="C44" t="s">
        <v>67</v>
      </c>
      <c r="D44" s="3">
        <v>14893</v>
      </c>
      <c r="E44" s="3">
        <v>27713</v>
      </c>
      <c r="F44" s="3">
        <v>15251</v>
      </c>
      <c r="G44" t="s">
        <v>67</v>
      </c>
      <c r="H44">
        <v>29550</v>
      </c>
      <c r="I44" s="3">
        <v>36955</v>
      </c>
      <c r="J44" s="3">
        <v>16904</v>
      </c>
      <c r="K44" s="3">
        <v>18707</v>
      </c>
      <c r="L44" s="3">
        <v>37165</v>
      </c>
      <c r="M44" s="3">
        <v>10002</v>
      </c>
      <c r="N44" s="3">
        <v>14114</v>
      </c>
      <c r="O44" s="3">
        <v>12262</v>
      </c>
      <c r="P44" s="3">
        <v>15922</v>
      </c>
      <c r="Q44" s="3">
        <v>10068</v>
      </c>
      <c r="R44" s="3">
        <v>11989</v>
      </c>
      <c r="S44" s="3">
        <v>11500</v>
      </c>
      <c r="T44" s="3">
        <v>13500</v>
      </c>
      <c r="U44" s="3">
        <v>24793</v>
      </c>
      <c r="V44" s="3">
        <v>9754</v>
      </c>
      <c r="W44" s="3">
        <v>10223</v>
      </c>
      <c r="X44" s="3">
        <v>10985</v>
      </c>
      <c r="Y44" s="3">
        <v>11921</v>
      </c>
      <c r="Z44" s="3">
        <v>11903</v>
      </c>
    </row>
    <row r="45" spans="3:26" x14ac:dyDescent="0.4">
      <c r="C45" t="s">
        <v>68</v>
      </c>
      <c r="D45" s="3">
        <v>15195</v>
      </c>
      <c r="E45" s="3">
        <v>28205</v>
      </c>
      <c r="F45" s="3">
        <v>15543</v>
      </c>
      <c r="G45" t="s">
        <v>68</v>
      </c>
      <c r="H45">
        <v>29984</v>
      </c>
      <c r="I45" s="3">
        <v>37531</v>
      </c>
      <c r="J45" s="3">
        <v>17185</v>
      </c>
      <c r="K45" s="3">
        <v>19044</v>
      </c>
      <c r="L45" s="3">
        <v>37758</v>
      </c>
      <c r="M45" s="3">
        <v>10228</v>
      </c>
      <c r="N45" s="3">
        <v>14362</v>
      </c>
      <c r="O45" s="3">
        <v>12492</v>
      </c>
      <c r="P45" s="3">
        <v>16236</v>
      </c>
      <c r="Q45" s="3">
        <v>10271</v>
      </c>
      <c r="R45" s="3">
        <v>12216</v>
      </c>
      <c r="S45" s="3">
        <v>11720</v>
      </c>
      <c r="T45" s="3">
        <v>13739</v>
      </c>
      <c r="U45" s="3">
        <v>25242</v>
      </c>
      <c r="V45" s="3">
        <v>9977</v>
      </c>
      <c r="W45" s="3">
        <v>10453</v>
      </c>
      <c r="X45" s="3">
        <v>11227</v>
      </c>
      <c r="Y45" s="3">
        <v>12146</v>
      </c>
      <c r="Z45" s="3">
        <v>12159</v>
      </c>
    </row>
    <row r="46" spans="3:26" x14ac:dyDescent="0.4">
      <c r="C46" t="s">
        <v>69</v>
      </c>
      <c r="D46" s="3">
        <v>15397</v>
      </c>
      <c r="E46" s="3">
        <v>28598</v>
      </c>
      <c r="F46" s="3">
        <v>15737</v>
      </c>
      <c r="G46" t="s">
        <v>69</v>
      </c>
      <c r="H46">
        <v>30417</v>
      </c>
      <c r="I46" s="3">
        <v>38009</v>
      </c>
      <c r="J46" s="3">
        <v>17364</v>
      </c>
      <c r="K46" s="3">
        <v>19283</v>
      </c>
      <c r="L46" s="3">
        <v>38250</v>
      </c>
      <c r="M46" s="3">
        <v>10355</v>
      </c>
      <c r="N46" s="3">
        <v>14508</v>
      </c>
      <c r="O46" s="3">
        <v>12621</v>
      </c>
      <c r="P46" s="3">
        <v>16449</v>
      </c>
      <c r="Q46" s="3">
        <v>10374</v>
      </c>
      <c r="R46" s="3">
        <v>12342</v>
      </c>
      <c r="S46" s="3">
        <v>11840</v>
      </c>
      <c r="T46" s="3">
        <v>13878</v>
      </c>
      <c r="U46" s="3">
        <v>25590</v>
      </c>
      <c r="V46" s="3">
        <v>10100</v>
      </c>
      <c r="W46" s="3">
        <v>10582</v>
      </c>
      <c r="X46" s="3">
        <v>11368</v>
      </c>
      <c r="Y46" s="3">
        <v>12271</v>
      </c>
      <c r="Z46" s="3">
        <v>12315</v>
      </c>
    </row>
    <row r="47" spans="3:26" x14ac:dyDescent="0.4">
      <c r="C47" t="s">
        <v>70</v>
      </c>
      <c r="D47" s="3">
        <v>15699</v>
      </c>
      <c r="E47" s="3">
        <v>29089</v>
      </c>
      <c r="F47" s="3">
        <v>16029</v>
      </c>
      <c r="G47" t="s">
        <v>70</v>
      </c>
      <c r="H47">
        <v>30850</v>
      </c>
      <c r="I47" s="3">
        <v>38587</v>
      </c>
      <c r="J47" s="3">
        <v>17644</v>
      </c>
      <c r="K47" s="3">
        <v>19620</v>
      </c>
      <c r="L47" s="3">
        <v>38843</v>
      </c>
      <c r="M47" s="3">
        <v>10582</v>
      </c>
      <c r="N47" s="3">
        <v>14756</v>
      </c>
      <c r="O47" s="3">
        <v>12851</v>
      </c>
      <c r="P47" s="3">
        <v>16763</v>
      </c>
      <c r="Q47" s="3">
        <v>10576</v>
      </c>
      <c r="R47" s="3">
        <v>12568</v>
      </c>
      <c r="S47" s="3">
        <v>12061</v>
      </c>
      <c r="T47" s="3">
        <v>14117</v>
      </c>
      <c r="U47" s="3">
        <v>26038</v>
      </c>
      <c r="V47" s="3">
        <v>10323</v>
      </c>
      <c r="W47" s="3">
        <v>10812</v>
      </c>
      <c r="X47" s="3">
        <v>11610</v>
      </c>
      <c r="Y47" s="3">
        <v>12496</v>
      </c>
      <c r="Z47" s="3">
        <v>12570</v>
      </c>
    </row>
    <row r="48" spans="3:26" x14ac:dyDescent="0.4">
      <c r="C48" t="s">
        <v>71</v>
      </c>
      <c r="D48" s="3">
        <v>15777</v>
      </c>
      <c r="E48" s="3">
        <v>29481</v>
      </c>
      <c r="F48" s="3">
        <v>16223</v>
      </c>
      <c r="G48" t="s">
        <v>71</v>
      </c>
      <c r="H48">
        <v>31283</v>
      </c>
      <c r="I48" s="3">
        <v>39064</v>
      </c>
      <c r="J48" s="3">
        <v>17825</v>
      </c>
      <c r="K48" s="3">
        <v>19858</v>
      </c>
      <c r="L48" s="3">
        <v>39335</v>
      </c>
      <c r="M48" s="3">
        <v>10631</v>
      </c>
      <c r="N48" s="3">
        <v>14902</v>
      </c>
      <c r="O48" s="3">
        <v>12981</v>
      </c>
      <c r="P48" s="3">
        <v>16977</v>
      </c>
      <c r="Q48" s="3">
        <v>10679</v>
      </c>
      <c r="R48" s="3">
        <v>12694</v>
      </c>
      <c r="S48" s="3">
        <v>12180</v>
      </c>
      <c r="T48" s="3">
        <v>14162</v>
      </c>
      <c r="U48" s="3">
        <v>26386</v>
      </c>
      <c r="V48" s="3">
        <v>10370</v>
      </c>
      <c r="W48" s="3">
        <v>10862</v>
      </c>
      <c r="X48" s="3">
        <v>11664</v>
      </c>
      <c r="Y48" s="3">
        <v>12622</v>
      </c>
      <c r="Z48" s="3">
        <v>12631</v>
      </c>
    </row>
    <row r="49" spans="3:26" x14ac:dyDescent="0.4">
      <c r="C49">
        <v>20.5</v>
      </c>
      <c r="D49" s="3">
        <v>15877</v>
      </c>
      <c r="E49" s="3">
        <v>29974</v>
      </c>
      <c r="F49" s="3">
        <v>16516</v>
      </c>
      <c r="G49" t="s">
        <v>72</v>
      </c>
      <c r="H49">
        <v>31715</v>
      </c>
      <c r="I49" s="3">
        <v>39642</v>
      </c>
      <c r="J49" s="3">
        <v>17959</v>
      </c>
      <c r="K49" s="3">
        <v>20195</v>
      </c>
      <c r="L49" s="3">
        <v>39928</v>
      </c>
      <c r="M49" s="3">
        <v>10731</v>
      </c>
      <c r="N49" s="3">
        <v>15030</v>
      </c>
      <c r="O49" s="3">
        <v>13200</v>
      </c>
      <c r="P49" s="3">
        <v>17290</v>
      </c>
      <c r="Q49" s="3">
        <v>10873</v>
      </c>
      <c r="R49" s="3">
        <v>12911</v>
      </c>
      <c r="S49" s="3">
        <v>12391</v>
      </c>
      <c r="T49" s="3">
        <v>14262</v>
      </c>
      <c r="U49" s="3">
        <v>26834</v>
      </c>
      <c r="V49" s="3">
        <v>10470</v>
      </c>
      <c r="W49" s="3">
        <v>10962</v>
      </c>
      <c r="X49" s="3">
        <v>11764</v>
      </c>
      <c r="Y49" s="3">
        <v>12838</v>
      </c>
      <c r="Z49" s="3">
        <v>12731</v>
      </c>
    </row>
    <row r="50" spans="3:26" x14ac:dyDescent="0.4">
      <c r="G50" t="s">
        <v>73</v>
      </c>
      <c r="H50">
        <v>33042</v>
      </c>
    </row>
    <row r="51" spans="3:26" x14ac:dyDescent="0.4">
      <c r="G51" t="s">
        <v>74</v>
      </c>
      <c r="H51">
        <v>34448</v>
      </c>
    </row>
    <row r="52" spans="3:26" x14ac:dyDescent="0.4">
      <c r="G52" t="s">
        <v>75</v>
      </c>
      <c r="H52">
        <v>35823</v>
      </c>
    </row>
    <row r="53" spans="3:26" x14ac:dyDescent="0.4">
      <c r="G53" t="s">
        <v>76</v>
      </c>
      <c r="H53">
        <v>37199</v>
      </c>
    </row>
    <row r="54" spans="3:26" x14ac:dyDescent="0.4">
      <c r="G54" t="s">
        <v>77</v>
      </c>
      <c r="H54">
        <v>38574</v>
      </c>
    </row>
    <row r="55" spans="3:26" x14ac:dyDescent="0.4">
      <c r="G55" t="s">
        <v>78</v>
      </c>
      <c r="H55">
        <v>39950</v>
      </c>
    </row>
    <row r="56" spans="3:26" x14ac:dyDescent="0.4">
      <c r="G56" t="s">
        <v>79</v>
      </c>
      <c r="H56">
        <v>41325</v>
      </c>
    </row>
    <row r="57" spans="3:26" x14ac:dyDescent="0.4">
      <c r="G57" t="s">
        <v>80</v>
      </c>
      <c r="H57">
        <v>42701</v>
      </c>
    </row>
    <row r="58" spans="3:26" x14ac:dyDescent="0.4">
      <c r="G58" t="s">
        <v>81</v>
      </c>
      <c r="H58">
        <v>44076</v>
      </c>
    </row>
    <row r="59" spans="3:26" x14ac:dyDescent="0.4">
      <c r="G59" t="s">
        <v>82</v>
      </c>
      <c r="H59">
        <v>45452</v>
      </c>
    </row>
    <row r="60" spans="3:26" x14ac:dyDescent="0.4">
      <c r="G60" t="s">
        <v>83</v>
      </c>
      <c r="H60">
        <v>46827</v>
      </c>
    </row>
    <row r="61" spans="3:26" x14ac:dyDescent="0.4">
      <c r="G61" t="s">
        <v>84</v>
      </c>
      <c r="H61">
        <v>48203</v>
      </c>
    </row>
    <row r="62" spans="3:26" x14ac:dyDescent="0.4">
      <c r="G62" t="s">
        <v>85</v>
      </c>
      <c r="H62">
        <v>49578</v>
      </c>
    </row>
    <row r="63" spans="3:26" x14ac:dyDescent="0.4">
      <c r="G63" t="s">
        <v>86</v>
      </c>
      <c r="H63">
        <v>50954</v>
      </c>
    </row>
    <row r="64" spans="3:26" x14ac:dyDescent="0.4">
      <c r="G64" t="s">
        <v>87</v>
      </c>
      <c r="H64">
        <v>52329</v>
      </c>
    </row>
    <row r="65" spans="7:8" x14ac:dyDescent="0.4">
      <c r="G65" t="s">
        <v>88</v>
      </c>
      <c r="H65">
        <v>53705</v>
      </c>
    </row>
    <row r="66" spans="7:8" x14ac:dyDescent="0.4">
      <c r="G66" t="s">
        <v>89</v>
      </c>
      <c r="H66">
        <v>55080</v>
      </c>
    </row>
    <row r="67" spans="7:8" x14ac:dyDescent="0.4">
      <c r="G67" t="s">
        <v>90</v>
      </c>
      <c r="H67">
        <v>56456</v>
      </c>
    </row>
    <row r="68" spans="7:8" x14ac:dyDescent="0.4">
      <c r="G68" t="s">
        <v>91</v>
      </c>
      <c r="H68">
        <v>57831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6CA6B-8713-43BA-AD05-1BA61CAD19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送料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 バロック</dc:creator>
  <cp:lastModifiedBy>01 バロック</cp:lastModifiedBy>
  <dcterms:created xsi:type="dcterms:W3CDTF">2026-09-29T12:27:12Z</dcterms:created>
  <dcterms:modified xsi:type="dcterms:W3CDTF">2026-09-29T14:03:39Z</dcterms:modified>
</cp:coreProperties>
</file>
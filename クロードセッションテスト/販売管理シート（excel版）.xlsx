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  <sheet name="送料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.00_);[Red]\(\$#,##0.00\)"/>
    <numFmt numFmtId="165" formatCode="&quot;¥&quot;#,##0;[Red]&quot;¥&quot;\-#,##0"/>
  </numFmts>
  <fonts count="2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</fonts>
  <fills count="8">
    <fill>
      <patternFill/>
    </fill>
    <fill>
      <patternFill patternType="gray125"/>
    </fill>
    <fill>
      <patternFill patternType="solid">
        <fgColor theme="0" tint="-0.349986266670735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/>
    </xf>
    <xf numFmtId="164" fontId="0" fillId="2" borderId="0" applyAlignment="1" pivotButton="0" quotePrefix="0" xfId="0">
      <alignment vertical="center"/>
    </xf>
    <xf numFmtId="165" fontId="0" fillId="2" borderId="0" applyAlignment="1" pivotButton="0" quotePrefix="0" xfId="0">
      <alignment vertical="center"/>
    </xf>
    <xf numFmtId="10" fontId="0" fillId="2" borderId="0" applyAlignment="1" pivotButton="0" quotePrefix="0" xfId="0">
      <alignment vertical="center"/>
    </xf>
    <xf numFmtId="165" fontId="0" fillId="3" borderId="0" applyAlignment="1" pivotButton="0" quotePrefix="0" xfId="0">
      <alignment vertical="center"/>
    </xf>
    <xf numFmtId="165" fontId="0" fillId="4" borderId="0" applyAlignment="1" pivotButton="0" quotePrefix="0" xfId="0">
      <alignment vertical="center"/>
    </xf>
    <xf numFmtId="0" fontId="0" fillId="5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7" borderId="0" applyAlignment="1" pivotButton="0" quotePrefix="0" xfId="0">
      <alignment vertical="center" wrapText="1"/>
    </xf>
    <xf numFmtId="165" fontId="0" fillId="7" borderId="0" applyAlignment="1" pivotButton="0" quotePrefix="0" xfId="0">
      <alignment vertical="center"/>
    </xf>
    <xf numFmtId="0" fontId="0" fillId="7" borderId="0" applyAlignment="1" pivotButton="0" quotePrefix="0" xfId="0">
      <alignment vertical="center"/>
    </xf>
    <xf numFmtId="0" fontId="0" fillId="0" borderId="0" applyAlignment="1" pivotButton="0" quotePrefix="0" xfId="0">
      <alignment vertical="center" shrinkToFit="1"/>
    </xf>
    <xf numFmtId="0" fontId="0" fillId="0" borderId="0" pivotButton="0" quotePrefix="0" xfId="0"/>
    <xf numFmtId="165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7" borderId="0" applyAlignment="1" pivotButton="0" quotePrefix="0" xfId="0">
      <alignment vertical="center"/>
    </xf>
    <xf numFmtId="164" fontId="0" fillId="2" borderId="0" applyAlignment="1" pivotButton="0" quotePrefix="0" xfId="0">
      <alignment vertical="center"/>
    </xf>
    <xf numFmtId="165" fontId="0" fillId="2" borderId="0" applyAlignment="1" pivotButton="0" quotePrefix="0" xfId="0">
      <alignment vertical="center"/>
    </xf>
    <xf numFmtId="165" fontId="0" fillId="3" borderId="0" applyAlignment="1" pivotButton="0" quotePrefix="0" xfId="0">
      <alignment vertical="center"/>
    </xf>
    <xf numFmtId="165" fontId="0" fillId="4" borderId="0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41"/>
  <sheetViews>
    <sheetView tabSelected="1" workbookViewId="0">
      <selection activeCell="AK1" sqref="AK1:AN1"/>
    </sheetView>
  </sheetViews>
  <sheetFormatPr baseColWidth="8" defaultRowHeight="18.75"/>
  <cols>
    <col width="1.375" customWidth="1" style="18" min="1" max="2"/>
    <col width="47.375" bestFit="1" customWidth="1" style="18" min="4" max="4"/>
    <col hidden="1" width="10.375" customWidth="1" style="18" min="5" max="5"/>
    <col hidden="1" width="9.625" customWidth="1" style="18" min="6" max="6"/>
    <col width="11.75" bestFit="1" customWidth="1" style="18" min="8" max="8"/>
    <col hidden="1" width="14.625" customWidth="1" style="18" min="10" max="10"/>
    <col hidden="1" width="13.75" customWidth="1" style="18" min="11" max="11"/>
    <col hidden="1" width="19.125" customWidth="1" style="18" min="12" max="12"/>
    <col hidden="1" width="19.875" customWidth="1" style="18" min="13" max="13"/>
    <col hidden="1" width="21.875" customWidth="1" style="18" min="14" max="14"/>
    <col hidden="1" width="20.875" customWidth="1" style="18" min="15" max="15"/>
    <col hidden="1" width="19.25" customWidth="1" style="18" min="16" max="16"/>
    <col hidden="1" width="22.375" customWidth="1" style="18" min="17" max="17"/>
    <col hidden="1" width="28.25" customWidth="1" style="18" min="18" max="18"/>
    <col hidden="1" width="29.375" customWidth="1" style="18" min="19" max="19"/>
    <col hidden="1" width="35" customWidth="1" style="18" min="20" max="20"/>
    <col hidden="1" width="31.375" customWidth="1" style="18" min="21" max="21"/>
    <col hidden="1" width="48.25" customWidth="1" style="18" min="22" max="22"/>
    <col width="16.75" customWidth="1" style="18" min="23" max="23"/>
    <col hidden="1" width="9" customWidth="1" style="18" min="24" max="25"/>
    <col width="17" customWidth="1" style="18" min="26" max="26"/>
    <col hidden="1" width="9" customWidth="1" style="18" min="27" max="27"/>
  </cols>
  <sheetData>
    <row r="1" ht="37.5" customHeight="1" s="18">
      <c r="D1" s="0" t="inlineStr">
        <is>
          <t>商品名</t>
        </is>
      </c>
      <c r="E1" s="0" t="inlineStr">
        <is>
          <t>在庫数</t>
        </is>
      </c>
      <c r="F1" s="0" t="inlineStr">
        <is>
          <t>仕入価格</t>
        </is>
      </c>
      <c r="G1" s="0" t="inlineStr">
        <is>
          <t>販売価格</t>
        </is>
      </c>
      <c r="H1" s="0" t="inlineStr">
        <is>
          <t>見込送料1</t>
        </is>
      </c>
      <c r="I1" s="14" t="inlineStr">
        <is>
          <t>見込送料
契約金額</t>
        </is>
      </c>
      <c r="J1" s="5" t="inlineStr">
        <is>
          <t>1.落札手数料
12.35%</t>
        </is>
      </c>
      <c r="K1" s="5" t="inlineStr">
        <is>
          <t>2.海外手数料
0.95%</t>
        </is>
      </c>
      <c r="L1" s="5" t="inlineStr">
        <is>
          <t>3.落札手数料
固定$0.3</t>
        </is>
      </c>
      <c r="M1" s="5" t="inlineStr">
        <is>
          <t>1~3合計の
消費税（10%）</t>
        </is>
      </c>
      <c r="N1" s="5" t="inlineStr">
        <is>
          <t>1~4合計
(eBay全手数料)</t>
        </is>
      </c>
      <c r="O1" s="6" t="inlineStr">
        <is>
          <t>残高</t>
        </is>
      </c>
      <c r="P1" s="5" t="inlineStr">
        <is>
          <t>広告料
2.2%</t>
        </is>
      </c>
      <c r="Q1" s="6" t="inlineStr">
        <is>
          <t>残高（6-7）</t>
        </is>
      </c>
      <c r="R1" s="5" t="inlineStr">
        <is>
          <t>Payoneer為替
手数料2%</t>
        </is>
      </c>
      <c r="S1" s="6" t="inlineStr">
        <is>
          <t>残高（8-9）</t>
        </is>
      </c>
      <c r="T1" s="6" t="inlineStr">
        <is>
          <t>残高</t>
        </is>
      </c>
      <c r="U1" s="5" t="inlineStr">
        <is>
          <t>関税額（予想）
20％想定</t>
        </is>
      </c>
      <c r="V1" s="5" t="inlineStr">
        <is>
          <t>関税込み
最終残高</t>
        </is>
      </c>
      <c r="W1" s="12" t="inlineStr">
        <is>
          <t>利益</t>
        </is>
      </c>
      <c r="X1" s="6" t="inlineStr">
        <is>
          <t>利益率</t>
        </is>
      </c>
      <c r="Y1" s="6" t="inlineStr">
        <is>
          <t>還付金</t>
        </is>
      </c>
      <c r="Z1" s="13" t="inlineStr">
        <is>
          <t>純利益</t>
        </is>
      </c>
      <c r="AA1" s="6" t="inlineStr">
        <is>
          <t>利益率</t>
        </is>
      </c>
      <c r="AB1" s="4" t="inlineStr">
        <is>
          <t>ebay
ページ</t>
        </is>
      </c>
      <c r="AC1" s="4" t="inlineStr">
        <is>
          <t>ebay
相場</t>
        </is>
      </c>
      <c r="AD1" s="0" t="inlineStr">
        <is>
          <t>最安値1</t>
        </is>
      </c>
      <c r="AE1" s="0" t="inlineStr">
        <is>
          <t>最安値2</t>
        </is>
      </c>
      <c r="AF1" s="0" t="inlineStr">
        <is>
          <t>最安値3</t>
        </is>
      </c>
      <c r="AG1" s="0" t="inlineStr">
        <is>
          <t>最安値4</t>
        </is>
      </c>
      <c r="AH1" s="0" t="inlineStr">
        <is>
          <t>最安値5</t>
        </is>
      </c>
      <c r="AI1" s="4" t="inlineStr">
        <is>
          <t>仕入れ先
まとめ→</t>
        </is>
      </c>
      <c r="AJ1" s="0" t="inlineStr">
        <is>
          <t>メルカリ</t>
        </is>
      </c>
      <c r="AK1" s="0" t="inlineStr">
        <is>
          <t>ラクマ</t>
        </is>
      </c>
      <c r="AL1" s="0" t="inlineStr">
        <is>
          <t>楽天市場</t>
        </is>
      </c>
      <c r="AM1" s="0" t="inlineStr">
        <is>
          <t>ヤフオク</t>
        </is>
      </c>
      <c r="AN1" s="4" t="inlineStr">
        <is>
          <t>ヤフー
ｼｮｯﾋﾟﾝｸﾞ</t>
        </is>
      </c>
    </row>
    <row r="2">
      <c r="A2" s="0" t="inlineStr">
        <is>
          <t>usd-jpy</t>
        </is>
      </c>
      <c r="B2" s="0">
        <f>_xlfn.WEBSERVICE("https://api.excelapi.org/currency/rate?pair="&amp;A2)</f>
        <v/>
      </c>
      <c r="C2" s="0" t="n">
        <v>1</v>
      </c>
      <c r="D2" t="inlineStr">
        <is>
          <t>S.H.Figuarts チチ 少女期</t>
        </is>
      </c>
      <c r="F2" s="19" t="n"/>
      <c r="G2" s="20" t="n">
        <v>149</v>
      </c>
      <c r="H2" s="0" t="inlineStr">
        <is>
          <t>Fedex 1.5kg</t>
        </is>
      </c>
      <c r="I2" s="21">
        <f>IFERROR(VLOOKUP(H2,送料!$G$10:$H$28,2,FALSE),"")</f>
        <v/>
      </c>
      <c r="J2" s="22">
        <f>(G2*1.08)*0.1235</f>
        <v/>
      </c>
      <c r="K2" s="22">
        <f>(G2*1.08)*0.0095</f>
        <v/>
      </c>
      <c r="L2" s="22" t="n">
        <v>0.3</v>
      </c>
      <c r="M2" s="22">
        <f>(J2+K2+L2)*0.1</f>
        <v/>
      </c>
      <c r="N2" s="22">
        <f>SUM(J2:M2)</f>
        <v/>
      </c>
      <c r="O2" s="22">
        <f>G2-N2</f>
        <v/>
      </c>
      <c r="P2" s="22">
        <f>G2*0.022</f>
        <v/>
      </c>
      <c r="Q2" s="22">
        <f>O2-P2</f>
        <v/>
      </c>
      <c r="R2" s="22">
        <f>Q2*0.02</f>
        <v/>
      </c>
      <c r="S2" s="22">
        <f>Q2-R2</f>
        <v/>
      </c>
      <c r="T2" s="23">
        <f>$B$2*S2</f>
        <v/>
      </c>
      <c r="U2" s="22">
        <f>((G2*0.15)+4.5)/0.83</f>
        <v/>
      </c>
      <c r="V2" s="23">
        <f>(S2-U2)*$B$2</f>
        <v/>
      </c>
      <c r="W2" s="24">
        <f>IFERROR(V2-F2-I2,"")</f>
        <v/>
      </c>
      <c r="X2" s="9">
        <f>IFERROR(W2/(G2*J2),"")</f>
        <v/>
      </c>
      <c r="Y2" s="23">
        <f>IFERROR(F2*10/110,"")</f>
        <v/>
      </c>
      <c r="Z2" s="25">
        <f>IFERROR(W2+Y2,"")</f>
        <v/>
      </c>
      <c r="AA2" s="9">
        <f>IFERROR(Z2/(G2*J2),"")</f>
        <v/>
      </c>
      <c r="AB2" s="17" t="inlineStr">
        <is>
          <t>https://www.ebay.com/itm/257541221721?_skw=Tamashii+Children&amp;epid=9040929430&amp;itmmeta=01M3PMXAY8T0MBEB09M1TN6B28&amp;hash=item3bf6a72d59:g:z3kAAeSwvtpqG5KA&amp;itmprp=enc%3AAQALAAAA8GfYFPkwiKCW4ZNSs2u11xCWrUzvE%2F6H6IP%2BMpO6h4R3KAfNT3ePjcw33Xlaj2ipyhZCl8eMGuOaTe6OjQKJHLyN0M5X%2F6sn7o5iV734ao9LquPJw9uHPX9p8dJvJTY91EBgCsq%2FsPo8PxamNySQEJO6uhqkWe6c%2FQCIfHg4EsuP%2F9yh7053Zb8L0LrOyY2qv%2Bq0U%2F7%2Fo8IQUcgboXrO6QnhE3lHWYMiCYg2jfxIhzcc4dTXH19stOnzbt920RvXPp0Ibb6dAsZxERs8OLYav4JiyMIrHndYy5722nOv7TTIG4HtdxunzxNEAcAH5Syeow%3D%3D%7Ctkp%3ABk9SR7Sv9dSdaA</t>
        </is>
      </c>
      <c r="AC2" s="17" t="n"/>
      <c r="AD2" s="17" t="n"/>
      <c r="AE2" s="17" t="n"/>
      <c r="AF2" s="17" t="n"/>
      <c r="AG2" s="17" t="n"/>
      <c r="AH2" s="17" t="n"/>
      <c r="AI2" s="17" t="n"/>
      <c r="AJ2" s="17" t="inlineStr">
        <is>
          <t>https://jp.mercari.com/search?keyword=S.H.Figuarts%20%E3%83%81%E3%83%81%20%E5%B0%91%E5%A5%B3%E6%9C%9F&amp;sort=price&amp;order=asc&amp;status=on_sale</t>
        </is>
      </c>
      <c r="AK2" s="17" t="inlineStr">
        <is>
          <t>https://fril.jp/s?query=S.H.Figuarts%20%E3%83%81%E3%83%81%20%E5%B0%91%E5%A5%B3%E6%9C%9F&amp;transaction=selling&amp;sort=sell_price&amp;order=asc</t>
        </is>
      </c>
      <c r="AL2" s="17" t="inlineStr">
        <is>
          <t>https://search.rakuten.co.jp/search/mall/S.H.Figuarts%20%E3%83%81%E3%83%81%20%E5%B0%91%E5%A5%B3%E6%9C%9F/?s=2</t>
        </is>
      </c>
      <c r="AM2" s="17" t="inlineStr">
        <is>
          <t>https://auctions.yahoo.co.jp/search/search?p=S.H.Figuarts%20%E3%83%81%E3%83%81%20%E5%B0%91%E5%A5%B3%E6%9C%9F&amp;s1=cbids&amp;o1=a</t>
        </is>
      </c>
      <c r="AN2" s="17" t="inlineStr">
        <is>
          <t>https://shopping.yahoo.co.jp/search?p=S.H.Figuarts%20%E3%83%81%E3%83%81%20%E5%B0%91%E5%A5%B3%E6%9C%9F&amp;X=2</t>
        </is>
      </c>
      <c r="AO2" s="17" t="n"/>
    </row>
    <row r="3">
      <c r="C3" s="0" t="n">
        <v>2</v>
      </c>
      <c r="D3" t="inlineStr">
        <is>
          <t>S.H.Figuarts 孫悟空 少年期</t>
        </is>
      </c>
      <c r="F3" s="19" t="n"/>
      <c r="G3" s="20" t="n">
        <v>119</v>
      </c>
      <c r="H3" s="0" t="inlineStr">
        <is>
          <t>Fedex 1.5kg</t>
        </is>
      </c>
      <c r="I3" s="21">
        <f>IFERROR(VLOOKUP(H3,送料!$G$10:$H$28,2,FALSE),"")</f>
        <v/>
      </c>
      <c r="J3" s="22">
        <f>(G3*1.08)*0.1235</f>
        <v/>
      </c>
      <c r="K3" s="22">
        <f>(G3*1.08)*0.0095</f>
        <v/>
      </c>
      <c r="L3" s="22" t="n">
        <v>0.3</v>
      </c>
      <c r="M3" s="22">
        <f>(J3+K3+L3)*0.1</f>
        <v/>
      </c>
      <c r="N3" s="22">
        <f>SUM(J3:M3)</f>
        <v/>
      </c>
      <c r="O3" s="22">
        <f>G3-N3</f>
        <v/>
      </c>
      <c r="P3" s="22">
        <f>G3*0.022</f>
        <v/>
      </c>
      <c r="Q3" s="22">
        <f>O3-P3</f>
        <v/>
      </c>
      <c r="R3" s="22">
        <f>Q3*0.02</f>
        <v/>
      </c>
      <c r="S3" s="22">
        <f>Q3-R3</f>
        <v/>
      </c>
      <c r="T3" s="23">
        <f>$B$2*S3</f>
        <v/>
      </c>
      <c r="U3" s="22">
        <f>((G3*0.15)+4.5)/0.83</f>
        <v/>
      </c>
      <c r="V3" s="23">
        <f>(S3-U3)*$B$2</f>
        <v/>
      </c>
      <c r="W3" s="24">
        <f>IFERROR(V3-F3-I3,"")</f>
        <v/>
      </c>
      <c r="X3" s="9">
        <f>IFERROR(W3/(G3*J3),"")</f>
        <v/>
      </c>
      <c r="Y3" s="23">
        <f>IFERROR(F3*10/110,"")</f>
        <v/>
      </c>
      <c r="Z3" s="25">
        <f>IFERROR(W3+Y3,"")</f>
        <v/>
      </c>
      <c r="AA3" s="9">
        <f>IFERROR(Z3/(G3*J3),"")</f>
        <v/>
      </c>
      <c r="AB3" s="17" t="inlineStr">
        <is>
          <t>https://www.ebay.com/itm/137557229227?_skw=Tamashii+Children&amp;itmmeta=01M3PMXAY93JCFX6KN6P87Y2BG&amp;hash=item20070cbeab:g:bXAAAeSwgPtqZ7V3&amp;itmprp=enc%3AAQALAAAA8GfYFPkwiKCW4ZNSs2u11xBtiicrm0UKxGxWVID%2Fw263CIAsJLC%2FS00bJyEQ2OriyxVz6Ya3MfKlKcZK0X%2ByomcAg3LpYCvmFuhU4PhDLyo6za8eR%2FVvzrIyRvhUTeQl9Z%2BuzUNt3Rlr7vkcYehPw8gchnJajOOZPuFCqprqiV1U2eRPeAI7LoXFsv%2BotNScixGJx8SpBqj%2F5J2QVNV1UWeSyU7JiO4pb7nAvK7ItIdHThLYxTT7%2BEZstD7mEATD%2BW6ypPc1MCDMt0lS89xuw6J%2B9PpwQP2SSUzYUslQTzgAm8bW7ENzhv14WJaGqz0WXQ%3D%3D%7Ctkp%3ABk9SR7av9dSdaA</t>
        </is>
      </c>
      <c r="AC3" s="17" t="n"/>
      <c r="AD3" s="17" t="inlineStr">
        <is>
          <t>https://auctions.yahoo.co.jp/jp/auction/b1245998494</t>
        </is>
      </c>
      <c r="AE3" s="17" t="n"/>
      <c r="AF3" s="17" t="n"/>
      <c r="AG3" s="17" t="n"/>
      <c r="AH3" s="17" t="n"/>
      <c r="AI3" s="17" t="n"/>
      <c r="AJ3" s="17" t="inlineStr">
        <is>
          <t>https://jp.mercari.com/search?keyword=S.H.Figuarts%20%E5%AD%AB%E6%82%9F%E7%A9%BA%20%E5%B0%91%E5%B9%B4%E6%9C%9F&amp;sort=price&amp;order=asc&amp;status=on_sale</t>
        </is>
      </c>
      <c r="AK3" s="17" t="inlineStr">
        <is>
          <t>https://fril.jp/s?query=S.H.Figuarts%20%E5%AD%AB%E6%82%9F%E7%A9%BA%20%E5%B0%91%E5%B9%B4%E6%9C%9F&amp;transaction=selling&amp;sort=sell_price&amp;order=asc</t>
        </is>
      </c>
      <c r="AL3" s="17" t="inlineStr">
        <is>
          <t>https://search.rakuten.co.jp/search/mall/S.H.Figuarts%20%E5%AD%AB%E6%82%9F%E7%A9%BA%20%E5%B0%91%E5%B9%B4%E6%9C%9F/?s=2</t>
        </is>
      </c>
      <c r="AM3" s="17" t="inlineStr">
        <is>
          <t>https://auctions.yahoo.co.jp/search/search?p=S.H.Figuarts%20%E5%AD%AB%E6%82%9F%E7%A9%BA%20%E5%B0%91%E5%B9%B4%E6%9C%9F&amp;s1=cbids&amp;o1=a</t>
        </is>
      </c>
      <c r="AN3" s="17" t="inlineStr">
        <is>
          <t>https://shopping.yahoo.co.jp/search?p=S.H.Figuarts%20%E5%AD%AB%E6%82%9F%E7%A9%BA%20%E5%B0%91%E5%B9%B4%E6%9C%9F&amp;X=2</t>
        </is>
      </c>
      <c r="AO3" s="17" t="n"/>
    </row>
    <row r="4">
      <c r="C4" s="0" t="n">
        <v>3</v>
      </c>
      <c r="D4" t="inlineStr">
        <is>
          <t>S.H.Figuarts 孫悟空 少年期</t>
        </is>
      </c>
      <c r="F4" s="19" t="n"/>
      <c r="G4" s="20" t="n">
        <v>109</v>
      </c>
      <c r="H4" s="0" t="inlineStr">
        <is>
          <t>Fedex 1.5kg</t>
        </is>
      </c>
      <c r="I4" s="21">
        <f>IFERROR(VLOOKUP(H4,送料!$G$10:$H$28,2,FALSE),"")</f>
        <v/>
      </c>
      <c r="J4" s="22">
        <f>(G4*1.08)*0.1235</f>
        <v/>
      </c>
      <c r="K4" s="22">
        <f>(G4*1.08)*0.0095</f>
        <v/>
      </c>
      <c r="L4" s="22" t="n">
        <v>0.3</v>
      </c>
      <c r="M4" s="22">
        <f>(J4+K4+L4)*0.1</f>
        <v/>
      </c>
      <c r="N4" s="22">
        <f>SUM(J4:M4)</f>
        <v/>
      </c>
      <c r="O4" s="22">
        <f>G4-N4</f>
        <v/>
      </c>
      <c r="P4" s="22">
        <f>G4*0.022</f>
        <v/>
      </c>
      <c r="Q4" s="22">
        <f>O4-P4</f>
        <v/>
      </c>
      <c r="R4" s="22">
        <f>Q4*0.02</f>
        <v/>
      </c>
      <c r="S4" s="22">
        <f>Q4-R4</f>
        <v/>
      </c>
      <c r="T4" s="23">
        <f>$B$2*S4</f>
        <v/>
      </c>
      <c r="U4" s="22">
        <f>((G4*0.15)+4.5)/0.83</f>
        <v/>
      </c>
      <c r="V4" s="23">
        <f>(S4-U4)*$B$2</f>
        <v/>
      </c>
      <c r="W4" s="24">
        <f>IFERROR(V4-F4-I4,"")</f>
        <v/>
      </c>
      <c r="X4" s="9">
        <f>IFERROR(W4/(G4*J4),"")</f>
        <v/>
      </c>
      <c r="Y4" s="23">
        <f>IFERROR(F4*10/110,"")</f>
        <v/>
      </c>
      <c r="Z4" s="25">
        <f>IFERROR(W4+Y4,"")</f>
        <v/>
      </c>
      <c r="AA4" s="9">
        <f>IFERROR(Z4/(G4*J4),"")</f>
        <v/>
      </c>
      <c r="AB4" s="17" t="inlineStr">
        <is>
          <t>https://www.ebay.com/itm/397497251172?_skw=Tamashii+Children&amp;itmmeta=01M3PMXAY7TPAXAVJT4D106BDT&amp;hash=item5c8caeb564:g:ChUAAeSwfaBpZ8VP&amp;itmprp=enc%3AAQALAAAA8GfYFPkwiKCW4ZNSs2u11xB2fq%2FTcC6aanFiph5rMQouRVmXFiKuT8u4%2FQ9%2F2VcMPnEEbaQMP5to0dkY3ZC2GjyMCCp36LPEuByrllb%2F0kf7HwsGuiDt85vECnKHNl3u2C%2BQWBH8tzgcpLiEdmHZPM0V8G2KmldJsqsuVXmb2T9l98VlPjyEOSlMGDOrj%2Fmol7zWFNCbfJWnmzObn4UlfnvKkH%2BOdNLCFQduQptRWFOO1jawDikO%2FAwg1qdHpLkkWq4Zz9Epu%2BsAIXGRS9J%2F5vkaLgcm9kLDotBbxyXfGarQ35WnUHUxJ2T%2F56XJn2Wozw%3D%3D%7Ctkp%3ABk9SR7Sv9dSdaA</t>
        </is>
      </c>
      <c r="AC4" s="17" t="n"/>
      <c r="AD4" s="17" t="n"/>
      <c r="AE4" s="17" t="n"/>
      <c r="AF4" s="17" t="n"/>
      <c r="AG4" s="17" t="n"/>
      <c r="AH4" s="17" t="n"/>
      <c r="AI4" s="17" t="n"/>
      <c r="AJ4" s="17" t="inlineStr">
        <is>
          <t>https://jp.mercari.com/search?keyword=S.H.Figuarts%20%E5%AD%AB%E6%82%9F%E7%A9%BA%20%E5%B0%91%E5%B9%B4%E6%9C%9F&amp;sort=price&amp;order=asc&amp;status=on_sale</t>
        </is>
      </c>
      <c r="AK4" s="17" t="inlineStr">
        <is>
          <t>https://fril.jp/s?query=S.H.Figuarts%20%E5%AD%AB%E6%82%9F%E7%A9%BA%20%E5%B0%91%E5%B9%B4%E6%9C%9F&amp;transaction=selling&amp;sort=sell_price&amp;order=asc</t>
        </is>
      </c>
      <c r="AL4" s="17" t="inlineStr">
        <is>
          <t>https://search.rakuten.co.jp/search/mall/S.H.Figuarts%20%E5%AD%AB%E6%82%9F%E7%A9%BA%20%E5%B0%91%E5%B9%B4%E6%9C%9F/?s=2</t>
        </is>
      </c>
      <c r="AM4" s="17" t="inlineStr">
        <is>
          <t>https://auctions.yahoo.co.jp/search/search?p=S.H.Figuarts%20%E5%AD%AB%E6%82%9F%E7%A9%BA%20%E5%B0%91%E5%B9%B4%E6%9C%9F&amp;s1=cbids&amp;o1=a</t>
        </is>
      </c>
      <c r="AN4" s="17" t="inlineStr">
        <is>
          <t>https://shopping.yahoo.co.jp/search?p=S.H.Figuarts%20%E5%AD%AB%E6%82%9F%E7%A9%BA%20%E5%B0%91%E5%B9%B4%E6%9C%9F&amp;X=2</t>
        </is>
      </c>
      <c r="AO4" s="17" t="n"/>
    </row>
    <row r="5">
      <c r="C5" s="0" t="n">
        <v>4</v>
      </c>
      <c r="D5" t="inlineStr">
        <is>
          <t>水野純子 TRIAD</t>
        </is>
      </c>
      <c r="F5" s="19" t="n"/>
      <c r="G5" s="20" t="n">
        <v>560</v>
      </c>
      <c r="H5" s="0" t="inlineStr">
        <is>
          <t>Fedex 3.5kg</t>
        </is>
      </c>
      <c r="I5" s="21">
        <f>IFERROR(VLOOKUP(H5,送料!$G$10:$H$28,2,FALSE),"")</f>
        <v/>
      </c>
      <c r="J5" s="22">
        <f>(G5*1.08)*0.1235</f>
        <v/>
      </c>
      <c r="K5" s="22">
        <f>(G5*1.08)*0.0095</f>
        <v/>
      </c>
      <c r="L5" s="22" t="n">
        <v>0.3</v>
      </c>
      <c r="M5" s="22">
        <f>(J5+K5+L5)*0.1</f>
        <v/>
      </c>
      <c r="N5" s="22">
        <f>SUM(J5:M5)</f>
        <v/>
      </c>
      <c r="O5" s="22">
        <f>G5-N5</f>
        <v/>
      </c>
      <c r="P5" s="22">
        <f>G5*0.022</f>
        <v/>
      </c>
      <c r="Q5" s="22">
        <f>O5-P5</f>
        <v/>
      </c>
      <c r="R5" s="22">
        <f>Q5*0.02</f>
        <v/>
      </c>
      <c r="S5" s="22">
        <f>Q5-R5</f>
        <v/>
      </c>
      <c r="T5" s="23">
        <f>$B$2*S5</f>
        <v/>
      </c>
      <c r="U5" s="22">
        <f>((G5*0.15)+4.5)/0.83</f>
        <v/>
      </c>
      <c r="V5" s="23">
        <f>(S5-U5)*$B$2</f>
        <v/>
      </c>
      <c r="W5" s="24">
        <f>IFERROR(V5-F5-I5,"")</f>
        <v/>
      </c>
      <c r="X5" s="9">
        <f>IFERROR(W5/(G5*J5),"")</f>
        <v/>
      </c>
      <c r="Y5" s="23">
        <f>IFERROR(F5*10/110,"")</f>
        <v/>
      </c>
      <c r="Z5" s="25">
        <f>IFERROR(W5+Y5,"")</f>
        <v/>
      </c>
      <c r="AA5" s="9">
        <f>IFERROR(Z5/(G5*J5),"")</f>
        <v/>
      </c>
      <c r="AB5" s="17" t="inlineStr">
        <is>
          <t>https://www.ebay.com/itm/336584550267?nordt=true&amp;orig_cvip=true&amp;rt=nc</t>
        </is>
      </c>
      <c r="AC5" s="17" t="n"/>
      <c r="AD5" s="17" t="n"/>
      <c r="AE5" s="17" t="n"/>
      <c r="AF5" s="17" t="n"/>
      <c r="AG5" s="17" t="n"/>
      <c r="AH5" s="17" t="n"/>
      <c r="AI5" s="17" t="n"/>
      <c r="AJ5" s="17" t="inlineStr">
        <is>
          <t>https://jp.mercari.com/search?keyword=%E6%B0%B4%E9%87%8E%E7%B4%94%E5%AD%90%20TRIAD&amp;sort=price&amp;order=asc&amp;status=on_sale</t>
        </is>
      </c>
      <c r="AK5" s="17" t="inlineStr">
        <is>
          <t>https://fril.jp/s?query=%E6%B0%B4%E9%87%8E%E7%B4%94%E5%AD%90%20TRIAD&amp;transaction=selling&amp;sort=sell_price&amp;order=asc</t>
        </is>
      </c>
      <c r="AL5" s="17" t="inlineStr">
        <is>
          <t>https://search.rakuten.co.jp/search/mall/%E6%B0%B4%E9%87%8E%E7%B4%94%E5%AD%90%20TRIAD/?s=2</t>
        </is>
      </c>
      <c r="AM5" s="17" t="inlineStr">
        <is>
          <t>https://auctions.yahoo.co.jp/search/search?p=%E6%B0%B4%E9%87%8E%E7%B4%94%E5%AD%90%20TRIAD&amp;s1=cbids&amp;o1=a</t>
        </is>
      </c>
      <c r="AN5" s="17" t="inlineStr">
        <is>
          <t>https://shopping.yahoo.co.jp/search?p=%E6%B0%B4%E9%87%8E%E7%B4%94%E5%AD%90%20TRIAD&amp;X=2</t>
        </is>
      </c>
      <c r="AO5" s="17" t="n"/>
    </row>
    <row r="6">
      <c r="C6" s="0" t="n">
        <v>5</v>
      </c>
      <c r="F6" s="19" t="n"/>
      <c r="G6" s="20" t="n"/>
      <c r="I6" s="21">
        <f>IFERROR(VLOOKUP(H6,送料!$G$10:$H$28,2,FALSE),"")</f>
        <v/>
      </c>
      <c r="J6" s="22">
        <f>(G6*1.08)*0.1235</f>
        <v/>
      </c>
      <c r="K6" s="22">
        <f>(G6*1.08)*0.0095</f>
        <v/>
      </c>
      <c r="L6" s="22" t="n">
        <v>0.3</v>
      </c>
      <c r="M6" s="22">
        <f>(J6+K6+L6)*0.1</f>
        <v/>
      </c>
      <c r="N6" s="22">
        <f>SUM(J6:M6)</f>
        <v/>
      </c>
      <c r="O6" s="22">
        <f>G6-N6</f>
        <v/>
      </c>
      <c r="P6" s="22">
        <f>G6*0.022</f>
        <v/>
      </c>
      <c r="Q6" s="22">
        <f>O6-P6</f>
        <v/>
      </c>
      <c r="R6" s="22">
        <f>Q6*0.02</f>
        <v/>
      </c>
      <c r="S6" s="22">
        <f>Q6-R6</f>
        <v/>
      </c>
      <c r="T6" s="23">
        <f>$B$2*S6</f>
        <v/>
      </c>
      <c r="U6" s="22">
        <f>((G6*0.15)+4.5)/0.83</f>
        <v/>
      </c>
      <c r="V6" s="23">
        <f>(S6-U6)*$B$2</f>
        <v/>
      </c>
      <c r="W6" s="24">
        <f>IFERROR(V6-F6-I6,"")</f>
        <v/>
      </c>
      <c r="X6" s="9">
        <f>IFERROR(W6/(G6*J6),"")</f>
        <v/>
      </c>
      <c r="Y6" s="23">
        <f>IFERROR(F6*10/110,"")</f>
        <v/>
      </c>
      <c r="Z6" s="25">
        <f>IFERROR(W6+Y6,"")</f>
        <v/>
      </c>
      <c r="AA6" s="9">
        <f>IFERROR(Z6/(G6*J6),"")</f>
        <v/>
      </c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</row>
    <row r="7">
      <c r="C7" s="0" t="n">
        <v>6</v>
      </c>
      <c r="I7" s="21">
        <f>IFERROR(VLOOKUP(H7,送料!$G$10:$H$28,2,FALSE),"")</f>
        <v/>
      </c>
      <c r="J7" s="22">
        <f>(G7*1.08)*0.1235</f>
        <v/>
      </c>
      <c r="K7" s="22">
        <f>(G7*1.08)*0.0095</f>
        <v/>
      </c>
      <c r="L7" s="22" t="n">
        <v>0.3</v>
      </c>
      <c r="M7" s="22">
        <f>(J7+K7+L7)*0.1</f>
        <v/>
      </c>
      <c r="N7" s="22">
        <f>SUM(J7:M7)</f>
        <v/>
      </c>
      <c r="O7" s="22">
        <f>G7-N7</f>
        <v/>
      </c>
      <c r="P7" s="22">
        <f>G7*0.022</f>
        <v/>
      </c>
      <c r="Q7" s="22">
        <f>O7-P7</f>
        <v/>
      </c>
      <c r="R7" s="22">
        <f>Q7*0.02</f>
        <v/>
      </c>
      <c r="S7" s="22">
        <f>Q7-R7</f>
        <v/>
      </c>
      <c r="T7" s="23">
        <f>$B$2*S7</f>
        <v/>
      </c>
      <c r="U7" s="22">
        <f>((G7*0.15)+4.5)/0.83</f>
        <v/>
      </c>
      <c r="V7" s="23">
        <f>(S7-U7)*$B$2</f>
        <v/>
      </c>
      <c r="W7" s="24">
        <f>IFERROR(V7-F7-I7,"")</f>
        <v/>
      </c>
      <c r="X7" s="9">
        <f>IFERROR(W7/(G7*J7),"")</f>
        <v/>
      </c>
      <c r="Y7" s="23">
        <f>IFERROR(F7*10/110,"")</f>
        <v/>
      </c>
      <c r="Z7" s="25">
        <f>IFERROR(W7+Y7,"")</f>
        <v/>
      </c>
      <c r="AA7" s="9">
        <f>IFERROR(Z7/(G7*J7),"")</f>
        <v/>
      </c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</row>
    <row r="8">
      <c r="C8" s="0" t="n">
        <v>7</v>
      </c>
      <c r="I8" s="21">
        <f>IFERROR(VLOOKUP(H8,送料!$G$10:$H$28,2,FALSE),"")</f>
        <v/>
      </c>
      <c r="J8" s="22">
        <f>(G8*1.08)*0.1235</f>
        <v/>
      </c>
      <c r="K8" s="22">
        <f>(G8*1.08)*0.0095</f>
        <v/>
      </c>
      <c r="L8" s="22" t="n">
        <v>0.3</v>
      </c>
      <c r="M8" s="22">
        <f>(J8+K8+L8)*0.1</f>
        <v/>
      </c>
      <c r="N8" s="22">
        <f>SUM(J8:M8)</f>
        <v/>
      </c>
      <c r="O8" s="22">
        <f>G8-N8</f>
        <v/>
      </c>
      <c r="P8" s="22">
        <f>G8*0.022</f>
        <v/>
      </c>
      <c r="Q8" s="22">
        <f>O8-P8</f>
        <v/>
      </c>
      <c r="R8" s="22">
        <f>Q8*0.02</f>
        <v/>
      </c>
      <c r="S8" s="22">
        <f>Q8-R8</f>
        <v/>
      </c>
      <c r="T8" s="23">
        <f>$B$2*S8</f>
        <v/>
      </c>
      <c r="U8" s="22">
        <f>((G8*0.15)+4.5)/0.83</f>
        <v/>
      </c>
      <c r="V8" s="23">
        <f>(S8-U8)*$B$2</f>
        <v/>
      </c>
      <c r="W8" s="24">
        <f>IFERROR(V8-F8-I8,"")</f>
        <v/>
      </c>
      <c r="X8" s="9">
        <f>IFERROR(W8/(G8*J8),"")</f>
        <v/>
      </c>
      <c r="Y8" s="23">
        <f>IFERROR(F8*10/110,"")</f>
        <v/>
      </c>
      <c r="Z8" s="25">
        <f>IFERROR(W8+Y8,"")</f>
        <v/>
      </c>
      <c r="AA8" s="9">
        <f>IFERROR(Z8/(G8*J8),"")</f>
        <v/>
      </c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</row>
    <row r="9">
      <c r="C9" s="0" t="n">
        <v>8</v>
      </c>
      <c r="I9" s="21">
        <f>IFERROR(VLOOKUP(H9,送料!$G$10:$H$28,2,FALSE),"")</f>
        <v/>
      </c>
      <c r="J9" s="22">
        <f>(G9*1.08)*0.1235</f>
        <v/>
      </c>
      <c r="K9" s="22">
        <f>(G9*1.08)*0.0095</f>
        <v/>
      </c>
      <c r="L9" s="22" t="n">
        <v>0.3</v>
      </c>
      <c r="M9" s="22">
        <f>(J9+K9+L9)*0.1</f>
        <v/>
      </c>
      <c r="N9" s="22">
        <f>SUM(J9:M9)</f>
        <v/>
      </c>
      <c r="O9" s="22">
        <f>G9-N9</f>
        <v/>
      </c>
      <c r="P9" s="22">
        <f>G9*0.022</f>
        <v/>
      </c>
      <c r="Q9" s="22">
        <f>O9-P9</f>
        <v/>
      </c>
      <c r="R9" s="22">
        <f>Q9*0.02</f>
        <v/>
      </c>
      <c r="S9" s="22">
        <f>Q9-R9</f>
        <v/>
      </c>
      <c r="T9" s="23">
        <f>$B$2*S9</f>
        <v/>
      </c>
      <c r="U9" s="22">
        <f>((G9*0.15)+4.5)/0.83</f>
        <v/>
      </c>
      <c r="V9" s="23">
        <f>(S9-U9)*$B$2</f>
        <v/>
      </c>
      <c r="W9" s="24">
        <f>IFERROR(V9-F9-I9,"")</f>
        <v/>
      </c>
      <c r="X9" s="9">
        <f>IFERROR(W9/(G9*J9),"")</f>
        <v/>
      </c>
      <c r="Y9" s="23">
        <f>IFERROR(F9*10/110,"")</f>
        <v/>
      </c>
      <c r="Z9" s="25">
        <f>IFERROR(W9+Y9,"")</f>
        <v/>
      </c>
      <c r="AA9" s="9">
        <f>IFERROR(Z9/(G9*J9),"")</f>
        <v/>
      </c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</row>
    <row r="10">
      <c r="C10" s="0" t="n">
        <v>9</v>
      </c>
      <c r="F10" s="3" t="n"/>
      <c r="I10" s="21">
        <f>IFERROR(VLOOKUP(H10,送料!$G$10:$H$28,2,FALSE),"")</f>
        <v/>
      </c>
      <c r="J10" s="22">
        <f>(G10*1.08)*0.1235</f>
        <v/>
      </c>
      <c r="K10" s="22">
        <f>(G10*1.08)*0.0095</f>
        <v/>
      </c>
      <c r="L10" s="22" t="n">
        <v>0.3</v>
      </c>
      <c r="M10" s="22">
        <f>(J10+K10+L10)*0.1</f>
        <v/>
      </c>
      <c r="N10" s="22">
        <f>SUM(J10:M10)</f>
        <v/>
      </c>
      <c r="O10" s="22">
        <f>G10-N10</f>
        <v/>
      </c>
      <c r="P10" s="22">
        <f>G10*0.022</f>
        <v/>
      </c>
      <c r="Q10" s="22">
        <f>O10-P10</f>
        <v/>
      </c>
      <c r="R10" s="22">
        <f>Q10*0.02</f>
        <v/>
      </c>
      <c r="S10" s="22">
        <f>Q10-R10</f>
        <v/>
      </c>
      <c r="T10" s="23">
        <f>$B$2*S10</f>
        <v/>
      </c>
      <c r="U10" s="22">
        <f>((G10*0.15)+4.5)/0.83</f>
        <v/>
      </c>
      <c r="V10" s="23">
        <f>(S10-U10)*$B$2</f>
        <v/>
      </c>
      <c r="W10" s="24">
        <f>IFERROR(V10-F10-I10,"")</f>
        <v/>
      </c>
      <c r="X10" s="9">
        <f>IFERROR(W10/(G10*J10),"")</f>
        <v/>
      </c>
      <c r="Y10" s="23">
        <f>IFERROR(F10*10/110,"")</f>
        <v/>
      </c>
      <c r="Z10" s="25">
        <f>IFERROR(W10+Y10,"")</f>
        <v/>
      </c>
      <c r="AA10" s="9">
        <f>IFERROR(Z10/(G10*J10),"")</f>
        <v/>
      </c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</row>
    <row r="11">
      <c r="C11" s="0" t="n">
        <v>10</v>
      </c>
      <c r="I11" s="21">
        <f>IFERROR(VLOOKUP(H11,送料!$G$10:$H$28,2,FALSE),"")</f>
        <v/>
      </c>
      <c r="J11" s="22">
        <f>(G11*1.08)*0.1235</f>
        <v/>
      </c>
      <c r="K11" s="22">
        <f>(G11*1.08)*0.0095</f>
        <v/>
      </c>
      <c r="L11" s="22" t="n">
        <v>0.3</v>
      </c>
      <c r="M11" s="22">
        <f>(J11+K11+L11)*0.1</f>
        <v/>
      </c>
      <c r="N11" s="22">
        <f>SUM(J11:M11)</f>
        <v/>
      </c>
      <c r="O11" s="22">
        <f>G11-N11</f>
        <v/>
      </c>
      <c r="P11" s="22">
        <f>G11*0.022</f>
        <v/>
      </c>
      <c r="Q11" s="22">
        <f>O11-P11</f>
        <v/>
      </c>
      <c r="R11" s="22">
        <f>Q11*0.02</f>
        <v/>
      </c>
      <c r="S11" s="22">
        <f>Q11-R11</f>
        <v/>
      </c>
      <c r="T11" s="23">
        <f>$B$2*S11</f>
        <v/>
      </c>
      <c r="U11" s="22">
        <f>((G11*0.15)+4.5)/0.83</f>
        <v/>
      </c>
      <c r="V11" s="23">
        <f>(S11-U11)*$B$2</f>
        <v/>
      </c>
      <c r="W11" s="24">
        <f>IFERROR(V11-F11-I11,"")</f>
        <v/>
      </c>
      <c r="X11" s="9">
        <f>IFERROR(W11/(G11*J11),"")</f>
        <v/>
      </c>
      <c r="Y11" s="23">
        <f>IFERROR(F11*10/110,"")</f>
        <v/>
      </c>
      <c r="Z11" s="25">
        <f>IFERROR(W11+Y11,"")</f>
        <v/>
      </c>
      <c r="AA11" s="9">
        <f>IFERROR(Z11/(G11*J11),"")</f>
        <v/>
      </c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</row>
    <row r="12">
      <c r="C12" s="0" t="n">
        <v>11</v>
      </c>
      <c r="I12" s="21">
        <f>IFERROR(VLOOKUP(H12,送料!$G$10:$H$28,2,FALSE),"")</f>
        <v/>
      </c>
      <c r="J12" s="22">
        <f>(G12*1.08)*0.1235</f>
        <v/>
      </c>
      <c r="K12" s="22">
        <f>(G12*1.08)*0.0095</f>
        <v/>
      </c>
      <c r="L12" s="22" t="n">
        <v>0.3</v>
      </c>
      <c r="M12" s="22">
        <f>(J12+K12+L12)*0.1</f>
        <v/>
      </c>
      <c r="N12" s="22">
        <f>SUM(J12:M12)</f>
        <v/>
      </c>
      <c r="O12" s="22">
        <f>G12-N12</f>
        <v/>
      </c>
      <c r="P12" s="22">
        <f>G12*0.022</f>
        <v/>
      </c>
      <c r="Q12" s="22">
        <f>O12-P12</f>
        <v/>
      </c>
      <c r="R12" s="22">
        <f>Q12*0.02</f>
        <v/>
      </c>
      <c r="S12" s="22">
        <f>Q12-R12</f>
        <v/>
      </c>
      <c r="T12" s="23">
        <f>$B$2*S12</f>
        <v/>
      </c>
      <c r="U12" s="22">
        <f>((G12*0.15)+4.5)/0.83</f>
        <v/>
      </c>
      <c r="V12" s="23">
        <f>(S12-U12)*$B$2</f>
        <v/>
      </c>
      <c r="W12" s="24">
        <f>IFERROR(V12-F12-I12,"")</f>
        <v/>
      </c>
      <c r="X12" s="9">
        <f>IFERROR(W12/(G12*J12),"")</f>
        <v/>
      </c>
      <c r="Y12" s="23">
        <f>IFERROR(F12*10/110,"")</f>
        <v/>
      </c>
      <c r="Z12" s="25">
        <f>IFERROR(W12+Y12,"")</f>
        <v/>
      </c>
      <c r="AA12" s="9">
        <f>IFERROR(Z12/(G12*J12),"")</f>
        <v/>
      </c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</row>
    <row r="13">
      <c r="C13" s="0" t="n">
        <v>12</v>
      </c>
      <c r="I13" s="21">
        <f>IFERROR(VLOOKUP(H13,送料!$G$10:$H$28,2,FALSE),"")</f>
        <v/>
      </c>
      <c r="J13" s="22">
        <f>(G13*1.08)*0.1235</f>
        <v/>
      </c>
      <c r="K13" s="22">
        <f>(G13*1.08)*0.0095</f>
        <v/>
      </c>
      <c r="L13" s="22" t="n">
        <v>0.3</v>
      </c>
      <c r="M13" s="22">
        <f>(J13+K13+L13)*0.1</f>
        <v/>
      </c>
      <c r="N13" s="22">
        <f>SUM(J13:M13)</f>
        <v/>
      </c>
      <c r="O13" s="22">
        <f>G13-N13</f>
        <v/>
      </c>
      <c r="P13" s="22">
        <f>G13*0.022</f>
        <v/>
      </c>
      <c r="Q13" s="22">
        <f>O13-P13</f>
        <v/>
      </c>
      <c r="R13" s="22">
        <f>Q13*0.02</f>
        <v/>
      </c>
      <c r="S13" s="22">
        <f>Q13-R13</f>
        <v/>
      </c>
      <c r="T13" s="23">
        <f>$B$2*S13</f>
        <v/>
      </c>
      <c r="U13" s="22">
        <f>((G13*0.15)+4.5)/0.83</f>
        <v/>
      </c>
      <c r="V13" s="23">
        <f>(S13-U13)*$B$2</f>
        <v/>
      </c>
      <c r="W13" s="24">
        <f>IFERROR(V13-F13-I13,"")</f>
        <v/>
      </c>
      <c r="X13" s="9">
        <f>IFERROR(W13/(G13*J13),"")</f>
        <v/>
      </c>
      <c r="Y13" s="23">
        <f>IFERROR(F13*10/110,"")</f>
        <v/>
      </c>
      <c r="Z13" s="25">
        <f>IFERROR(W13+Y13,"")</f>
        <v/>
      </c>
      <c r="AA13" s="9">
        <f>IFERROR(Z13/(G13*J13),"")</f>
        <v/>
      </c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</row>
    <row r="14">
      <c r="C14" s="0" t="n">
        <v>13</v>
      </c>
      <c r="I14" s="21">
        <f>IFERROR(VLOOKUP(H14,送料!$G$10:$H$28,2,FALSE),"")</f>
        <v/>
      </c>
      <c r="J14" s="22">
        <f>(G14*1.08)*0.1235</f>
        <v/>
      </c>
      <c r="K14" s="22">
        <f>(G14*1.08)*0.0095</f>
        <v/>
      </c>
      <c r="L14" s="22" t="n">
        <v>0.3</v>
      </c>
      <c r="M14" s="22">
        <f>(J14+K14+L14)*0.1</f>
        <v/>
      </c>
      <c r="N14" s="22">
        <f>SUM(J14:M14)</f>
        <v/>
      </c>
      <c r="O14" s="22">
        <f>G14-N14</f>
        <v/>
      </c>
      <c r="P14" s="22">
        <f>G14*0.022</f>
        <v/>
      </c>
      <c r="Q14" s="22">
        <f>O14-P14</f>
        <v/>
      </c>
      <c r="R14" s="22">
        <f>Q14*0.02</f>
        <v/>
      </c>
      <c r="S14" s="22">
        <f>Q14-R14</f>
        <v/>
      </c>
      <c r="T14" s="23">
        <f>$B$2*S14</f>
        <v/>
      </c>
      <c r="U14" s="22">
        <f>((G14*0.15)+4.5)/0.83</f>
        <v/>
      </c>
      <c r="V14" s="23">
        <f>(S14-U14)*$B$2</f>
        <v/>
      </c>
      <c r="W14" s="24">
        <f>IFERROR(V14-F14-I14,"")</f>
        <v/>
      </c>
      <c r="X14" s="9">
        <f>IFERROR(W14/(G14*J14),"")</f>
        <v/>
      </c>
      <c r="Y14" s="23">
        <f>IFERROR(F14*10/110,"")</f>
        <v/>
      </c>
      <c r="Z14" s="25">
        <f>IFERROR(W14+Y14,"")</f>
        <v/>
      </c>
      <c r="AA14" s="9">
        <f>IFERROR(Z14/(G14*J14),"")</f>
        <v/>
      </c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</row>
    <row r="15">
      <c r="C15" s="0" t="n">
        <v>14</v>
      </c>
      <c r="I15" s="21">
        <f>IFERROR(VLOOKUP(H15,送料!$G$10:$H$28,2,FALSE),"")</f>
        <v/>
      </c>
      <c r="J15" s="22">
        <f>(G15*1.08)*0.1235</f>
        <v/>
      </c>
      <c r="K15" s="22">
        <f>(G15*1.08)*0.0095</f>
        <v/>
      </c>
      <c r="L15" s="22" t="n">
        <v>0.3</v>
      </c>
      <c r="M15" s="22">
        <f>(J15+K15+L15)*0.1</f>
        <v/>
      </c>
      <c r="N15" s="22">
        <f>SUM(J15:M15)</f>
        <v/>
      </c>
      <c r="O15" s="22">
        <f>G15-N15</f>
        <v/>
      </c>
      <c r="P15" s="22">
        <f>G15*0.022</f>
        <v/>
      </c>
      <c r="Q15" s="22">
        <f>O15-P15</f>
        <v/>
      </c>
      <c r="R15" s="22">
        <f>Q15*0.02</f>
        <v/>
      </c>
      <c r="S15" s="22">
        <f>Q15-R15</f>
        <v/>
      </c>
      <c r="T15" s="23">
        <f>$B$2*S15</f>
        <v/>
      </c>
      <c r="U15" s="22">
        <f>((G15*0.15)+4.5)/0.83</f>
        <v/>
      </c>
      <c r="V15" s="23">
        <f>(S15-U15)*$B$2</f>
        <v/>
      </c>
      <c r="W15" s="24">
        <f>IFERROR(V15-F15-I15,"")</f>
        <v/>
      </c>
      <c r="X15" s="9">
        <f>IFERROR(W15/(G15*J15),"")</f>
        <v/>
      </c>
      <c r="Y15" s="23">
        <f>IFERROR(F15*10/110,"")</f>
        <v/>
      </c>
      <c r="Z15" s="25">
        <f>IFERROR(W15+Y15,"")</f>
        <v/>
      </c>
      <c r="AA15" s="9">
        <f>IFERROR(Z15/(G15*J15),"")</f>
        <v/>
      </c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</row>
    <row r="16">
      <c r="C16" s="0" t="n">
        <v>15</v>
      </c>
      <c r="I16" s="21">
        <f>IFERROR(VLOOKUP(H16,送料!$G$10:$H$28,2,FALSE),"")</f>
        <v/>
      </c>
      <c r="J16" s="22">
        <f>(G16*1.08)*0.1235</f>
        <v/>
      </c>
      <c r="K16" s="22">
        <f>(G16*1.08)*0.0095</f>
        <v/>
      </c>
      <c r="L16" s="22" t="n">
        <v>0.3</v>
      </c>
      <c r="M16" s="22">
        <f>(J16+K16+L16)*0.1</f>
        <v/>
      </c>
      <c r="N16" s="22">
        <f>SUM(J16:M16)</f>
        <v/>
      </c>
      <c r="O16" s="22">
        <f>G16-N16</f>
        <v/>
      </c>
      <c r="P16" s="22">
        <f>G16*0.022</f>
        <v/>
      </c>
      <c r="Q16" s="22">
        <f>O16-P16</f>
        <v/>
      </c>
      <c r="R16" s="22">
        <f>Q16*0.02</f>
        <v/>
      </c>
      <c r="S16" s="22">
        <f>Q16-R16</f>
        <v/>
      </c>
      <c r="T16" s="23">
        <f>$B$2*S16</f>
        <v/>
      </c>
      <c r="U16" s="22">
        <f>((G16*0.15)+4.5)/0.83</f>
        <v/>
      </c>
      <c r="V16" s="23">
        <f>(S16-U16)*$B$2</f>
        <v/>
      </c>
      <c r="W16" s="24">
        <f>IFERROR(V16-F16-I16,"")</f>
        <v/>
      </c>
      <c r="X16" s="9">
        <f>IFERROR(W16/(G16*J16),"")</f>
        <v/>
      </c>
      <c r="Y16" s="23">
        <f>IFERROR(F16*10/110,"")</f>
        <v/>
      </c>
      <c r="Z16" s="25">
        <f>IFERROR(W16+Y16,"")</f>
        <v/>
      </c>
      <c r="AA16" s="9">
        <f>IFERROR(Z16/(G16*J16),"")</f>
        <v/>
      </c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</row>
    <row r="17">
      <c r="C17" s="0" t="n">
        <v>16</v>
      </c>
      <c r="I17" s="21">
        <f>IFERROR(VLOOKUP(H17,送料!$G$10:$H$28,2,FALSE),"")</f>
        <v/>
      </c>
      <c r="J17" s="22">
        <f>(G17*1.08)*0.1235</f>
        <v/>
      </c>
      <c r="K17" s="22">
        <f>(G17*1.08)*0.0095</f>
        <v/>
      </c>
      <c r="L17" s="22" t="n">
        <v>0.3</v>
      </c>
      <c r="M17" s="22">
        <f>(J17+K17+L17)*0.1</f>
        <v/>
      </c>
      <c r="N17" s="22">
        <f>SUM(J17:M17)</f>
        <v/>
      </c>
      <c r="O17" s="22">
        <f>G17-N17</f>
        <v/>
      </c>
      <c r="P17" s="22">
        <f>G17*0.022</f>
        <v/>
      </c>
      <c r="Q17" s="22">
        <f>O17-P17</f>
        <v/>
      </c>
      <c r="R17" s="22">
        <f>Q17*0.02</f>
        <v/>
      </c>
      <c r="S17" s="22">
        <f>Q17-R17</f>
        <v/>
      </c>
      <c r="T17" s="23">
        <f>$B$2*S17</f>
        <v/>
      </c>
      <c r="U17" s="22">
        <f>((G17*0.15)+4.5)/0.83</f>
        <v/>
      </c>
      <c r="V17" s="23">
        <f>(S17-U17)*$B$2</f>
        <v/>
      </c>
      <c r="W17" s="24">
        <f>IFERROR(V17-F17-I17,"")</f>
        <v/>
      </c>
      <c r="X17" s="9">
        <f>IFERROR(W17/(G17*J17),"")</f>
        <v/>
      </c>
      <c r="Y17" s="23">
        <f>IFERROR(F17*10/110,"")</f>
        <v/>
      </c>
      <c r="Z17" s="25">
        <f>IFERROR(W17+Y17,"")</f>
        <v/>
      </c>
      <c r="AA17" s="9">
        <f>IFERROR(Z17/(G17*J17),"")</f>
        <v/>
      </c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</row>
    <row r="18">
      <c r="C18" s="0" t="n">
        <v>17</v>
      </c>
      <c r="I18" s="21">
        <f>IFERROR(VLOOKUP(H18,送料!$G$10:$H$28,2,FALSE),"")</f>
        <v/>
      </c>
      <c r="J18" s="22">
        <f>(G18*1.08)*0.1235</f>
        <v/>
      </c>
      <c r="K18" s="22">
        <f>(G18*1.08)*0.0095</f>
        <v/>
      </c>
      <c r="L18" s="22" t="n">
        <v>0.3</v>
      </c>
      <c r="M18" s="22">
        <f>(J18+K18+L18)*0.1</f>
        <v/>
      </c>
      <c r="N18" s="22">
        <f>SUM(J18:M18)</f>
        <v/>
      </c>
      <c r="O18" s="22">
        <f>G18-N18</f>
        <v/>
      </c>
      <c r="P18" s="22">
        <f>G18*0.022</f>
        <v/>
      </c>
      <c r="Q18" s="22">
        <f>O18-P18</f>
        <v/>
      </c>
      <c r="R18" s="22">
        <f>Q18*0.02</f>
        <v/>
      </c>
      <c r="S18" s="22">
        <f>Q18-R18</f>
        <v/>
      </c>
      <c r="T18" s="23">
        <f>$B$2*S18</f>
        <v/>
      </c>
      <c r="U18" s="22">
        <f>((G18*0.15)+4.5)/0.83</f>
        <v/>
      </c>
      <c r="V18" s="23">
        <f>(S18-U18)*$B$2</f>
        <v/>
      </c>
      <c r="W18" s="24">
        <f>IFERROR(V18-F18-I18,"")</f>
        <v/>
      </c>
      <c r="X18" s="9">
        <f>IFERROR(W18/(G18*J18),"")</f>
        <v/>
      </c>
      <c r="Y18" s="23">
        <f>IFERROR(F18*10/110,"")</f>
        <v/>
      </c>
      <c r="Z18" s="25">
        <f>IFERROR(W18+Y18,"")</f>
        <v/>
      </c>
      <c r="AA18" s="9">
        <f>IFERROR(Z18/(G18*J18),"")</f>
        <v/>
      </c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</row>
    <row r="19">
      <c r="C19" s="0" t="n">
        <v>18</v>
      </c>
      <c r="I19" s="21">
        <f>IFERROR(VLOOKUP(H19,送料!$G$10:$H$28,2,FALSE),"")</f>
        <v/>
      </c>
      <c r="J19" s="22">
        <f>(G19*1.08)*0.1235</f>
        <v/>
      </c>
      <c r="K19" s="22">
        <f>(G19*1.08)*0.0095</f>
        <v/>
      </c>
      <c r="L19" s="22" t="n">
        <v>0.3</v>
      </c>
      <c r="M19" s="22">
        <f>(J19+K19+L19)*0.1</f>
        <v/>
      </c>
      <c r="N19" s="22">
        <f>SUM(J19:M19)</f>
        <v/>
      </c>
      <c r="O19" s="22">
        <f>G19-N19</f>
        <v/>
      </c>
      <c r="P19" s="22">
        <f>G19*0.022</f>
        <v/>
      </c>
      <c r="Q19" s="22">
        <f>O19-P19</f>
        <v/>
      </c>
      <c r="R19" s="22">
        <f>Q19*0.02</f>
        <v/>
      </c>
      <c r="S19" s="22">
        <f>Q19-R19</f>
        <v/>
      </c>
      <c r="T19" s="23">
        <f>$B$2*S19</f>
        <v/>
      </c>
      <c r="U19" s="22">
        <f>((G19*0.15)+4.5)/0.83</f>
        <v/>
      </c>
      <c r="V19" s="23">
        <f>(S19-U19)*$B$2</f>
        <v/>
      </c>
      <c r="W19" s="24">
        <f>IFERROR(V19-F19-I19,"")</f>
        <v/>
      </c>
      <c r="X19" s="9">
        <f>IFERROR(W19/(G19*J19),"")</f>
        <v/>
      </c>
      <c r="Y19" s="23">
        <f>IFERROR(F19*10/110,"")</f>
        <v/>
      </c>
      <c r="Z19" s="25">
        <f>IFERROR(W19+Y19,"")</f>
        <v/>
      </c>
      <c r="AA19" s="9">
        <f>IFERROR(Z19/(G19*J19),"")</f>
        <v/>
      </c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</row>
    <row r="20">
      <c r="C20" s="0" t="n">
        <v>19</v>
      </c>
      <c r="I20" s="21">
        <f>IFERROR(VLOOKUP(H20,送料!$G$10:$H$28,2,FALSE),"")</f>
        <v/>
      </c>
      <c r="J20" s="22">
        <f>(G20*1.08)*0.1235</f>
        <v/>
      </c>
      <c r="K20" s="22">
        <f>(G20*1.08)*0.0095</f>
        <v/>
      </c>
      <c r="L20" s="22" t="n">
        <v>0.3</v>
      </c>
      <c r="M20" s="22">
        <f>(J20+K20+L20)*0.1</f>
        <v/>
      </c>
      <c r="N20" s="22">
        <f>SUM(J20:M20)</f>
        <v/>
      </c>
      <c r="O20" s="22">
        <f>G20-N20</f>
        <v/>
      </c>
      <c r="P20" s="22">
        <f>G20*0.022</f>
        <v/>
      </c>
      <c r="Q20" s="22">
        <f>O20-P20</f>
        <v/>
      </c>
      <c r="R20" s="22">
        <f>Q20*0.02</f>
        <v/>
      </c>
      <c r="S20" s="22">
        <f>Q20-R20</f>
        <v/>
      </c>
      <c r="T20" s="23">
        <f>$B$2*S20</f>
        <v/>
      </c>
      <c r="U20" s="22">
        <f>((G20*0.15)+4.5)/0.83</f>
        <v/>
      </c>
      <c r="V20" s="23">
        <f>(S20-U20)*$B$2</f>
        <v/>
      </c>
      <c r="W20" s="24">
        <f>IFERROR(V20-F20-I20,"")</f>
        <v/>
      </c>
      <c r="X20" s="9">
        <f>IFERROR(W20/(G20*J20),"")</f>
        <v/>
      </c>
      <c r="Y20" s="23">
        <f>IFERROR(F20*10/110,"")</f>
        <v/>
      </c>
      <c r="Z20" s="25">
        <f>IFERROR(W20+Y20,"")</f>
        <v/>
      </c>
      <c r="AA20" s="9">
        <f>IFERROR(Z20/(G20*J20),"")</f>
        <v/>
      </c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</row>
    <row r="21">
      <c r="C21" s="0" t="n">
        <v>20</v>
      </c>
      <c r="I21" s="21">
        <f>IFERROR(VLOOKUP(H21,送料!$G$10:$H$28,2,FALSE),"")</f>
        <v/>
      </c>
      <c r="J21" s="22">
        <f>(G21*1.08)*0.1235</f>
        <v/>
      </c>
      <c r="K21" s="22">
        <f>(G21*1.08)*0.0095</f>
        <v/>
      </c>
      <c r="L21" s="22" t="n">
        <v>0.3</v>
      </c>
      <c r="M21" s="22">
        <f>(J21+K21+L21)*0.1</f>
        <v/>
      </c>
      <c r="N21" s="22">
        <f>SUM(J21:M21)</f>
        <v/>
      </c>
      <c r="O21" s="22">
        <f>G21-N21</f>
        <v/>
      </c>
      <c r="P21" s="22">
        <f>G21*0.022</f>
        <v/>
      </c>
      <c r="Q21" s="22">
        <f>O21-P21</f>
        <v/>
      </c>
      <c r="R21" s="22">
        <f>Q21*0.02</f>
        <v/>
      </c>
      <c r="S21" s="22">
        <f>Q21-R21</f>
        <v/>
      </c>
      <c r="T21" s="23">
        <f>$B$2*S21</f>
        <v/>
      </c>
      <c r="U21" s="22">
        <f>((G21*0.15)+4.5)/0.83</f>
        <v/>
      </c>
      <c r="V21" s="23">
        <f>(S21-U21)*$B$2</f>
        <v/>
      </c>
      <c r="W21" s="24">
        <f>IFERROR(V21-F21-I21,"")</f>
        <v/>
      </c>
      <c r="X21" s="9">
        <f>IFERROR(W21/(G21*J21),"")</f>
        <v/>
      </c>
      <c r="Y21" s="23">
        <f>IFERROR(F21*10/110,"")</f>
        <v/>
      </c>
      <c r="Z21" s="25">
        <f>IFERROR(W21+Y21,"")</f>
        <v/>
      </c>
      <c r="AA21" s="9">
        <f>IFERROR(Z21/(G21*J21),"")</f>
        <v/>
      </c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</row>
    <row r="22">
      <c r="C22" s="0" t="n">
        <v>21</v>
      </c>
      <c r="I22" s="21">
        <f>IFERROR(VLOOKUP(H22,送料!$G$10:$H$28,2,FALSE),"")</f>
        <v/>
      </c>
      <c r="J22" s="22">
        <f>(G22*1.08)*0.1235</f>
        <v/>
      </c>
      <c r="K22" s="22">
        <f>(G22*1.08)*0.0095</f>
        <v/>
      </c>
      <c r="L22" s="22" t="n">
        <v>0.3</v>
      </c>
      <c r="M22" s="22">
        <f>(J22+K22+L22)*0.1</f>
        <v/>
      </c>
      <c r="N22" s="22">
        <f>SUM(J22:M22)</f>
        <v/>
      </c>
      <c r="O22" s="22">
        <f>G22-N22</f>
        <v/>
      </c>
      <c r="P22" s="22">
        <f>G22*0.022</f>
        <v/>
      </c>
      <c r="Q22" s="22">
        <f>O22-P22</f>
        <v/>
      </c>
      <c r="R22" s="22">
        <f>Q22*0.02</f>
        <v/>
      </c>
      <c r="S22" s="22">
        <f>Q22-R22</f>
        <v/>
      </c>
      <c r="T22" s="23">
        <f>$B$2*S22</f>
        <v/>
      </c>
      <c r="U22" s="22">
        <f>((G22*0.15)+4.5)/0.83</f>
        <v/>
      </c>
      <c r="V22" s="23">
        <f>(S22-U22)*$B$2</f>
        <v/>
      </c>
      <c r="W22" s="24">
        <f>IFERROR(V22-F22-I22,"")</f>
        <v/>
      </c>
      <c r="X22" s="9">
        <f>IFERROR(W22/(G22*J22),"")</f>
        <v/>
      </c>
      <c r="Y22" s="23">
        <f>IFERROR(F22*10/110,"")</f>
        <v/>
      </c>
      <c r="Z22" s="25">
        <f>IFERROR(W22+Y22,"")</f>
        <v/>
      </c>
      <c r="AA22" s="9">
        <f>IFERROR(Z22/(G22*J22),"")</f>
        <v/>
      </c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</row>
    <row r="23">
      <c r="C23" s="0" t="n">
        <v>22</v>
      </c>
      <c r="I23" s="21">
        <f>IFERROR(VLOOKUP(H23,送料!$G$10:$H$28,2,FALSE),"")</f>
        <v/>
      </c>
      <c r="J23" s="22">
        <f>(G23*1.08)*0.1235</f>
        <v/>
      </c>
      <c r="K23" s="22">
        <f>(G23*1.08)*0.0095</f>
        <v/>
      </c>
      <c r="L23" s="22" t="n">
        <v>0.3</v>
      </c>
      <c r="M23" s="22">
        <f>(J23+K23+L23)*0.1</f>
        <v/>
      </c>
      <c r="N23" s="22">
        <f>SUM(J23:M23)</f>
        <v/>
      </c>
      <c r="O23" s="22">
        <f>G23-N23</f>
        <v/>
      </c>
      <c r="P23" s="22">
        <f>G23*0.022</f>
        <v/>
      </c>
      <c r="Q23" s="22">
        <f>O23-P23</f>
        <v/>
      </c>
      <c r="R23" s="22">
        <f>Q23*0.02</f>
        <v/>
      </c>
      <c r="S23" s="22">
        <f>Q23-R23</f>
        <v/>
      </c>
      <c r="T23" s="23">
        <f>$B$2*S23</f>
        <v/>
      </c>
      <c r="U23" s="22">
        <f>((G23*0.15)+4.5)/0.83</f>
        <v/>
      </c>
      <c r="V23" s="23">
        <f>(S23-U23)*$B$2</f>
        <v/>
      </c>
      <c r="W23" s="24">
        <f>IFERROR(V23-F23-I23,"")</f>
        <v/>
      </c>
      <c r="X23" s="9">
        <f>IFERROR(W23/(G23*J23),"")</f>
        <v/>
      </c>
      <c r="Y23" s="23">
        <f>IFERROR(F23*10/110,"")</f>
        <v/>
      </c>
      <c r="Z23" s="25">
        <f>IFERROR(W23+Y23,"")</f>
        <v/>
      </c>
      <c r="AA23" s="9">
        <f>IFERROR(Z23/(G23*J23),"")</f>
        <v/>
      </c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</row>
    <row r="24">
      <c r="C24" s="0" t="n">
        <v>23</v>
      </c>
      <c r="I24" s="21">
        <f>IFERROR(VLOOKUP(H24,送料!$G$10:$H$28,2,FALSE),"")</f>
        <v/>
      </c>
      <c r="J24" s="22">
        <f>(G24*1.08)*0.1235</f>
        <v/>
      </c>
      <c r="K24" s="22">
        <f>(G24*1.08)*0.0095</f>
        <v/>
      </c>
      <c r="L24" s="22" t="n">
        <v>0.3</v>
      </c>
      <c r="M24" s="22">
        <f>(J24+K24+L24)*0.1</f>
        <v/>
      </c>
      <c r="N24" s="22">
        <f>SUM(J24:M24)</f>
        <v/>
      </c>
      <c r="O24" s="22">
        <f>G24-N24</f>
        <v/>
      </c>
      <c r="P24" s="22">
        <f>G24*0.022</f>
        <v/>
      </c>
      <c r="Q24" s="22">
        <f>O24-P24</f>
        <v/>
      </c>
      <c r="R24" s="22">
        <f>Q24*0.02</f>
        <v/>
      </c>
      <c r="S24" s="22">
        <f>Q24-R24</f>
        <v/>
      </c>
      <c r="T24" s="23">
        <f>$B$2*S24</f>
        <v/>
      </c>
      <c r="U24" s="22">
        <f>((G24*0.15)+4.5)/0.83</f>
        <v/>
      </c>
      <c r="V24" s="23">
        <f>(S24-U24)*$B$2</f>
        <v/>
      </c>
      <c r="W24" s="24">
        <f>IFERROR(V24-F24-I24,"")</f>
        <v/>
      </c>
      <c r="X24" s="9">
        <f>IFERROR(W24/(G24*J24),"")</f>
        <v/>
      </c>
      <c r="Y24" s="23">
        <f>IFERROR(F24*10/110,"")</f>
        <v/>
      </c>
      <c r="Z24" s="25">
        <f>IFERROR(W24+Y24,"")</f>
        <v/>
      </c>
      <c r="AA24" s="9">
        <f>IFERROR(Z24/(G24*J24),"")</f>
        <v/>
      </c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</row>
    <row r="25">
      <c r="C25" s="0" t="n">
        <v>24</v>
      </c>
      <c r="I25" s="16" t="n"/>
      <c r="J25" s="22">
        <f>(G25*1.08)*0.1235</f>
        <v/>
      </c>
      <c r="K25" s="22">
        <f>(G25*1.08)*0.0095</f>
        <v/>
      </c>
      <c r="L25" s="22" t="n">
        <v>0.3</v>
      </c>
      <c r="M25" s="22">
        <f>(J25+K25+L25)*0.1</f>
        <v/>
      </c>
      <c r="N25" s="22">
        <f>SUM(J25:M25)</f>
        <v/>
      </c>
      <c r="O25" s="22">
        <f>G25-N25</f>
        <v/>
      </c>
      <c r="P25" s="22">
        <f>G25*0.022</f>
        <v/>
      </c>
      <c r="Q25" s="22">
        <f>O25-P25</f>
        <v/>
      </c>
      <c r="R25" s="22">
        <f>Q25*0.02</f>
        <v/>
      </c>
      <c r="S25" s="22">
        <f>Q25-R25</f>
        <v/>
      </c>
      <c r="T25" s="23">
        <f>$B$2*S25</f>
        <v/>
      </c>
      <c r="U25" s="22">
        <f>((G25*0.15)+4.5)/0.83</f>
        <v/>
      </c>
      <c r="V25" s="23">
        <f>(S25-U25)*$B$2</f>
        <v/>
      </c>
      <c r="W25" s="24">
        <f>IFERROR(V25-F25-I25,"")</f>
        <v/>
      </c>
      <c r="X25" s="9">
        <f>IFERROR(W25/(G25*J25),"")</f>
        <v/>
      </c>
      <c r="Y25" s="23">
        <f>IFERROR(F25*10/110,"")</f>
        <v/>
      </c>
      <c r="Z25" s="25">
        <f>IFERROR(W25+Y25,"")</f>
        <v/>
      </c>
      <c r="AA25" s="9">
        <f>IFERROR(Z25/(G25*J25),"")</f>
        <v/>
      </c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</row>
    <row r="26">
      <c r="C26" s="0" t="n">
        <v>25</v>
      </c>
      <c r="I26" s="16" t="n"/>
      <c r="J26" s="22">
        <f>(G26*1.08)*0.1235</f>
        <v/>
      </c>
      <c r="K26" s="22">
        <f>(G26*1.08)*0.0095</f>
        <v/>
      </c>
      <c r="L26" s="22" t="n">
        <v>0.3</v>
      </c>
      <c r="M26" s="22">
        <f>(J26+K26+L26)*0.1</f>
        <v/>
      </c>
      <c r="N26" s="22">
        <f>SUM(J26:M26)</f>
        <v/>
      </c>
      <c r="O26" s="22">
        <f>G26-N26</f>
        <v/>
      </c>
      <c r="P26" s="22">
        <f>G26*0.022</f>
        <v/>
      </c>
      <c r="Q26" s="22">
        <f>O26-P26</f>
        <v/>
      </c>
      <c r="R26" s="22">
        <f>Q26*0.02</f>
        <v/>
      </c>
      <c r="S26" s="22">
        <f>Q26-R26</f>
        <v/>
      </c>
      <c r="T26" s="23">
        <f>$B$2*S26</f>
        <v/>
      </c>
      <c r="U26" s="22">
        <f>((G26*0.15)+4.5)/0.83</f>
        <v/>
      </c>
      <c r="V26" s="23">
        <f>(S26-U26)*$B$2</f>
        <v/>
      </c>
      <c r="W26" s="24">
        <f>IFERROR(V26-F26-I26,"")</f>
        <v/>
      </c>
      <c r="X26" s="9">
        <f>IFERROR(W26/(G26*J26),"")</f>
        <v/>
      </c>
      <c r="Y26" s="23">
        <f>IFERROR(F26*10/110,"")</f>
        <v/>
      </c>
      <c r="Z26" s="25">
        <f>IFERROR(W26+Y26,"")</f>
        <v/>
      </c>
      <c r="AA26" s="9">
        <f>IFERROR(Z26/(G26*J26),"")</f>
        <v/>
      </c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</row>
    <row r="27">
      <c r="C27" s="0" t="n">
        <v>26</v>
      </c>
      <c r="I27" s="16" t="n"/>
      <c r="J27" s="22">
        <f>(G27*1.08)*0.1235</f>
        <v/>
      </c>
      <c r="K27" s="22">
        <f>(G27*1.08)*0.0095</f>
        <v/>
      </c>
      <c r="L27" s="22" t="n">
        <v>0.3</v>
      </c>
      <c r="M27" s="22">
        <f>(J27+K27+L27)*0.1</f>
        <v/>
      </c>
      <c r="N27" s="22">
        <f>SUM(J27:M27)</f>
        <v/>
      </c>
      <c r="O27" s="22">
        <f>G27-N27</f>
        <v/>
      </c>
      <c r="P27" s="22">
        <f>G27*0.022</f>
        <v/>
      </c>
      <c r="Q27" s="22">
        <f>O27-P27</f>
        <v/>
      </c>
      <c r="R27" s="22">
        <f>Q27*0.02</f>
        <v/>
      </c>
      <c r="S27" s="22">
        <f>Q27-R27</f>
        <v/>
      </c>
      <c r="T27" s="23">
        <f>$B$2*S27</f>
        <v/>
      </c>
      <c r="U27" s="22">
        <f>((G27*0.15)+4.5)/0.83</f>
        <v/>
      </c>
      <c r="V27" s="23">
        <f>(S27-U27)*$B$2</f>
        <v/>
      </c>
      <c r="W27" s="24">
        <f>IFERROR(V27-F27-I27,"")</f>
        <v/>
      </c>
      <c r="X27" s="9">
        <f>IFERROR(W27/(G27*J27),"")</f>
        <v/>
      </c>
      <c r="Y27" s="23">
        <f>IFERROR(F27*10/110,"")</f>
        <v/>
      </c>
      <c r="Z27" s="25">
        <f>IFERROR(W27+Y27,"")</f>
        <v/>
      </c>
      <c r="AA27" s="9">
        <f>IFERROR(Z27/(G27*J27),"")</f>
        <v/>
      </c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</row>
    <row r="28">
      <c r="C28" s="0" t="n">
        <v>27</v>
      </c>
      <c r="I28" s="16" t="n"/>
      <c r="J28" s="22">
        <f>(G28*1.08)*0.1235</f>
        <v/>
      </c>
      <c r="K28" s="22">
        <f>(G28*1.08)*0.0095</f>
        <v/>
      </c>
      <c r="L28" s="22" t="n">
        <v>0.3</v>
      </c>
      <c r="M28" s="22">
        <f>(J28+K28+L28)*0.1</f>
        <v/>
      </c>
      <c r="N28" s="22">
        <f>SUM(J28:M28)</f>
        <v/>
      </c>
      <c r="O28" s="22">
        <f>G28-N28</f>
        <v/>
      </c>
      <c r="P28" s="22">
        <f>G28*0.022</f>
        <v/>
      </c>
      <c r="Q28" s="22">
        <f>O28-P28</f>
        <v/>
      </c>
      <c r="R28" s="22">
        <f>Q28*0.02</f>
        <v/>
      </c>
      <c r="S28" s="22">
        <f>Q28-R28</f>
        <v/>
      </c>
      <c r="T28" s="23">
        <f>$B$2*S28</f>
        <v/>
      </c>
      <c r="U28" s="22">
        <f>((G28*0.15)+4.5)/0.83</f>
        <v/>
      </c>
      <c r="V28" s="23">
        <f>(S28-U28)*$B$2</f>
        <v/>
      </c>
      <c r="W28" s="24">
        <f>IFERROR(V28-F28-I28,"")</f>
        <v/>
      </c>
      <c r="X28" s="9">
        <f>IFERROR(W28/(G28*J28),"")</f>
        <v/>
      </c>
      <c r="Y28" s="23">
        <f>IFERROR(F28*10/110,"")</f>
        <v/>
      </c>
      <c r="Z28" s="25">
        <f>IFERROR(W28+Y28,"")</f>
        <v/>
      </c>
      <c r="AA28" s="9">
        <f>IFERROR(Z28/(G28*J28),"")</f>
        <v/>
      </c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</row>
    <row r="29">
      <c r="C29" s="0" t="n">
        <v>28</v>
      </c>
      <c r="I29" s="16" t="n"/>
      <c r="J29" s="22">
        <f>(G29*1.08)*0.1235</f>
        <v/>
      </c>
      <c r="K29" s="22">
        <f>(G29*1.08)*0.0095</f>
        <v/>
      </c>
      <c r="L29" s="22" t="n">
        <v>0.3</v>
      </c>
      <c r="M29" s="22">
        <f>(J29+K29+L29)*0.1</f>
        <v/>
      </c>
      <c r="N29" s="22">
        <f>SUM(J29:M29)</f>
        <v/>
      </c>
      <c r="O29" s="22">
        <f>G29-N29</f>
        <v/>
      </c>
      <c r="P29" s="22">
        <f>G29*0.022</f>
        <v/>
      </c>
      <c r="Q29" s="22">
        <f>O29-P29</f>
        <v/>
      </c>
      <c r="R29" s="22">
        <f>Q29*0.02</f>
        <v/>
      </c>
      <c r="S29" s="22">
        <f>Q29-R29</f>
        <v/>
      </c>
      <c r="T29" s="23">
        <f>$B$2*S29</f>
        <v/>
      </c>
      <c r="U29" s="22">
        <f>((G29*0.15)+4.5)/0.83</f>
        <v/>
      </c>
      <c r="V29" s="23">
        <f>(S29-U29)*$B$2</f>
        <v/>
      </c>
      <c r="W29" s="24">
        <f>IFERROR(V29-F29-I29,"")</f>
        <v/>
      </c>
      <c r="X29" s="9">
        <f>IFERROR(W29/(G29*J29),"")</f>
        <v/>
      </c>
      <c r="Y29" s="23">
        <f>IFERROR(F29*10/110,"")</f>
        <v/>
      </c>
      <c r="Z29" s="25">
        <f>IFERROR(W29+Y29,"")</f>
        <v/>
      </c>
      <c r="AA29" s="9">
        <f>IFERROR(Z29/(G29*J29),"")</f>
        <v/>
      </c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</row>
    <row r="30">
      <c r="C30" s="0" t="n">
        <v>29</v>
      </c>
      <c r="I30" s="16" t="n"/>
      <c r="J30" s="22">
        <f>(G30*1.08)*0.1235</f>
        <v/>
      </c>
      <c r="K30" s="22">
        <f>(G30*1.08)*0.0095</f>
        <v/>
      </c>
      <c r="L30" s="22" t="n">
        <v>0.3</v>
      </c>
      <c r="M30" s="22">
        <f>(J30+K30+L30)*0.1</f>
        <v/>
      </c>
      <c r="N30" s="22">
        <f>SUM(J30:M30)</f>
        <v/>
      </c>
      <c r="O30" s="22">
        <f>G30-N30</f>
        <v/>
      </c>
      <c r="P30" s="22">
        <f>G30*0.022</f>
        <v/>
      </c>
      <c r="Q30" s="22">
        <f>O30-P30</f>
        <v/>
      </c>
      <c r="R30" s="22">
        <f>Q30*0.02</f>
        <v/>
      </c>
      <c r="S30" s="22">
        <f>Q30-R30</f>
        <v/>
      </c>
      <c r="T30" s="23">
        <f>$B$2*S30</f>
        <v/>
      </c>
      <c r="U30" s="22">
        <f>((G30*0.15)+4.5)/0.83</f>
        <v/>
      </c>
      <c r="V30" s="23">
        <f>(S30-U30)*$B$2</f>
        <v/>
      </c>
      <c r="W30" s="24">
        <f>IFERROR(V30-F30-I30,"")</f>
        <v/>
      </c>
      <c r="X30" s="9">
        <f>IFERROR(W30/(G30*J30),"")</f>
        <v/>
      </c>
      <c r="Y30" s="23">
        <f>IFERROR(F30*10/110,"")</f>
        <v/>
      </c>
      <c r="Z30" s="25">
        <f>IFERROR(W30+Y30,"")</f>
        <v/>
      </c>
      <c r="AA30" s="9">
        <f>IFERROR(Z30/(G30*J30),"")</f>
        <v/>
      </c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</row>
    <row r="31">
      <c r="C31" s="0" t="n">
        <v>30</v>
      </c>
      <c r="I31" s="16" t="n"/>
      <c r="J31" s="22">
        <f>(G31*1.08)*0.1235</f>
        <v/>
      </c>
      <c r="K31" s="22">
        <f>(G31*1.08)*0.0095</f>
        <v/>
      </c>
      <c r="L31" s="22" t="n">
        <v>0.3</v>
      </c>
      <c r="M31" s="22">
        <f>(J31+K31+L31)*0.1</f>
        <v/>
      </c>
      <c r="N31" s="22">
        <f>SUM(J31:M31)</f>
        <v/>
      </c>
      <c r="O31" s="22">
        <f>G31-N31</f>
        <v/>
      </c>
      <c r="P31" s="22">
        <f>G31*0.022</f>
        <v/>
      </c>
      <c r="Q31" s="22">
        <f>O31-P31</f>
        <v/>
      </c>
      <c r="R31" s="22">
        <f>Q31*0.02</f>
        <v/>
      </c>
      <c r="S31" s="22">
        <f>Q31-R31</f>
        <v/>
      </c>
      <c r="T31" s="23">
        <f>$B$2*S31</f>
        <v/>
      </c>
      <c r="U31" s="22">
        <f>((G31*0.15)+4.5)/0.83</f>
        <v/>
      </c>
      <c r="V31" s="23">
        <f>(S31-U31)*$B$2</f>
        <v/>
      </c>
      <c r="W31" s="24">
        <f>IFERROR(V31-F31-I31,"")</f>
        <v/>
      </c>
      <c r="X31" s="9">
        <f>IFERROR(W31/(G31*J31),"")</f>
        <v/>
      </c>
      <c r="Y31" s="23">
        <f>IFERROR(F31*10/110,"")</f>
        <v/>
      </c>
      <c r="Z31" s="25">
        <f>IFERROR(W31+Y31,"")</f>
        <v/>
      </c>
      <c r="AA31" s="9">
        <f>IFERROR(Z31/(G31*J31),"")</f>
        <v/>
      </c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</row>
    <row r="32">
      <c r="C32" s="0" t="n">
        <v>31</v>
      </c>
      <c r="I32" s="16" t="n"/>
      <c r="J32" s="22">
        <f>(G32*1.08)*0.1235</f>
        <v/>
      </c>
      <c r="K32" s="22">
        <f>(G32*1.08)*0.0095</f>
        <v/>
      </c>
      <c r="L32" s="22" t="n">
        <v>0.3</v>
      </c>
      <c r="M32" s="22">
        <f>(J32+K32+L32)*0.1</f>
        <v/>
      </c>
      <c r="N32" s="22">
        <f>SUM(J32:M32)</f>
        <v/>
      </c>
      <c r="O32" s="22">
        <f>G32-N32</f>
        <v/>
      </c>
      <c r="P32" s="22">
        <f>G32*0.022</f>
        <v/>
      </c>
      <c r="Q32" s="22">
        <f>O32-P32</f>
        <v/>
      </c>
      <c r="R32" s="22">
        <f>Q32*0.02</f>
        <v/>
      </c>
      <c r="S32" s="22">
        <f>Q32-R32</f>
        <v/>
      </c>
      <c r="T32" s="23">
        <f>$B$2*S32</f>
        <v/>
      </c>
      <c r="U32" s="22">
        <f>((G32*0.15)+4.5)/0.83</f>
        <v/>
      </c>
      <c r="V32" s="23">
        <f>(S32-U32)*$B$2</f>
        <v/>
      </c>
      <c r="W32" s="24">
        <f>IFERROR(V32-F32-I32,"")</f>
        <v/>
      </c>
      <c r="X32" s="9">
        <f>IFERROR(W32/(G32*J32),"")</f>
        <v/>
      </c>
      <c r="Y32" s="23">
        <f>IFERROR(F32*10/110,"")</f>
        <v/>
      </c>
      <c r="Z32" s="25">
        <f>IFERROR(W32+Y32,"")</f>
        <v/>
      </c>
      <c r="AA32" s="9">
        <f>IFERROR(Z32/(G32*J32),"")</f>
        <v/>
      </c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</row>
    <row r="33">
      <c r="C33" s="0" t="n">
        <v>32</v>
      </c>
      <c r="I33" s="16" t="n"/>
      <c r="J33" s="22">
        <f>(G33*1.08)*0.1235</f>
        <v/>
      </c>
      <c r="K33" s="22">
        <f>(G33*1.08)*0.0095</f>
        <v/>
      </c>
      <c r="L33" s="22" t="n">
        <v>0.3</v>
      </c>
      <c r="M33" s="22">
        <f>(J33+K33+L33)*0.1</f>
        <v/>
      </c>
      <c r="N33" s="22">
        <f>SUM(J33:M33)</f>
        <v/>
      </c>
      <c r="O33" s="22">
        <f>G33-N33</f>
        <v/>
      </c>
      <c r="P33" s="22">
        <f>G33*0.022</f>
        <v/>
      </c>
      <c r="Q33" s="22">
        <f>O33-P33</f>
        <v/>
      </c>
      <c r="R33" s="22">
        <f>Q33*0.02</f>
        <v/>
      </c>
      <c r="S33" s="22">
        <f>Q33-R33</f>
        <v/>
      </c>
      <c r="T33" s="23">
        <f>$B$2*S33</f>
        <v/>
      </c>
      <c r="U33" s="22">
        <f>((G33*0.15)+4.5)/0.83</f>
        <v/>
      </c>
      <c r="V33" s="23">
        <f>(S33-U33)*$B$2</f>
        <v/>
      </c>
      <c r="W33" s="24">
        <f>IFERROR(V33-F33-I33,"")</f>
        <v/>
      </c>
      <c r="X33" s="9">
        <f>IFERROR(W33/(G33*J33),"")</f>
        <v/>
      </c>
      <c r="Y33" s="23">
        <f>IFERROR(F33*10/110,"")</f>
        <v/>
      </c>
      <c r="Z33" s="25">
        <f>IFERROR(W33+Y33,"")</f>
        <v/>
      </c>
      <c r="AA33" s="9">
        <f>IFERROR(Z33/(G33*J33),"")</f>
        <v/>
      </c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</row>
    <row r="34">
      <c r="C34" s="0" t="n">
        <v>33</v>
      </c>
      <c r="I34" s="16" t="n"/>
      <c r="J34" s="22">
        <f>(G34*1.08)*0.1235</f>
        <v/>
      </c>
      <c r="K34" s="22">
        <f>(G34*1.08)*0.0095</f>
        <v/>
      </c>
      <c r="L34" s="22" t="n">
        <v>0.3</v>
      </c>
      <c r="M34" s="22">
        <f>(J34+K34+L34)*0.1</f>
        <v/>
      </c>
      <c r="N34" s="22">
        <f>SUM(J34:M34)</f>
        <v/>
      </c>
      <c r="O34" s="22">
        <f>G34-N34</f>
        <v/>
      </c>
      <c r="P34" s="22">
        <f>G34*0.022</f>
        <v/>
      </c>
      <c r="Q34" s="22">
        <f>O34-P34</f>
        <v/>
      </c>
      <c r="R34" s="22">
        <f>Q34*0.02</f>
        <v/>
      </c>
      <c r="S34" s="22">
        <f>Q34-R34</f>
        <v/>
      </c>
      <c r="T34" s="23">
        <f>$B$2*S34</f>
        <v/>
      </c>
      <c r="U34" s="22">
        <f>((G34*0.15)+4.5)/0.83</f>
        <v/>
      </c>
      <c r="V34" s="23">
        <f>(S34-U34)*$B$2</f>
        <v/>
      </c>
      <c r="W34" s="24">
        <f>IFERROR(V34-F34-I34,"")</f>
        <v/>
      </c>
      <c r="X34" s="9">
        <f>IFERROR(W34/(G34*J34),"")</f>
        <v/>
      </c>
      <c r="Y34" s="23">
        <f>IFERROR(F34*10/110,"")</f>
        <v/>
      </c>
      <c r="Z34" s="25">
        <f>IFERROR(W34+Y34,"")</f>
        <v/>
      </c>
      <c r="AA34" s="9">
        <f>IFERROR(Z34/(G34*J34),"")</f>
        <v/>
      </c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</row>
    <row r="35">
      <c r="C35" s="0" t="n">
        <v>34</v>
      </c>
      <c r="I35" s="16" t="n"/>
      <c r="J35" s="22">
        <f>(G35*1.08)*0.1235</f>
        <v/>
      </c>
      <c r="K35" s="22">
        <f>(G35*1.08)*0.0095</f>
        <v/>
      </c>
      <c r="L35" s="22" t="n">
        <v>0.3</v>
      </c>
      <c r="M35" s="22">
        <f>(J35+K35+L35)*0.1</f>
        <v/>
      </c>
      <c r="N35" s="22">
        <f>SUM(J35:M35)</f>
        <v/>
      </c>
      <c r="O35" s="22">
        <f>G35-N35</f>
        <v/>
      </c>
      <c r="P35" s="22">
        <f>G35*0.022</f>
        <v/>
      </c>
      <c r="Q35" s="22">
        <f>O35-P35</f>
        <v/>
      </c>
      <c r="R35" s="22">
        <f>Q35*0.02</f>
        <v/>
      </c>
      <c r="S35" s="22">
        <f>Q35-R35</f>
        <v/>
      </c>
      <c r="T35" s="23">
        <f>$B$2*S35</f>
        <v/>
      </c>
      <c r="U35" s="22">
        <f>((G35*0.15)+4.5)/0.83</f>
        <v/>
      </c>
      <c r="V35" s="23">
        <f>(S35-U35)*$B$2</f>
        <v/>
      </c>
      <c r="W35" s="24">
        <f>IFERROR(V35-F35-I35,"")</f>
        <v/>
      </c>
      <c r="X35" s="9">
        <f>IFERROR(W35/(G35*J35),"")</f>
        <v/>
      </c>
      <c r="Y35" s="23">
        <f>IFERROR(F35*10/110,"")</f>
        <v/>
      </c>
      <c r="Z35" s="25">
        <f>IFERROR(W35+Y35,"")</f>
        <v/>
      </c>
      <c r="AA35" s="9">
        <f>IFERROR(Z35/(G35*J35),"")</f>
        <v/>
      </c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</row>
    <row r="36">
      <c r="C36" s="0" t="n">
        <v>35</v>
      </c>
      <c r="I36" s="16" t="n"/>
      <c r="J36" s="22">
        <f>(G36*1.08)*0.1235</f>
        <v/>
      </c>
      <c r="K36" s="22">
        <f>(G36*1.08)*0.0095</f>
        <v/>
      </c>
      <c r="L36" s="22" t="n">
        <v>0.3</v>
      </c>
      <c r="M36" s="22">
        <f>(J36+K36+L36)*0.1</f>
        <v/>
      </c>
      <c r="N36" s="22">
        <f>SUM(J36:M36)</f>
        <v/>
      </c>
      <c r="O36" s="22">
        <f>G36-N36</f>
        <v/>
      </c>
      <c r="P36" s="22">
        <f>G36*0.022</f>
        <v/>
      </c>
      <c r="Q36" s="22">
        <f>O36-P36</f>
        <v/>
      </c>
      <c r="R36" s="22">
        <f>Q36*0.02</f>
        <v/>
      </c>
      <c r="S36" s="22">
        <f>Q36-R36</f>
        <v/>
      </c>
      <c r="T36" s="23">
        <f>$B$2*S36</f>
        <v/>
      </c>
      <c r="U36" s="22">
        <f>((G36*0.15)+4.5)/0.83</f>
        <v/>
      </c>
      <c r="V36" s="23">
        <f>(S36-U36)*$B$2</f>
        <v/>
      </c>
      <c r="W36" s="24">
        <f>IFERROR(V36-F36-I36,"")</f>
        <v/>
      </c>
      <c r="X36" s="9">
        <f>IFERROR(W36/(G36*J36),"")</f>
        <v/>
      </c>
      <c r="Y36" s="23">
        <f>IFERROR(F36*10/110,"")</f>
        <v/>
      </c>
      <c r="Z36" s="25">
        <f>IFERROR(W36+Y36,"")</f>
        <v/>
      </c>
      <c r="AA36" s="9">
        <f>IFERROR(Z36/(G36*J36),"")</f>
        <v/>
      </c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</row>
    <row r="37">
      <c r="C37" s="0" t="n">
        <v>36</v>
      </c>
      <c r="I37" s="16" t="n"/>
      <c r="J37" s="22">
        <f>(G37*1.08)*0.1235</f>
        <v/>
      </c>
      <c r="K37" s="22">
        <f>(G37*1.08)*0.0095</f>
        <v/>
      </c>
      <c r="L37" s="22" t="n">
        <v>0.3</v>
      </c>
      <c r="M37" s="22">
        <f>(J37+K37+L37)*0.1</f>
        <v/>
      </c>
      <c r="N37" s="22">
        <f>SUM(J37:M37)</f>
        <v/>
      </c>
      <c r="O37" s="22">
        <f>G37-N37</f>
        <v/>
      </c>
      <c r="P37" s="22">
        <f>G37*0.022</f>
        <v/>
      </c>
      <c r="Q37" s="22">
        <f>O37-P37</f>
        <v/>
      </c>
      <c r="R37" s="22">
        <f>Q37*0.02</f>
        <v/>
      </c>
      <c r="S37" s="22">
        <f>Q37-R37</f>
        <v/>
      </c>
      <c r="T37" s="23">
        <f>$B$2*S37</f>
        <v/>
      </c>
      <c r="U37" s="22">
        <f>((G37*0.15)+4.5)/0.83</f>
        <v/>
      </c>
      <c r="V37" s="23">
        <f>(S37-U37)*$B$2</f>
        <v/>
      </c>
      <c r="W37" s="24">
        <f>IFERROR(V37-F37-I37,"")</f>
        <v/>
      </c>
      <c r="X37" s="9">
        <f>IFERROR(W37/(G37*J37),"")</f>
        <v/>
      </c>
      <c r="Y37" s="23">
        <f>IFERROR(F37*10/110,"")</f>
        <v/>
      </c>
      <c r="Z37" s="25">
        <f>IFERROR(W37+Y37,"")</f>
        <v/>
      </c>
      <c r="AA37" s="9">
        <f>IFERROR(Z37/(G37*J37),"")</f>
        <v/>
      </c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</row>
    <row r="38">
      <c r="C38" s="0" t="n">
        <v>37</v>
      </c>
      <c r="I38" s="16" t="n"/>
      <c r="J38" s="22">
        <f>(G38*1.08)*0.1235</f>
        <v/>
      </c>
      <c r="K38" s="22">
        <f>(G38*1.08)*0.0095</f>
        <v/>
      </c>
      <c r="L38" s="22" t="n">
        <v>0.3</v>
      </c>
      <c r="M38" s="22">
        <f>(J38+K38+L38)*0.1</f>
        <v/>
      </c>
      <c r="N38" s="22">
        <f>SUM(J38:M38)</f>
        <v/>
      </c>
      <c r="O38" s="22">
        <f>G38-N38</f>
        <v/>
      </c>
      <c r="P38" s="22">
        <f>G38*0.022</f>
        <v/>
      </c>
      <c r="Q38" s="22">
        <f>O38-P38</f>
        <v/>
      </c>
      <c r="R38" s="22">
        <f>Q38*0.02</f>
        <v/>
      </c>
      <c r="S38" s="22">
        <f>Q38-R38</f>
        <v/>
      </c>
      <c r="T38" s="23">
        <f>$B$2*S38</f>
        <v/>
      </c>
      <c r="U38" s="22">
        <f>((G38*0.15)+4.5)/0.83</f>
        <v/>
      </c>
      <c r="V38" s="23">
        <f>(S38-U38)*$B$2</f>
        <v/>
      </c>
      <c r="W38" s="24">
        <f>IFERROR(V38-F38-I38,"")</f>
        <v/>
      </c>
      <c r="X38" s="9">
        <f>IFERROR(W38/(G38*J38),"")</f>
        <v/>
      </c>
      <c r="Y38" s="23">
        <f>IFERROR(F38*10/110,"")</f>
        <v/>
      </c>
      <c r="Z38" s="25">
        <f>IFERROR(W38+Y38,"")</f>
        <v/>
      </c>
      <c r="AA38" s="9">
        <f>IFERROR(Z38/(G38*J38),"")</f>
        <v/>
      </c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</row>
    <row r="39">
      <c r="C39" s="0" t="n">
        <v>38</v>
      </c>
      <c r="I39" s="16" t="n"/>
      <c r="J39" s="22">
        <f>(G39*1.08)*0.1235</f>
        <v/>
      </c>
      <c r="K39" s="22">
        <f>(G39*1.08)*0.0095</f>
        <v/>
      </c>
      <c r="L39" s="22" t="n">
        <v>0.3</v>
      </c>
      <c r="M39" s="22">
        <f>(J39+K39+L39)*0.1</f>
        <v/>
      </c>
      <c r="N39" s="22">
        <f>SUM(J39:M39)</f>
        <v/>
      </c>
      <c r="O39" s="22">
        <f>G39-N39</f>
        <v/>
      </c>
      <c r="P39" s="22">
        <f>G39*0.022</f>
        <v/>
      </c>
      <c r="Q39" s="22">
        <f>O39-P39</f>
        <v/>
      </c>
      <c r="R39" s="22">
        <f>Q39*0.02</f>
        <v/>
      </c>
      <c r="S39" s="22">
        <f>Q39-R39</f>
        <v/>
      </c>
      <c r="T39" s="23">
        <f>$B$2*S39</f>
        <v/>
      </c>
      <c r="U39" s="22">
        <f>((G39*0.15)+4.5)/0.83</f>
        <v/>
      </c>
      <c r="V39" s="23">
        <f>(S39-U39)*$B$2</f>
        <v/>
      </c>
      <c r="W39" s="24">
        <f>IFERROR(V39-F39-I39,"")</f>
        <v/>
      </c>
      <c r="X39" s="9">
        <f>IFERROR(W39/(G39*J39),"")</f>
        <v/>
      </c>
      <c r="Y39" s="23">
        <f>IFERROR(F39*10/110,"")</f>
        <v/>
      </c>
      <c r="Z39" s="25">
        <f>IFERROR(W39+Y39,"")</f>
        <v/>
      </c>
      <c r="AA39" s="9">
        <f>IFERROR(Z39/(G39*J39),"")</f>
        <v/>
      </c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</row>
    <row r="40">
      <c r="C40" s="0" t="n">
        <v>39</v>
      </c>
      <c r="I40" s="16" t="n"/>
      <c r="J40" s="22">
        <f>(G40*1.08)*0.1235</f>
        <v/>
      </c>
      <c r="K40" s="22">
        <f>(G40*1.08)*0.0095</f>
        <v/>
      </c>
      <c r="L40" s="22" t="n">
        <v>0.3</v>
      </c>
      <c r="M40" s="22">
        <f>(J40+K40+L40)*0.1</f>
        <v/>
      </c>
      <c r="N40" s="22">
        <f>SUM(J40:M40)</f>
        <v/>
      </c>
      <c r="O40" s="22">
        <f>G40-N40</f>
        <v/>
      </c>
      <c r="P40" s="22">
        <f>G40*0.022</f>
        <v/>
      </c>
      <c r="Q40" s="22">
        <f>O40-P40</f>
        <v/>
      </c>
      <c r="R40" s="22">
        <f>Q40*0.02</f>
        <v/>
      </c>
      <c r="S40" s="22">
        <f>Q40-R40</f>
        <v/>
      </c>
      <c r="T40" s="23">
        <f>$B$2*S40</f>
        <v/>
      </c>
      <c r="U40" s="22">
        <f>((G40*0.15)+4.5)/0.83</f>
        <v/>
      </c>
      <c r="V40" s="23">
        <f>(S40-U40)*$B$2</f>
        <v/>
      </c>
      <c r="W40" s="24">
        <f>IFERROR(V40-F40-I40,"")</f>
        <v/>
      </c>
      <c r="X40" s="9">
        <f>IFERROR(W40/(G40*J40),"")</f>
        <v/>
      </c>
      <c r="Y40" s="23">
        <f>IFERROR(F40*10/110,"")</f>
        <v/>
      </c>
      <c r="Z40" s="25">
        <f>IFERROR(W40+Y40,"")</f>
        <v/>
      </c>
      <c r="AA40" s="9">
        <f>IFERROR(Z40/(G40*J40),"")</f>
        <v/>
      </c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</row>
    <row r="41">
      <c r="C41" s="0" t="n">
        <v>40</v>
      </c>
      <c r="I41" s="16" t="n"/>
      <c r="J41" s="22">
        <f>(G41*1.08)*0.1235</f>
        <v/>
      </c>
      <c r="K41" s="22">
        <f>(G41*1.08)*0.0095</f>
        <v/>
      </c>
      <c r="L41" s="22" t="n">
        <v>0.3</v>
      </c>
      <c r="M41" s="22">
        <f>(J41+K41+L41)*0.1</f>
        <v/>
      </c>
      <c r="N41" s="22">
        <f>SUM(J41:M41)</f>
        <v/>
      </c>
      <c r="O41" s="22">
        <f>G41-N41</f>
        <v/>
      </c>
      <c r="P41" s="22">
        <f>G41*0.022</f>
        <v/>
      </c>
      <c r="Q41" s="22">
        <f>O41-P41</f>
        <v/>
      </c>
      <c r="R41" s="22">
        <f>Q41*0.02</f>
        <v/>
      </c>
      <c r="S41" s="22">
        <f>Q41-R41</f>
        <v/>
      </c>
      <c r="T41" s="23">
        <f>$B$2*S41</f>
        <v/>
      </c>
      <c r="U41" s="22">
        <f>((G41*0.15)+4.5)/0.83</f>
        <v/>
      </c>
      <c r="V41" s="23">
        <f>(S41-U41)*$B$2</f>
        <v/>
      </c>
      <c r="W41" s="24">
        <f>IFERROR(V41-F41-I41,"")</f>
        <v/>
      </c>
      <c r="X41" s="9">
        <f>IFERROR(W41/(G41*J41),"")</f>
        <v/>
      </c>
      <c r="Y41" s="23">
        <f>IFERROR(F41*10/110,"")</f>
        <v/>
      </c>
      <c r="Z41" s="25">
        <f>IFERROR(W41+Y41,"")</f>
        <v/>
      </c>
      <c r="AA41" s="9">
        <f>IFERROR(Z41/(G41*J41),"")</f>
        <v/>
      </c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Z68"/>
  <sheetViews>
    <sheetView workbookViewId="0">
      <selection activeCell="G11" sqref="G11"/>
    </sheetView>
  </sheetViews>
  <sheetFormatPr baseColWidth="8" defaultRowHeight="18.75"/>
  <cols>
    <col width="18.625" bestFit="1" customWidth="1" style="18" min="7" max="7"/>
  </cols>
  <sheetData>
    <row r="2">
      <c r="B2" s="0" t="inlineStr">
        <is>
          <t>旧</t>
        </is>
      </c>
      <c r="D2" s="0" t="inlineStr">
        <is>
          <t>A</t>
        </is>
      </c>
      <c r="E2" s="0" t="inlineStr">
        <is>
          <t>D</t>
        </is>
      </c>
      <c r="F2" s="0" t="inlineStr">
        <is>
          <t>E</t>
        </is>
      </c>
      <c r="H2" s="0" t="inlineStr">
        <is>
          <t>F</t>
        </is>
      </c>
      <c r="I2" s="0" t="inlineStr">
        <is>
          <t>G</t>
        </is>
      </c>
      <c r="J2" s="0" t="inlineStr">
        <is>
          <t>H</t>
        </is>
      </c>
      <c r="K2" s="0" t="inlineStr">
        <is>
          <t>I</t>
        </is>
      </c>
      <c r="L2" s="0" t="inlineStr">
        <is>
          <t>J</t>
        </is>
      </c>
      <c r="M2" s="0" t="inlineStr">
        <is>
          <t>K</t>
        </is>
      </c>
      <c r="N2" s="0" t="inlineStr">
        <is>
          <t>M</t>
        </is>
      </c>
      <c r="O2" s="0" t="inlineStr">
        <is>
          <t>N</t>
        </is>
      </c>
      <c r="P2" s="0" t="inlineStr">
        <is>
          <t>O</t>
        </is>
      </c>
      <c r="Q2" s="0" t="inlineStr">
        <is>
          <t>Q</t>
        </is>
      </c>
      <c r="R2" s="0" t="inlineStr">
        <is>
          <t>R</t>
        </is>
      </c>
      <c r="S2" s="0" t="inlineStr">
        <is>
          <t>S</t>
        </is>
      </c>
      <c r="T2" s="0" t="inlineStr">
        <is>
          <t>T</t>
        </is>
      </c>
      <c r="U2" s="0" t="inlineStr">
        <is>
          <t>U</t>
        </is>
      </c>
      <c r="V2" s="0" t="inlineStr">
        <is>
          <t>V</t>
        </is>
      </c>
      <c r="W2" s="0" t="inlineStr">
        <is>
          <t>W</t>
        </is>
      </c>
      <c r="X2" s="0" t="inlineStr">
        <is>
          <t>X</t>
        </is>
      </c>
      <c r="Y2" s="0" t="inlineStr">
        <is>
          <t>Y</t>
        </is>
      </c>
      <c r="Z2" s="0" t="inlineStr">
        <is>
          <t>Z</t>
        </is>
      </c>
    </row>
    <row r="3">
      <c r="B3" s="0" t="inlineStr">
        <is>
          <t>～2024年まで</t>
        </is>
      </c>
      <c r="C3" s="0" t="inlineStr">
        <is>
          <t>エンベロープ 0.5kg</t>
        </is>
      </c>
      <c r="D3" s="3" t="n">
        <v>2094</v>
      </c>
      <c r="E3" s="3" t="n">
        <v>2491</v>
      </c>
      <c r="F3" s="3" t="n">
        <v>1774</v>
      </c>
      <c r="G3" s="0" t="inlineStr">
        <is>
          <t>エンベロープ 0.5kg</t>
        </is>
      </c>
      <c r="H3" s="3" t="n">
        <v>1803</v>
      </c>
      <c r="I3" s="3" t="n">
        <v>2175</v>
      </c>
      <c r="J3" s="3" t="n">
        <v>1848</v>
      </c>
      <c r="K3" s="3" t="n">
        <v>1865</v>
      </c>
      <c r="L3" s="3" t="n">
        <v>1694</v>
      </c>
      <c r="M3" s="3" t="n">
        <v>1340</v>
      </c>
      <c r="N3" s="3" t="n">
        <v>1802</v>
      </c>
      <c r="O3" s="3" t="n">
        <v>2092</v>
      </c>
      <c r="P3" s="3" t="n">
        <v>1479</v>
      </c>
      <c r="Q3" s="3" t="n">
        <v>1363</v>
      </c>
      <c r="R3" s="3" t="n">
        <v>1445</v>
      </c>
      <c r="S3" s="3" t="n">
        <v>1629</v>
      </c>
      <c r="T3" s="3" t="n">
        <v>1840</v>
      </c>
      <c r="U3" s="3" t="n">
        <v>2465</v>
      </c>
      <c r="V3" s="3" t="n">
        <v>1281</v>
      </c>
      <c r="W3" s="3" t="n">
        <v>1402</v>
      </c>
      <c r="X3" s="3" t="n">
        <v>1581</v>
      </c>
      <c r="Y3" s="3" t="n">
        <v>1545</v>
      </c>
      <c r="Z3" s="3" t="n">
        <v>1658</v>
      </c>
    </row>
    <row r="4">
      <c r="C4" s="0" t="inlineStr">
        <is>
          <t>パック 0.5kg</t>
        </is>
      </c>
      <c r="D4" s="3" t="n">
        <v>2141</v>
      </c>
      <c r="E4" s="3" t="n">
        <v>3698</v>
      </c>
      <c r="F4" s="3" t="n">
        <v>2046</v>
      </c>
      <c r="G4" s="0" t="inlineStr">
        <is>
          <t>パック 0.5kg</t>
        </is>
      </c>
      <c r="H4" s="3" t="n">
        <v>2076</v>
      </c>
      <c r="I4" s="3" t="n">
        <v>2220</v>
      </c>
      <c r="J4" s="3" t="n">
        <v>2050</v>
      </c>
      <c r="K4" s="3" t="n">
        <v>2065</v>
      </c>
      <c r="L4" s="3" t="n">
        <v>1913</v>
      </c>
      <c r="M4" s="3" t="n">
        <v>1364</v>
      </c>
      <c r="N4" s="3" t="n">
        <v>1977</v>
      </c>
      <c r="O4" s="3" t="n">
        <v>2213</v>
      </c>
      <c r="P4" s="3" t="n">
        <v>1684</v>
      </c>
      <c r="Q4" s="3" t="n">
        <v>1394</v>
      </c>
      <c r="R4" s="3" t="n">
        <v>1476</v>
      </c>
      <c r="S4" s="3" t="n">
        <v>1665</v>
      </c>
      <c r="T4" s="3" t="n">
        <v>1884</v>
      </c>
      <c r="U4" s="3" t="n">
        <v>2536</v>
      </c>
      <c r="V4" s="3" t="n">
        <v>1305</v>
      </c>
      <c r="W4" s="3" t="n">
        <v>1429</v>
      </c>
      <c r="X4" s="3" t="n">
        <v>1613</v>
      </c>
      <c r="Y4" s="3" t="n">
        <v>1580</v>
      </c>
      <c r="Z4" s="3" t="n">
        <v>1690</v>
      </c>
    </row>
    <row r="5">
      <c r="C5" s="0" t="inlineStr">
        <is>
          <t>パック 1.0kg</t>
        </is>
      </c>
      <c r="D5" s="3" t="n">
        <v>2633</v>
      </c>
      <c r="E5" s="3" t="n">
        <v>4450</v>
      </c>
      <c r="F5" s="3" t="n">
        <v>2416</v>
      </c>
      <c r="G5" s="0" t="inlineStr">
        <is>
          <t>パック 1.0kg</t>
        </is>
      </c>
      <c r="H5" s="3" t="n">
        <v>2451</v>
      </c>
      <c r="I5" s="3" t="n">
        <v>2816</v>
      </c>
      <c r="J5" s="3" t="n">
        <v>2223</v>
      </c>
      <c r="K5" s="3" t="n">
        <v>2245</v>
      </c>
      <c r="L5" s="3" t="n">
        <v>2392</v>
      </c>
      <c r="M5" s="3" t="n">
        <v>1669</v>
      </c>
      <c r="N5" s="3" t="n">
        <v>2064</v>
      </c>
      <c r="O5" s="3" t="n">
        <v>2654</v>
      </c>
      <c r="P5" s="3" t="n">
        <v>2015</v>
      </c>
      <c r="Q5" s="3" t="n">
        <v>1663</v>
      </c>
      <c r="R5" s="3" t="n">
        <v>1763</v>
      </c>
      <c r="S5" s="3" t="n">
        <v>1992</v>
      </c>
      <c r="T5" s="3" t="n">
        <v>2223</v>
      </c>
      <c r="U5" s="3" t="n">
        <v>3045</v>
      </c>
      <c r="V5" s="3" t="n">
        <v>1596</v>
      </c>
      <c r="W5" s="3" t="n">
        <v>1749</v>
      </c>
      <c r="X5" s="3" t="n">
        <v>1978</v>
      </c>
      <c r="Y5" s="3" t="n">
        <v>1889</v>
      </c>
      <c r="Z5" s="3" t="n">
        <v>2074</v>
      </c>
    </row>
    <row r="6">
      <c r="C6" s="0" t="inlineStr">
        <is>
          <t>パック 1.5kg</t>
        </is>
      </c>
      <c r="D6" s="3" t="n">
        <v>3115</v>
      </c>
      <c r="E6" s="3" t="n">
        <v>5283</v>
      </c>
      <c r="F6" s="3" t="n">
        <v>2836</v>
      </c>
      <c r="G6" s="0" t="inlineStr">
        <is>
          <t>パック 1.5kg</t>
        </is>
      </c>
      <c r="H6" s="3" t="n">
        <v>2881</v>
      </c>
      <c r="I6" s="3" t="n">
        <v>3564</v>
      </c>
      <c r="J6" s="3" t="n">
        <v>2857</v>
      </c>
      <c r="K6" s="3" t="n">
        <v>2915</v>
      </c>
      <c r="L6" s="3" t="n">
        <v>3099</v>
      </c>
      <c r="M6" s="3" t="n">
        <v>2009</v>
      </c>
      <c r="N6" s="3" t="n">
        <v>2658</v>
      </c>
      <c r="O6" s="3" t="n">
        <v>3069</v>
      </c>
      <c r="P6" s="3" t="n">
        <v>2442</v>
      </c>
      <c r="Q6" s="3" t="n">
        <v>1958</v>
      </c>
      <c r="R6" s="3" t="n">
        <v>2071</v>
      </c>
      <c r="S6" s="3" t="n">
        <v>2327</v>
      </c>
      <c r="T6" s="3" t="n">
        <v>2574</v>
      </c>
      <c r="U6" s="3" t="n">
        <v>3643</v>
      </c>
      <c r="V6" s="3" t="n">
        <v>1924</v>
      </c>
      <c r="W6" s="3" t="n">
        <v>2100</v>
      </c>
      <c r="X6" s="3" t="n">
        <v>2363</v>
      </c>
      <c r="Y6" s="3" t="n">
        <v>2212</v>
      </c>
      <c r="Z6" s="3" t="n">
        <v>2473</v>
      </c>
    </row>
    <row r="7">
      <c r="C7" s="0" t="inlineStr">
        <is>
          <t>パック 2.0kg</t>
        </is>
      </c>
      <c r="D7" s="3" t="n">
        <v>3460</v>
      </c>
      <c r="E7" s="3" t="n">
        <v>6010</v>
      </c>
      <c r="F7" s="3" t="n">
        <v>3157</v>
      </c>
      <c r="G7" s="0" t="inlineStr">
        <is>
          <t>パック 2.0kg</t>
        </is>
      </c>
      <c r="H7" s="3" t="n">
        <v>3204</v>
      </c>
      <c r="I7" s="3" t="n">
        <v>4254</v>
      </c>
      <c r="J7" s="3" t="n">
        <v>3408</v>
      </c>
      <c r="K7" s="3" t="n">
        <v>3404</v>
      </c>
      <c r="L7" s="3" t="n">
        <v>3630</v>
      </c>
      <c r="M7" s="3" t="n">
        <v>2222</v>
      </c>
      <c r="N7" s="3" t="n">
        <v>3168</v>
      </c>
      <c r="O7" s="3" t="n">
        <v>3377</v>
      </c>
      <c r="P7" s="3" t="n">
        <v>2761</v>
      </c>
      <c r="Q7" s="3" t="n">
        <v>2146</v>
      </c>
      <c r="R7" s="3" t="n">
        <v>2271</v>
      </c>
      <c r="S7" s="3" t="n">
        <v>2554</v>
      </c>
      <c r="T7" s="3" t="n">
        <v>2804</v>
      </c>
      <c r="U7" s="3" t="n">
        <v>4135</v>
      </c>
      <c r="V7" s="3" t="n">
        <v>2127</v>
      </c>
      <c r="W7" s="3" t="n">
        <v>2324</v>
      </c>
      <c r="X7" s="3" t="n">
        <v>2619</v>
      </c>
      <c r="Y7" s="3" t="n">
        <v>2427</v>
      </c>
      <c r="Z7" s="3" t="n">
        <v>2742</v>
      </c>
    </row>
    <row r="8">
      <c r="C8" s="0" t="inlineStr">
        <is>
          <t>パック 2.5kg</t>
        </is>
      </c>
      <c r="D8" s="3" t="n">
        <v>3943</v>
      </c>
      <c r="E8" s="3" t="n">
        <v>6887</v>
      </c>
      <c r="F8" s="3" t="n">
        <v>3589</v>
      </c>
      <c r="G8" s="0" t="inlineStr">
        <is>
          <t>パック 2.5kg</t>
        </is>
      </c>
      <c r="H8" s="3" t="n">
        <v>3641</v>
      </c>
      <c r="I8" s="3" t="n">
        <v>5025</v>
      </c>
      <c r="J8" s="3" t="n">
        <v>4046</v>
      </c>
      <c r="K8" s="3" t="n">
        <v>4019</v>
      </c>
      <c r="L8" s="3" t="n">
        <v>4261</v>
      </c>
      <c r="M8" s="3" t="n">
        <v>2563</v>
      </c>
      <c r="N8" s="3" t="n">
        <v>3766</v>
      </c>
      <c r="O8" s="3" t="n">
        <v>3820</v>
      </c>
      <c r="P8" s="3" t="n">
        <v>3207</v>
      </c>
      <c r="Q8" s="3" t="n">
        <v>2460</v>
      </c>
      <c r="R8" s="3" t="n">
        <v>2598</v>
      </c>
      <c r="S8" s="3" t="n">
        <v>2912</v>
      </c>
      <c r="T8" s="3" t="n">
        <v>3164</v>
      </c>
      <c r="U8" s="3" t="n">
        <v>4763</v>
      </c>
      <c r="V8" s="3" t="n">
        <v>2458</v>
      </c>
      <c r="W8" s="3" t="n">
        <v>2677</v>
      </c>
      <c r="X8" s="3" t="n">
        <v>3005</v>
      </c>
      <c r="Y8" s="3" t="n">
        <v>2770</v>
      </c>
      <c r="Z8" s="3" t="n">
        <v>3143</v>
      </c>
    </row>
    <row r="9">
      <c r="B9" s="0" t="inlineStr">
        <is>
          <t>2025/8/30～</t>
        </is>
      </c>
      <c r="C9" s="0" t="inlineStr">
        <is>
          <t>Fedex 0.5kg</t>
        </is>
      </c>
      <c r="D9" s="3" t="n">
        <v>2523</v>
      </c>
      <c r="E9" s="3" t="n">
        <v>5323</v>
      </c>
      <c r="F9" s="3" t="n">
        <v>1999</v>
      </c>
      <c r="G9" s="0" t="inlineStr">
        <is>
          <t>Fedex 0.5kg</t>
        </is>
      </c>
      <c r="H9" s="0" t="n">
        <v>4474</v>
      </c>
      <c r="I9" s="3" t="n">
        <v>3580</v>
      </c>
      <c r="J9" s="3" t="n">
        <v>2142</v>
      </c>
      <c r="K9" s="3" t="n">
        <v>2158</v>
      </c>
      <c r="L9" s="3" t="n">
        <v>2995</v>
      </c>
      <c r="M9" s="3" t="n">
        <v>1630</v>
      </c>
      <c r="N9" s="3" t="n">
        <v>2065</v>
      </c>
      <c r="O9" s="3" t="n">
        <v>2944</v>
      </c>
      <c r="P9" s="3" t="n">
        <v>2360</v>
      </c>
      <c r="Q9" s="3" t="n">
        <v>1788</v>
      </c>
      <c r="R9" s="3" t="n">
        <v>1914</v>
      </c>
      <c r="S9" s="3" t="n">
        <v>2170</v>
      </c>
      <c r="T9" s="3" t="n">
        <v>2751</v>
      </c>
      <c r="U9" s="3" t="n">
        <v>3071</v>
      </c>
      <c r="V9" s="3" t="n">
        <v>1522</v>
      </c>
      <c r="W9" s="3" t="n">
        <v>1692</v>
      </c>
      <c r="X9" s="3" t="n">
        <v>1692</v>
      </c>
      <c r="Y9" s="3" t="n">
        <v>1914</v>
      </c>
      <c r="Z9" s="3" t="n">
        <v>1904</v>
      </c>
    </row>
    <row r="10">
      <c r="B10" s="0" t="inlineStr">
        <is>
          <t>黄色のところ</t>
        </is>
      </c>
      <c r="C10" s="0" t="inlineStr">
        <is>
          <t>Fedex 1.0kg</t>
        </is>
      </c>
      <c r="D10" s="3" t="n">
        <v>3336</v>
      </c>
      <c r="E10" s="3" t="n">
        <v>5907</v>
      </c>
      <c r="F10" s="3" t="n">
        <v>2226</v>
      </c>
      <c r="G10" s="0" t="inlineStr">
        <is>
          <t>Fedex 1.0kg</t>
        </is>
      </c>
      <c r="H10" s="0" t="n">
        <v>5279</v>
      </c>
      <c r="I10" s="3" t="n">
        <v>4152</v>
      </c>
      <c r="J10" s="3" t="n">
        <v>2386</v>
      </c>
      <c r="K10" s="3" t="n">
        <v>2407</v>
      </c>
      <c r="L10" s="3" t="n">
        <v>3320</v>
      </c>
      <c r="M10" s="3" t="n">
        <v>1717</v>
      </c>
      <c r="N10" s="3" t="n">
        <v>2243</v>
      </c>
      <c r="O10" s="3" t="n">
        <v>2816</v>
      </c>
      <c r="P10" s="3" t="n">
        <v>2745</v>
      </c>
      <c r="Q10" s="3" t="n">
        <v>1965</v>
      </c>
      <c r="R10" s="3" t="n">
        <v>2050</v>
      </c>
      <c r="S10" s="3" t="n">
        <v>2392</v>
      </c>
      <c r="T10" s="3" t="n">
        <v>2792</v>
      </c>
      <c r="U10" s="3" t="n">
        <v>3571</v>
      </c>
      <c r="V10" s="3" t="n">
        <v>1691</v>
      </c>
      <c r="W10" s="3" t="n">
        <v>1800</v>
      </c>
      <c r="X10" s="3" t="n">
        <v>2037</v>
      </c>
      <c r="Y10" s="3" t="n">
        <v>2050</v>
      </c>
      <c r="Z10" s="3" t="n">
        <v>2135</v>
      </c>
    </row>
    <row r="11">
      <c r="C11" s="0" t="inlineStr">
        <is>
          <t>Fedex 1.5kg</t>
        </is>
      </c>
      <c r="D11" s="3" t="n">
        <v>3857</v>
      </c>
      <c r="E11" s="3" t="n">
        <v>7011</v>
      </c>
      <c r="F11" s="3" t="n">
        <v>2552</v>
      </c>
      <c r="G11" s="0" t="inlineStr">
        <is>
          <t>Fedex 1.5kg</t>
        </is>
      </c>
      <c r="H11" s="0" t="n">
        <v>5951</v>
      </c>
      <c r="I11" s="3" t="n">
        <v>5201</v>
      </c>
      <c r="J11" s="3" t="n">
        <v>2729</v>
      </c>
      <c r="K11" s="3" t="n">
        <v>2753</v>
      </c>
      <c r="L11" s="3" t="n">
        <v>4140</v>
      </c>
      <c r="M11" s="3" t="n">
        <v>2031</v>
      </c>
      <c r="N11" s="3" t="n">
        <v>2517</v>
      </c>
      <c r="O11" s="3" t="n">
        <v>3185</v>
      </c>
      <c r="P11" s="3" t="n">
        <v>3307</v>
      </c>
      <c r="Q11" s="3" t="n">
        <v>2294</v>
      </c>
      <c r="R11" s="3" t="n">
        <v>2390</v>
      </c>
      <c r="S11" s="3" t="n">
        <v>2774</v>
      </c>
      <c r="T11" s="3" t="n">
        <v>3267</v>
      </c>
      <c r="U11" s="3" t="n">
        <v>4274</v>
      </c>
      <c r="V11" s="3" t="n">
        <v>2003</v>
      </c>
      <c r="W11" s="3" t="n">
        <v>2125</v>
      </c>
      <c r="X11" s="3" t="n">
        <v>2391</v>
      </c>
      <c r="Y11" s="3" t="n">
        <v>2390</v>
      </c>
      <c r="Z11" s="3" t="n">
        <v>2503</v>
      </c>
    </row>
    <row r="12">
      <c r="C12" s="0" t="inlineStr">
        <is>
          <t>Fedex 2.0kg</t>
        </is>
      </c>
      <c r="D12" s="3" t="n">
        <v>4277</v>
      </c>
      <c r="E12" s="3" t="n">
        <v>7826</v>
      </c>
      <c r="F12" s="3" t="n">
        <v>2670</v>
      </c>
      <c r="G12" s="0" t="inlineStr">
        <is>
          <t>Fedex 2.0kg</t>
        </is>
      </c>
      <c r="H12" s="0" t="n">
        <v>6627</v>
      </c>
      <c r="I12" s="3" t="n">
        <v>6100</v>
      </c>
      <c r="J12" s="3" t="n">
        <v>2906</v>
      </c>
      <c r="K12" s="3" t="n">
        <v>2948</v>
      </c>
      <c r="L12" s="3" t="n">
        <v>4704</v>
      </c>
      <c r="M12" s="3" t="n">
        <v>2186</v>
      </c>
      <c r="N12" s="3" t="n">
        <v>2600</v>
      </c>
      <c r="O12" s="3" t="n">
        <v>3463</v>
      </c>
      <c r="P12" s="3" t="n">
        <v>3669</v>
      </c>
      <c r="Q12" s="3" t="n">
        <v>2428</v>
      </c>
      <c r="R12" s="3" t="n">
        <v>2535</v>
      </c>
      <c r="S12" s="3" t="n">
        <v>2955</v>
      </c>
      <c r="T12" s="3" t="n">
        <v>3616</v>
      </c>
      <c r="U12" s="3" t="n">
        <v>4777</v>
      </c>
      <c r="V12" s="3" t="n">
        <v>2202</v>
      </c>
      <c r="W12" s="3" t="n">
        <v>2335</v>
      </c>
      <c r="X12" s="3" t="n">
        <v>2602</v>
      </c>
      <c r="Y12" s="3" t="n">
        <v>2535</v>
      </c>
      <c r="Z12" s="3" t="n">
        <v>2731</v>
      </c>
    </row>
    <row r="13">
      <c r="C13" s="0" t="inlineStr">
        <is>
          <t>Fedex 2.5kg</t>
        </is>
      </c>
      <c r="D13" s="3" t="n">
        <v>4799</v>
      </c>
      <c r="E13" s="3" t="n">
        <v>8940</v>
      </c>
      <c r="F13" s="3" t="n">
        <v>3056</v>
      </c>
      <c r="G13" s="0" t="inlineStr">
        <is>
          <t>Fedex 2.5kg</t>
        </is>
      </c>
      <c r="H13" s="0" t="n">
        <v>7340</v>
      </c>
      <c r="I13" s="3" t="n">
        <v>7172</v>
      </c>
      <c r="J13" s="3" t="n">
        <v>3390</v>
      </c>
      <c r="K13" s="3" t="n">
        <v>3502</v>
      </c>
      <c r="L13" s="3" t="n">
        <v>5537</v>
      </c>
      <c r="M13" s="3" t="n">
        <v>2495</v>
      </c>
      <c r="N13" s="3" t="n">
        <v>3042</v>
      </c>
      <c r="O13" s="3" t="n">
        <v>3897</v>
      </c>
      <c r="P13" s="3" t="n">
        <v>4233</v>
      </c>
      <c r="Q13" s="3" t="n">
        <v>2760</v>
      </c>
      <c r="R13" s="3" t="n">
        <v>2878</v>
      </c>
      <c r="S13" s="3" t="n">
        <v>3339</v>
      </c>
      <c r="T13" s="3" t="n">
        <v>4134</v>
      </c>
      <c r="U13" s="3" t="n">
        <v>5489</v>
      </c>
      <c r="V13" s="3" t="n">
        <v>2513</v>
      </c>
      <c r="W13" s="3" t="n">
        <v>2659</v>
      </c>
      <c r="X13" s="3" t="n">
        <v>2954</v>
      </c>
      <c r="Y13" s="3" t="n">
        <v>2878</v>
      </c>
      <c r="Z13" s="3" t="n">
        <v>3096</v>
      </c>
    </row>
    <row r="14">
      <c r="C14" s="0" t="inlineStr">
        <is>
          <t>Fedex 3.0kg</t>
        </is>
      </c>
      <c r="D14" s="3" t="n">
        <v>5164</v>
      </c>
      <c r="E14" s="3" t="n">
        <v>9948</v>
      </c>
      <c r="F14" s="3" t="n">
        <v>3542</v>
      </c>
      <c r="G14" s="0" t="inlineStr">
        <is>
          <t>Fedex 3.0kg</t>
        </is>
      </c>
      <c r="H14" s="0" t="n">
        <v>9602</v>
      </c>
      <c r="I14" s="3" t="n">
        <v>8089</v>
      </c>
      <c r="J14" s="3" t="n">
        <v>3771</v>
      </c>
      <c r="K14" s="3" t="n">
        <v>3953</v>
      </c>
      <c r="L14" s="3" t="n">
        <v>6282</v>
      </c>
      <c r="M14" s="3" t="n">
        <v>2672</v>
      </c>
      <c r="N14" s="3" t="n">
        <v>3379</v>
      </c>
      <c r="O14" s="3" t="n">
        <v>4322</v>
      </c>
      <c r="P14" s="3" t="n">
        <v>4691</v>
      </c>
      <c r="Q14" s="3" t="n">
        <v>3049</v>
      </c>
      <c r="R14" s="3" t="n">
        <v>3180</v>
      </c>
      <c r="S14" s="3" t="n">
        <v>3698</v>
      </c>
      <c r="T14" s="3" t="n">
        <v>4543</v>
      </c>
      <c r="U14" s="3" t="n">
        <v>6092</v>
      </c>
      <c r="V14" s="3" t="n">
        <v>2692</v>
      </c>
      <c r="W14" s="3" t="n">
        <v>2849</v>
      </c>
      <c r="X14" s="3" t="n">
        <v>3168</v>
      </c>
      <c r="Y14" s="3" t="n">
        <v>3180</v>
      </c>
      <c r="Z14" s="3" t="n">
        <v>3321</v>
      </c>
    </row>
    <row r="15">
      <c r="C15" s="0" t="inlineStr">
        <is>
          <t>Fedex 3.5kg</t>
        </is>
      </c>
      <c r="D15" s="3" t="n">
        <v>5692</v>
      </c>
      <c r="E15" s="3" t="n">
        <v>10166</v>
      </c>
      <c r="F15" s="3" t="n">
        <v>3325</v>
      </c>
      <c r="G15" s="0" t="inlineStr">
        <is>
          <t>Fedex 3.5kg</t>
        </is>
      </c>
      <c r="H15" s="0" t="n">
        <v>10966</v>
      </c>
      <c r="I15" s="3" t="n">
        <v>8870</v>
      </c>
      <c r="J15" s="3" t="n">
        <v>3867</v>
      </c>
      <c r="K15" s="3" t="n">
        <v>4084</v>
      </c>
      <c r="L15" s="3" t="n">
        <v>7049</v>
      </c>
      <c r="M15" s="3" t="n">
        <v>2790</v>
      </c>
      <c r="N15" s="3" t="n">
        <v>3351</v>
      </c>
      <c r="O15" s="3" t="n">
        <v>4595</v>
      </c>
      <c r="P15" s="3" t="n">
        <v>4906</v>
      </c>
      <c r="Q15" s="3" t="n">
        <v>3151</v>
      </c>
      <c r="R15" s="3" t="n">
        <v>3267</v>
      </c>
      <c r="S15" s="3" t="n">
        <v>3827</v>
      </c>
      <c r="T15" s="3" t="n">
        <v>5008</v>
      </c>
      <c r="U15" s="3" t="n">
        <v>6301</v>
      </c>
      <c r="V15" s="3" t="n">
        <v>2826</v>
      </c>
      <c r="W15" s="3" t="n">
        <v>2987</v>
      </c>
      <c r="X15" s="3" t="n">
        <v>3351</v>
      </c>
      <c r="Y15" s="3" t="n">
        <v>3265</v>
      </c>
      <c r="Z15" s="3" t="n">
        <v>3490</v>
      </c>
    </row>
    <row r="16">
      <c r="C16" s="0" t="inlineStr">
        <is>
          <t>Fedex 4.0kg</t>
        </is>
      </c>
      <c r="D16" s="3" t="n">
        <v>6064</v>
      </c>
      <c r="E16" s="3" t="n">
        <v>11092</v>
      </c>
      <c r="F16" s="3" t="n">
        <v>3709</v>
      </c>
      <c r="G16" s="0" t="inlineStr">
        <is>
          <t>Fedex 4.0kg</t>
        </is>
      </c>
      <c r="H16" s="0" t="n">
        <v>12329</v>
      </c>
      <c r="I16" s="3" t="n">
        <v>9764</v>
      </c>
      <c r="J16" s="3" t="n">
        <v>4213</v>
      </c>
      <c r="K16" s="3" t="n">
        <v>4492</v>
      </c>
      <c r="L16" s="3" t="n">
        <v>7789</v>
      </c>
      <c r="M16" s="3" t="n">
        <v>2958</v>
      </c>
      <c r="N16" s="3" t="n">
        <v>3646</v>
      </c>
      <c r="O16" s="3" t="n">
        <v>4997</v>
      </c>
      <c r="P16" s="3" t="n">
        <v>5334</v>
      </c>
      <c r="Q16" s="3" t="n">
        <v>3416</v>
      </c>
      <c r="R16" s="3" t="n">
        <v>3542</v>
      </c>
      <c r="S16" s="3" t="n">
        <v>4157</v>
      </c>
      <c r="T16" s="3" t="n">
        <v>5415</v>
      </c>
      <c r="U16" s="3" t="n">
        <v>6861</v>
      </c>
      <c r="V16" s="3" t="n">
        <v>2996</v>
      </c>
      <c r="W16" s="3" t="n">
        <v>3168</v>
      </c>
      <c r="X16" s="3" t="n">
        <v>3558</v>
      </c>
      <c r="Y16" s="3" t="n">
        <v>3540</v>
      </c>
      <c r="Z16" s="3" t="n">
        <v>3708</v>
      </c>
    </row>
    <row r="17">
      <c r="C17" s="0" t="inlineStr">
        <is>
          <t>Fedex 4.5kg</t>
        </is>
      </c>
      <c r="D17" s="3" t="n">
        <v>6536</v>
      </c>
      <c r="E17" s="3" t="n">
        <v>12118</v>
      </c>
      <c r="F17" s="3" t="n">
        <v>4193</v>
      </c>
      <c r="G17" s="0" t="inlineStr">
        <is>
          <t>Fedex 4.5kg</t>
        </is>
      </c>
      <c r="H17" s="0" t="n">
        <v>13693</v>
      </c>
      <c r="I17" s="3" t="n">
        <v>10759</v>
      </c>
      <c r="J17" s="3" t="n">
        <v>4658</v>
      </c>
      <c r="K17" s="3" t="n">
        <v>4999</v>
      </c>
      <c r="L17" s="3" t="n">
        <v>8628</v>
      </c>
      <c r="M17" s="3" t="n">
        <v>3226</v>
      </c>
      <c r="N17" s="3" t="n">
        <v>4041</v>
      </c>
      <c r="O17" s="3" t="n">
        <v>5501</v>
      </c>
      <c r="P17" s="3" t="n">
        <v>5862</v>
      </c>
      <c r="Q17" s="3" t="n">
        <v>3780</v>
      </c>
      <c r="R17" s="3" t="n">
        <v>3918</v>
      </c>
      <c r="S17" s="3" t="n">
        <v>4586</v>
      </c>
      <c r="T17" s="3" t="n">
        <v>5922</v>
      </c>
      <c r="U17" s="3" t="n">
        <v>7520</v>
      </c>
      <c r="V17" s="3" t="n">
        <v>3267</v>
      </c>
      <c r="W17" s="3" t="n">
        <v>3450</v>
      </c>
      <c r="X17" s="3" t="n">
        <v>3865</v>
      </c>
      <c r="Y17" s="3" t="n">
        <v>3915</v>
      </c>
      <c r="Z17" s="3" t="n">
        <v>4025</v>
      </c>
    </row>
    <row r="18">
      <c r="C18" s="0" t="inlineStr">
        <is>
          <t>Fedex 5.0kg</t>
        </is>
      </c>
      <c r="D18" s="3" t="n">
        <v>6907</v>
      </c>
      <c r="E18" s="3" t="n">
        <v>13045</v>
      </c>
      <c r="F18" s="3" t="n">
        <v>4577</v>
      </c>
      <c r="G18" s="0" t="inlineStr">
        <is>
          <t>Fedex 5.0kg</t>
        </is>
      </c>
      <c r="H18" s="0" t="n">
        <v>15056</v>
      </c>
      <c r="I18" s="3" t="n">
        <v>11653</v>
      </c>
      <c r="J18" s="3" t="n">
        <v>5004</v>
      </c>
      <c r="K18" s="3" t="n">
        <v>5406</v>
      </c>
      <c r="L18" s="3" t="n">
        <v>9368</v>
      </c>
      <c r="M18" s="3" t="n">
        <v>3393</v>
      </c>
      <c r="N18" s="3" t="n">
        <v>4335</v>
      </c>
      <c r="O18" s="3" t="n">
        <v>5904</v>
      </c>
      <c r="P18" s="3" t="n">
        <v>6289</v>
      </c>
      <c r="Q18" s="3" t="n">
        <v>4045</v>
      </c>
      <c r="R18" s="3" t="n">
        <v>4193</v>
      </c>
      <c r="S18" s="3" t="n">
        <v>4916</v>
      </c>
      <c r="T18" s="3" t="n">
        <v>6329</v>
      </c>
      <c r="U18" s="3" t="n">
        <v>8080</v>
      </c>
      <c r="V18" s="3" t="n">
        <v>3437</v>
      </c>
      <c r="W18" s="3" t="n">
        <v>3632</v>
      </c>
      <c r="X18" s="3" t="n">
        <v>4073</v>
      </c>
      <c r="Y18" s="3" t="n">
        <v>4191</v>
      </c>
      <c r="Z18" s="3" t="n">
        <v>4242</v>
      </c>
    </row>
    <row r="19">
      <c r="C19" s="0" t="inlineStr">
        <is>
          <t>Fedex 5.5kg</t>
        </is>
      </c>
      <c r="D19" s="3" t="n">
        <v>8558</v>
      </c>
      <c r="E19" s="3" t="n">
        <v>13782</v>
      </c>
      <c r="F19" s="3" t="n">
        <v>5715</v>
      </c>
      <c r="G19" s="0" t="inlineStr">
        <is>
          <t>Fedex 5.5kg</t>
        </is>
      </c>
      <c r="H19" s="0" t="n">
        <v>15205</v>
      </c>
      <c r="I19" s="3" t="n">
        <v>13932</v>
      </c>
      <c r="J19" s="3" t="n">
        <v>6086</v>
      </c>
      <c r="K19" s="3" t="n">
        <v>6861</v>
      </c>
      <c r="L19" s="3" t="n">
        <v>12913</v>
      </c>
      <c r="M19" s="3" t="n">
        <v>3582</v>
      </c>
      <c r="N19" s="3" t="n">
        <v>5099</v>
      </c>
      <c r="O19" s="3" t="n">
        <v>6627</v>
      </c>
      <c r="P19" s="3" t="n">
        <v>7203</v>
      </c>
      <c r="Q19" s="3" t="n">
        <v>4620</v>
      </c>
      <c r="R19" s="3" t="n">
        <v>4454</v>
      </c>
      <c r="S19" s="3" t="n">
        <v>5656</v>
      </c>
      <c r="T19" s="3" t="n">
        <v>7856</v>
      </c>
      <c r="U19" s="3" t="n">
        <v>9244</v>
      </c>
      <c r="V19" s="3" t="n">
        <v>3580</v>
      </c>
      <c r="W19" s="3" t="n">
        <v>3709</v>
      </c>
      <c r="X19" s="3" t="n">
        <v>4630</v>
      </c>
      <c r="Y19" s="3" t="n">
        <v>4380</v>
      </c>
      <c r="Z19" s="3" t="n">
        <v>4282</v>
      </c>
    </row>
    <row r="20">
      <c r="C20" s="0" t="inlineStr">
        <is>
          <t>Fedex 6.0kg</t>
        </is>
      </c>
      <c r="D20" s="3" t="n">
        <v>8827</v>
      </c>
      <c r="E20" s="3" t="n">
        <v>14364</v>
      </c>
      <c r="F20" s="3" t="n">
        <v>5840</v>
      </c>
      <c r="G20" s="0" t="inlineStr">
        <is>
          <t>Fedex 6.0kg</t>
        </is>
      </c>
      <c r="H20" s="0" t="n">
        <v>15600</v>
      </c>
      <c r="I20" s="3" t="n">
        <v>14201</v>
      </c>
      <c r="J20" s="3" t="n">
        <v>6268</v>
      </c>
      <c r="K20" s="3" t="n">
        <v>6996</v>
      </c>
      <c r="L20" s="3" t="n">
        <v>13171</v>
      </c>
      <c r="M20" s="3" t="n">
        <v>3682</v>
      </c>
      <c r="N20" s="3" t="n">
        <v>5248</v>
      </c>
      <c r="O20" s="3" t="n">
        <v>6774</v>
      </c>
      <c r="P20" s="3" t="n">
        <v>7495</v>
      </c>
      <c r="Q20" s="3" t="n">
        <v>4718</v>
      </c>
      <c r="R20" s="3" t="n">
        <v>4548</v>
      </c>
      <c r="S20" s="3" t="n">
        <v>5779</v>
      </c>
      <c r="T20" s="3" t="n">
        <v>8025</v>
      </c>
      <c r="U20" s="3" t="n">
        <v>9625</v>
      </c>
      <c r="V20" s="3" t="n">
        <v>3680</v>
      </c>
      <c r="W20" s="3" t="n">
        <v>3814</v>
      </c>
      <c r="X20" s="3" t="n">
        <v>4765</v>
      </c>
      <c r="Y20" s="3" t="n">
        <v>4470</v>
      </c>
      <c r="Z20" s="3" t="n">
        <v>4407</v>
      </c>
    </row>
    <row r="21">
      <c r="C21" s="0" t="inlineStr">
        <is>
          <t>Fedex 6.5kg</t>
        </is>
      </c>
      <c r="D21" s="3" t="n">
        <v>9196</v>
      </c>
      <c r="E21" s="3" t="n">
        <v>15045</v>
      </c>
      <c r="F21" s="3" t="n">
        <v>6065</v>
      </c>
      <c r="G21" s="0" t="inlineStr">
        <is>
          <t>Fedex 6.5kg</t>
        </is>
      </c>
      <c r="H21" s="0" t="n">
        <v>15997</v>
      </c>
      <c r="I21" s="3" t="n">
        <v>14569</v>
      </c>
      <c r="J21" s="3" t="n">
        <v>6549</v>
      </c>
      <c r="K21" s="3" t="n">
        <v>7230</v>
      </c>
      <c r="L21" s="3" t="n">
        <v>13529</v>
      </c>
      <c r="M21" s="3" t="n">
        <v>3884</v>
      </c>
      <c r="N21" s="3" t="n">
        <v>5497</v>
      </c>
      <c r="O21" s="3" t="n">
        <v>7020</v>
      </c>
      <c r="P21" s="3" t="n">
        <v>7886</v>
      </c>
      <c r="Q21" s="3" t="n">
        <v>4915</v>
      </c>
      <c r="R21" s="3" t="n">
        <v>4742</v>
      </c>
      <c r="S21" s="3" t="n">
        <v>6002</v>
      </c>
      <c r="T21" s="3" t="n">
        <v>8293</v>
      </c>
      <c r="U21" s="3" t="n">
        <v>10106</v>
      </c>
      <c r="V21" s="3" t="n">
        <v>3880</v>
      </c>
      <c r="W21" s="3" t="n">
        <v>4019</v>
      </c>
      <c r="X21" s="3" t="n">
        <v>5002</v>
      </c>
      <c r="Y21" s="3" t="n">
        <v>4662</v>
      </c>
      <c r="Z21" s="3" t="n">
        <v>4631</v>
      </c>
    </row>
    <row r="22">
      <c r="C22" s="0" t="inlineStr">
        <is>
          <t>Fedex 7.0kg</t>
        </is>
      </c>
      <c r="D22" s="3" t="n">
        <v>9465</v>
      </c>
      <c r="E22" s="3" t="n">
        <v>15627</v>
      </c>
      <c r="F22" s="3" t="n">
        <v>6191</v>
      </c>
      <c r="G22" s="0" t="inlineStr">
        <is>
          <t>Fedex 7.0kg</t>
        </is>
      </c>
      <c r="H22" s="0" t="n">
        <v>16392</v>
      </c>
      <c r="I22" s="3" t="n">
        <v>14838</v>
      </c>
      <c r="J22" s="3" t="n">
        <v>6731</v>
      </c>
      <c r="K22" s="3" t="n">
        <v>7365</v>
      </c>
      <c r="L22" s="3" t="n">
        <v>13786</v>
      </c>
      <c r="M22" s="3" t="n">
        <v>3984</v>
      </c>
      <c r="N22" s="3" t="n">
        <v>5647</v>
      </c>
      <c r="O22" s="3" t="n">
        <v>7166</v>
      </c>
      <c r="P22" s="3" t="n">
        <v>8178</v>
      </c>
      <c r="Q22" s="3" t="n">
        <v>5013</v>
      </c>
      <c r="R22" s="3" t="n">
        <v>4835</v>
      </c>
      <c r="S22" s="3" t="n">
        <v>6124</v>
      </c>
      <c r="T22" s="3" t="n">
        <v>8461</v>
      </c>
      <c r="U22" s="3" t="n">
        <v>10487</v>
      </c>
      <c r="V22" s="3" t="n">
        <v>3982</v>
      </c>
      <c r="W22" s="3" t="n">
        <v>4124</v>
      </c>
      <c r="X22" s="3" t="n">
        <v>5138</v>
      </c>
      <c r="Y22" s="3" t="n">
        <v>4754</v>
      </c>
      <c r="Z22" s="3" t="n">
        <v>4756</v>
      </c>
    </row>
    <row r="23">
      <c r="C23" s="0" t="inlineStr">
        <is>
          <t>Fedex 7.5kg</t>
        </is>
      </c>
      <c r="D23" s="3" t="n">
        <v>9834</v>
      </c>
      <c r="E23" s="3" t="n">
        <v>16309</v>
      </c>
      <c r="F23" s="3" t="n">
        <v>6417</v>
      </c>
      <c r="G23" s="0" t="inlineStr">
        <is>
          <t>Fedex 7.5kg</t>
        </is>
      </c>
      <c r="H23" s="0" t="n">
        <v>16789</v>
      </c>
      <c r="I23" s="3" t="n">
        <v>15205</v>
      </c>
      <c r="J23" s="3" t="n">
        <v>7013</v>
      </c>
      <c r="K23" s="3" t="n">
        <v>7599</v>
      </c>
      <c r="L23" s="3" t="n">
        <v>14143</v>
      </c>
      <c r="M23" s="3" t="n">
        <v>4184</v>
      </c>
      <c r="N23" s="3" t="n">
        <v>5895</v>
      </c>
      <c r="O23" s="3" t="n">
        <v>7413</v>
      </c>
      <c r="P23" s="3" t="n">
        <v>8569</v>
      </c>
      <c r="Q23" s="3" t="n">
        <v>5211</v>
      </c>
      <c r="R23" s="3" t="n">
        <v>5028</v>
      </c>
      <c r="S23" s="3" t="n">
        <v>6347</v>
      </c>
      <c r="T23" s="3" t="n">
        <v>8730</v>
      </c>
      <c r="U23" s="3" t="n">
        <v>10968</v>
      </c>
      <c r="V23" s="3" t="n">
        <v>4182</v>
      </c>
      <c r="W23" s="3" t="n">
        <v>4329</v>
      </c>
      <c r="X23" s="3" t="n">
        <v>5374</v>
      </c>
      <c r="Y23" s="3" t="n">
        <v>4947</v>
      </c>
      <c r="Z23" s="3" t="n">
        <v>4980</v>
      </c>
    </row>
    <row r="24">
      <c r="C24" s="0" t="inlineStr">
        <is>
          <t>Fedex 8.0kg</t>
        </is>
      </c>
      <c r="D24" s="3" t="n">
        <v>10103</v>
      </c>
      <c r="E24" s="3" t="n">
        <v>16890</v>
      </c>
      <c r="F24" s="3" t="n">
        <v>6542</v>
      </c>
      <c r="G24" s="0" t="inlineStr">
        <is>
          <t>Fedex 8.0kg</t>
        </is>
      </c>
      <c r="H24" s="0" t="n">
        <v>17184</v>
      </c>
      <c r="I24" s="3" t="n">
        <v>15474</v>
      </c>
      <c r="J24" s="3" t="n">
        <v>7196</v>
      </c>
      <c r="K24" s="3" t="n">
        <v>7734</v>
      </c>
      <c r="L24" s="3" t="n">
        <v>14401</v>
      </c>
      <c r="M24" s="3" t="n">
        <v>4286</v>
      </c>
      <c r="N24" s="3" t="n">
        <v>6044</v>
      </c>
      <c r="O24" s="3" t="n">
        <v>7559</v>
      </c>
      <c r="P24" s="3" t="n">
        <v>8861</v>
      </c>
      <c r="Q24" s="3" t="n">
        <v>5308</v>
      </c>
      <c r="R24" s="3" t="n">
        <v>5122</v>
      </c>
      <c r="S24" s="3" t="n">
        <v>6470</v>
      </c>
      <c r="T24" s="3" t="n">
        <v>8897</v>
      </c>
      <c r="U24" s="3" t="n">
        <v>11349</v>
      </c>
      <c r="V24" s="3" t="n">
        <v>4282</v>
      </c>
      <c r="W24" s="3" t="n">
        <v>4434</v>
      </c>
      <c r="X24" s="3" t="n">
        <v>5511</v>
      </c>
      <c r="Y24" s="3" t="n">
        <v>5037</v>
      </c>
      <c r="Z24" s="3" t="n">
        <v>5105</v>
      </c>
    </row>
    <row r="25">
      <c r="C25" s="0" t="inlineStr">
        <is>
          <t>Fedex 8.5kg</t>
        </is>
      </c>
      <c r="D25" s="3" t="n">
        <v>10472</v>
      </c>
      <c r="E25" s="3" t="n">
        <v>17572</v>
      </c>
      <c r="F25" s="3" t="n">
        <v>6767</v>
      </c>
      <c r="G25" s="0" t="inlineStr">
        <is>
          <t>Fedex 8.5kg</t>
        </is>
      </c>
      <c r="H25" s="0" t="n">
        <v>17581</v>
      </c>
      <c r="I25" s="3" t="n">
        <v>15842</v>
      </c>
      <c r="J25" s="3" t="n">
        <v>7477</v>
      </c>
      <c r="K25" s="3" t="n">
        <v>7968</v>
      </c>
      <c r="L25" s="3" t="n">
        <v>14759</v>
      </c>
      <c r="M25" s="3" t="n">
        <v>4486</v>
      </c>
      <c r="N25" s="3" t="n">
        <v>6294</v>
      </c>
      <c r="O25" s="3" t="n">
        <v>7805</v>
      </c>
      <c r="P25" s="3" t="n">
        <v>9252</v>
      </c>
      <c r="Q25" s="3" t="n">
        <v>5506</v>
      </c>
      <c r="R25" s="3" t="n">
        <v>5316</v>
      </c>
      <c r="S25" s="3" t="n">
        <v>6693</v>
      </c>
      <c r="T25" s="3" t="n">
        <v>9166</v>
      </c>
      <c r="U25" s="3" t="n">
        <v>11832</v>
      </c>
      <c r="V25" s="3" t="n">
        <v>4484</v>
      </c>
      <c r="W25" s="3" t="n">
        <v>4639</v>
      </c>
      <c r="X25" s="3" t="n">
        <v>5746</v>
      </c>
      <c r="Y25" s="3" t="n">
        <v>5229</v>
      </c>
      <c r="Z25" s="3" t="n">
        <v>5329</v>
      </c>
    </row>
    <row r="26">
      <c r="C26" s="0" t="inlineStr">
        <is>
          <t>Fedex 9.0kg</t>
        </is>
      </c>
      <c r="D26" s="3" t="n">
        <v>10741</v>
      </c>
      <c r="E26" s="3" t="n">
        <v>18154</v>
      </c>
      <c r="F26" s="3" t="n">
        <v>6892</v>
      </c>
      <c r="G26" s="0" t="inlineStr">
        <is>
          <t>Fedex 9.0kg</t>
        </is>
      </c>
      <c r="H26" s="0" t="n">
        <v>17976</v>
      </c>
      <c r="I26" s="3" t="n">
        <v>16111</v>
      </c>
      <c r="J26" s="3" t="n">
        <v>7659</v>
      </c>
      <c r="K26" s="3" t="n">
        <v>8104</v>
      </c>
      <c r="L26" s="3" t="n">
        <v>15016</v>
      </c>
      <c r="M26" s="3" t="n">
        <v>4588</v>
      </c>
      <c r="N26" s="3" t="n">
        <v>6442</v>
      </c>
      <c r="O26" s="3" t="n">
        <v>7952</v>
      </c>
      <c r="P26" s="3" t="n">
        <v>9544</v>
      </c>
      <c r="Q26" s="3" t="n">
        <v>5603</v>
      </c>
      <c r="R26" s="3" t="n">
        <v>5409</v>
      </c>
      <c r="S26" s="3" t="n">
        <v>6815</v>
      </c>
      <c r="T26" s="3" t="n">
        <v>9335</v>
      </c>
      <c r="U26" s="3" t="n">
        <v>12213</v>
      </c>
      <c r="V26" s="3" t="n">
        <v>4584</v>
      </c>
      <c r="W26" s="3" t="n">
        <v>4744</v>
      </c>
      <c r="X26" s="3" t="n">
        <v>5883</v>
      </c>
      <c r="Y26" s="3" t="n">
        <v>5321</v>
      </c>
      <c r="Z26" s="3" t="n">
        <v>5454</v>
      </c>
    </row>
    <row r="27">
      <c r="C27" s="0" t="inlineStr">
        <is>
          <t>Fedex 9.5kg</t>
        </is>
      </c>
      <c r="D27" s="3" t="n">
        <v>10834</v>
      </c>
      <c r="E27" s="3" t="n">
        <v>18791</v>
      </c>
      <c r="F27" s="3" t="n">
        <v>8613</v>
      </c>
      <c r="G27" s="0" t="inlineStr">
        <is>
          <t>Fedex 9.5kg</t>
        </is>
      </c>
      <c r="H27" s="0" t="n">
        <v>18373</v>
      </c>
      <c r="I27" s="3" t="n">
        <v>20068</v>
      </c>
      <c r="J27" s="3" t="n">
        <v>9496</v>
      </c>
      <c r="K27" s="3" t="n">
        <v>10254</v>
      </c>
      <c r="L27" s="3" t="n">
        <v>19813</v>
      </c>
      <c r="M27" s="3" t="n">
        <v>5543</v>
      </c>
      <c r="N27" s="3" t="n">
        <v>7955</v>
      </c>
      <c r="O27" s="3" t="n">
        <v>8715</v>
      </c>
      <c r="P27" s="3" t="n">
        <v>10697</v>
      </c>
      <c r="Q27" s="3" t="n">
        <v>6676</v>
      </c>
      <c r="R27" s="3" t="n">
        <v>6754</v>
      </c>
      <c r="S27" s="3" t="n">
        <v>7497</v>
      </c>
      <c r="T27" s="3" t="n">
        <v>9511</v>
      </c>
      <c r="U27" s="3" t="n">
        <v>14140</v>
      </c>
      <c r="V27" s="3" t="n">
        <v>5445</v>
      </c>
      <c r="W27" s="3" t="n">
        <v>5670</v>
      </c>
      <c r="X27" s="3" t="n">
        <v>6629</v>
      </c>
      <c r="Y27" s="3" t="n">
        <v>6630</v>
      </c>
      <c r="Z27" s="3" t="n">
        <v>6564</v>
      </c>
    </row>
    <row r="28">
      <c r="C28" s="0" t="inlineStr">
        <is>
          <t>Fedex 10.0kg</t>
        </is>
      </c>
      <c r="D28" s="3" t="n">
        <v>11096</v>
      </c>
      <c r="E28" s="3" t="n">
        <v>19370</v>
      </c>
      <c r="F28" s="3" t="n">
        <v>8769</v>
      </c>
      <c r="G28" s="0" t="inlineStr">
        <is>
          <t>Fedex 10.0kg</t>
        </is>
      </c>
      <c r="H28" s="0" t="n">
        <v>18768</v>
      </c>
      <c r="I28" s="3" t="n">
        <v>20399</v>
      </c>
      <c r="J28" s="3" t="n">
        <v>9719</v>
      </c>
      <c r="K28" s="3" t="n">
        <v>10423</v>
      </c>
      <c r="L28" s="3" t="n">
        <v>20149</v>
      </c>
      <c r="M28" s="3" t="n">
        <v>5663</v>
      </c>
      <c r="N28" s="3" t="n">
        <v>8138</v>
      </c>
      <c r="O28" s="3" t="n">
        <v>8872</v>
      </c>
      <c r="P28" s="3" t="n">
        <v>11013</v>
      </c>
      <c r="Q28" s="3" t="n">
        <v>6791</v>
      </c>
      <c r="R28" s="3" t="n">
        <v>6871</v>
      </c>
      <c r="S28" s="3" t="n">
        <v>7629</v>
      </c>
      <c r="T28" s="3" t="n">
        <v>9678</v>
      </c>
      <c r="U28" s="3" t="n">
        <v>14569</v>
      </c>
      <c r="V28" s="3" t="n">
        <v>5563</v>
      </c>
      <c r="W28" s="3" t="n">
        <v>5796</v>
      </c>
      <c r="X28" s="3" t="n">
        <v>6777</v>
      </c>
      <c r="Y28" s="3" t="n">
        <v>6744</v>
      </c>
      <c r="Z28" s="3" t="n">
        <v>6712</v>
      </c>
    </row>
    <row r="29">
      <c r="C29" s="0" t="inlineStr">
        <is>
          <t>Fedex 10.5kg</t>
        </is>
      </c>
      <c r="D29" s="3" t="n">
        <v>11403</v>
      </c>
      <c r="E29" s="3" t="n">
        <v>19837</v>
      </c>
      <c r="F29" s="3" t="n">
        <v>9013</v>
      </c>
      <c r="G29" s="0" t="inlineStr">
        <is>
          <t>Fedex 10.5kg</t>
        </is>
      </c>
      <c r="H29" s="0" t="n">
        <v>23054</v>
      </c>
      <c r="I29" s="3" t="n">
        <v>20836</v>
      </c>
      <c r="J29" s="3" t="n">
        <v>9948</v>
      </c>
      <c r="K29" s="3" t="n">
        <v>10695</v>
      </c>
      <c r="L29" s="3" t="n">
        <v>20592</v>
      </c>
      <c r="M29" s="3" t="n">
        <v>5859</v>
      </c>
      <c r="N29" s="3" t="n">
        <v>8343</v>
      </c>
      <c r="O29" s="3" t="n">
        <v>9093</v>
      </c>
      <c r="P29" s="3" t="n">
        <v>11313</v>
      </c>
      <c r="Q29" s="3" t="n">
        <v>6981</v>
      </c>
      <c r="R29" s="3" t="n">
        <v>7061</v>
      </c>
      <c r="S29" s="3" t="n">
        <v>7832</v>
      </c>
      <c r="T29" s="3" t="n">
        <v>9905</v>
      </c>
      <c r="U29" s="3" t="n">
        <v>14940</v>
      </c>
      <c r="V29" s="3" t="n">
        <v>5756</v>
      </c>
      <c r="W29" s="3" t="n">
        <v>5993</v>
      </c>
      <c r="X29" s="3" t="n">
        <v>6996</v>
      </c>
      <c r="Y29" s="3" t="n">
        <v>6933</v>
      </c>
      <c r="Z29" s="3" t="n">
        <v>6929</v>
      </c>
    </row>
    <row r="30">
      <c r="C30" s="0" t="inlineStr">
        <is>
          <t>Fedex 11.0kg</t>
        </is>
      </c>
      <c r="D30" s="3" t="n">
        <v>11609</v>
      </c>
      <c r="E30" s="3" t="n">
        <v>20204</v>
      </c>
      <c r="F30" s="3" t="n">
        <v>9158</v>
      </c>
      <c r="G30" s="0" t="inlineStr">
        <is>
          <t>Fedex 11.0kg</t>
        </is>
      </c>
      <c r="H30" s="0" t="n">
        <v>23489</v>
      </c>
      <c r="I30" s="3" t="n">
        <v>21172</v>
      </c>
      <c r="J30" s="3" t="n">
        <v>10076</v>
      </c>
      <c r="K30" s="3" t="n">
        <v>10866</v>
      </c>
      <c r="L30" s="3" t="n">
        <v>20936</v>
      </c>
      <c r="M30" s="3" t="n">
        <v>5955</v>
      </c>
      <c r="N30" s="3" t="n">
        <v>8448</v>
      </c>
      <c r="O30" s="3" t="n">
        <v>9215</v>
      </c>
      <c r="P30" s="3" t="n">
        <v>11514</v>
      </c>
      <c r="Q30" s="3" t="n">
        <v>7071</v>
      </c>
      <c r="R30" s="3" t="n">
        <v>7152</v>
      </c>
      <c r="S30" s="3" t="n">
        <v>7935</v>
      </c>
      <c r="T30" s="3" t="n">
        <v>10034</v>
      </c>
      <c r="U30" s="3" t="n">
        <v>15212</v>
      </c>
      <c r="V30" s="3" t="n">
        <v>5851</v>
      </c>
      <c r="W30" s="3" t="n">
        <v>6091</v>
      </c>
      <c r="X30" s="3" t="n">
        <v>7114</v>
      </c>
      <c r="Y30" s="3" t="n">
        <v>7021</v>
      </c>
      <c r="Z30" s="3" t="n">
        <v>7046</v>
      </c>
    </row>
    <row r="31">
      <c r="C31" s="0" t="inlineStr">
        <is>
          <t>Fedex 11.5kg</t>
        </is>
      </c>
      <c r="D31" s="3" t="n">
        <v>11916</v>
      </c>
      <c r="E31" s="3" t="n">
        <v>20671</v>
      </c>
      <c r="F31" s="3" t="n">
        <v>9403</v>
      </c>
      <c r="G31" s="0" t="inlineStr">
        <is>
          <t>Fedex 11.5kg</t>
        </is>
      </c>
      <c r="H31" s="0" t="n">
        <v>23921</v>
      </c>
      <c r="I31" s="3" t="n">
        <v>21609</v>
      </c>
      <c r="J31" s="3" t="n">
        <v>10305</v>
      </c>
      <c r="K31" s="3" t="n">
        <v>11137</v>
      </c>
      <c r="L31" s="3" t="n">
        <v>21379</v>
      </c>
      <c r="M31" s="3" t="n">
        <v>6150</v>
      </c>
      <c r="N31" s="3" t="n">
        <v>8654</v>
      </c>
      <c r="O31" s="3" t="n">
        <v>9436</v>
      </c>
      <c r="P31" s="3" t="n">
        <v>11813</v>
      </c>
      <c r="Q31" s="3" t="n">
        <v>7260</v>
      </c>
      <c r="R31" s="3" t="n">
        <v>7343</v>
      </c>
      <c r="S31" s="3" t="n">
        <v>8136</v>
      </c>
      <c r="T31" s="3" t="n">
        <v>10261</v>
      </c>
      <c r="U31" s="3" t="n">
        <v>15582</v>
      </c>
      <c r="V31" s="3" t="n">
        <v>6044</v>
      </c>
      <c r="W31" s="3" t="n">
        <v>6289</v>
      </c>
      <c r="X31" s="3" t="n">
        <v>7332</v>
      </c>
      <c r="Y31" s="3" t="n">
        <v>7210</v>
      </c>
      <c r="Z31" s="3" t="n">
        <v>7263</v>
      </c>
    </row>
    <row r="32">
      <c r="C32" s="0" t="inlineStr">
        <is>
          <t>Fedex 12.0kg</t>
        </is>
      </c>
      <c r="D32" s="3" t="n">
        <v>12122</v>
      </c>
      <c r="E32" s="3" t="n">
        <v>21038</v>
      </c>
      <c r="F32" s="3" t="n">
        <v>9547</v>
      </c>
      <c r="G32" s="0" t="inlineStr">
        <is>
          <t>Fedex 12.0kg</t>
        </is>
      </c>
      <c r="H32" s="0" t="n">
        <v>24354</v>
      </c>
      <c r="I32" s="3" t="n">
        <v>21946</v>
      </c>
      <c r="J32" s="3" t="n">
        <v>10434</v>
      </c>
      <c r="K32" s="3" t="n">
        <v>11308</v>
      </c>
      <c r="L32" s="3" t="n">
        <v>21723</v>
      </c>
      <c r="M32" s="3" t="n">
        <v>6246</v>
      </c>
      <c r="N32" s="3" t="n">
        <v>8759</v>
      </c>
      <c r="O32" s="3" t="n">
        <v>9558</v>
      </c>
      <c r="P32" s="3" t="n">
        <v>12014</v>
      </c>
      <c r="Q32" s="3" t="n">
        <v>7350</v>
      </c>
      <c r="R32" s="3" t="n">
        <v>7434</v>
      </c>
      <c r="S32" s="3" t="n">
        <v>8239</v>
      </c>
      <c r="T32" s="3" t="n">
        <v>10389</v>
      </c>
      <c r="U32" s="3" t="n">
        <v>15853</v>
      </c>
      <c r="V32" s="3" t="n">
        <v>6137</v>
      </c>
      <c r="W32" s="3" t="n">
        <v>6387</v>
      </c>
      <c r="X32" s="3" t="n">
        <v>7450</v>
      </c>
      <c r="Y32" s="3" t="n">
        <v>7299</v>
      </c>
      <c r="Z32" s="3" t="n">
        <v>7380</v>
      </c>
    </row>
    <row r="33">
      <c r="C33" s="0" t="inlineStr">
        <is>
          <t>Fedex 12.5kg</t>
        </is>
      </c>
      <c r="D33" s="3" t="n">
        <v>12173</v>
      </c>
      <c r="E33" s="3" t="n">
        <v>22287</v>
      </c>
      <c r="F33" s="3" t="n">
        <v>11162</v>
      </c>
      <c r="G33" s="0" t="inlineStr">
        <is>
          <t>Fedex 12.5kg</t>
        </is>
      </c>
      <c r="H33" s="0" t="n">
        <v>24787</v>
      </c>
      <c r="I33" s="3" t="n">
        <v>31201</v>
      </c>
      <c r="J33" s="3" t="n">
        <v>12433</v>
      </c>
      <c r="K33" s="3" t="n">
        <v>13415</v>
      </c>
      <c r="L33" s="3" t="n">
        <v>31246</v>
      </c>
      <c r="M33" s="3" t="n">
        <v>8020</v>
      </c>
      <c r="N33" s="3" t="n">
        <v>10414</v>
      </c>
      <c r="O33" s="3" t="n">
        <v>10066</v>
      </c>
      <c r="P33" s="3" t="n">
        <v>13014</v>
      </c>
      <c r="Q33" s="3" t="n">
        <v>8391</v>
      </c>
      <c r="R33" s="3" t="n">
        <v>10006</v>
      </c>
      <c r="S33" s="3" t="n">
        <v>9639</v>
      </c>
      <c r="T33" s="3" t="n">
        <v>10686</v>
      </c>
      <c r="U33" s="3" t="n">
        <v>20351</v>
      </c>
      <c r="V33" s="3" t="n">
        <v>7402</v>
      </c>
      <c r="W33" s="3" t="n">
        <v>8294</v>
      </c>
      <c r="X33" s="3" t="n">
        <v>8928</v>
      </c>
      <c r="Y33" s="3" t="n">
        <v>10037</v>
      </c>
      <c r="Z33" s="3" t="n">
        <v>9690</v>
      </c>
    </row>
    <row r="34">
      <c r="C34" s="0" t="inlineStr">
        <is>
          <t>Fedex 13.0kg</t>
        </is>
      </c>
      <c r="D34" s="3" t="n">
        <v>12374</v>
      </c>
      <c r="E34" s="3" t="n">
        <v>22669</v>
      </c>
      <c r="F34" s="3" t="n">
        <v>11330</v>
      </c>
      <c r="G34" s="0" t="inlineStr">
        <is>
          <t>Fedex 13.0kg</t>
        </is>
      </c>
      <c r="H34" s="0" t="n">
        <v>25220</v>
      </c>
      <c r="I34" s="3" t="n">
        <v>31679</v>
      </c>
      <c r="J34" s="3" t="n">
        <v>12587</v>
      </c>
      <c r="K34" s="3" t="n">
        <v>13616</v>
      </c>
      <c r="L34" s="3" t="n">
        <v>31738</v>
      </c>
      <c r="M34" s="3" t="n">
        <v>8145</v>
      </c>
      <c r="N34" s="3" t="n">
        <v>10539</v>
      </c>
      <c r="O34" s="3" t="n">
        <v>10192</v>
      </c>
      <c r="P34" s="3" t="n">
        <v>13226</v>
      </c>
      <c r="Q34" s="3" t="n">
        <v>8492</v>
      </c>
      <c r="R34" s="3" t="n">
        <v>10131</v>
      </c>
      <c r="S34" s="3" t="n">
        <v>9758</v>
      </c>
      <c r="T34" s="3" t="n">
        <v>10814</v>
      </c>
      <c r="U34" s="3" t="n">
        <v>20698</v>
      </c>
      <c r="V34" s="3" t="n">
        <v>7515</v>
      </c>
      <c r="W34" s="3" t="n">
        <v>8425</v>
      </c>
      <c r="X34" s="3" t="n">
        <v>9069</v>
      </c>
      <c r="Y34" s="3" t="n">
        <v>10162</v>
      </c>
      <c r="Z34" s="3" t="n">
        <v>9846</v>
      </c>
    </row>
    <row r="35">
      <c r="C35" s="0" t="inlineStr">
        <is>
          <t>Fedex 13.5kg</t>
        </is>
      </c>
      <c r="D35" s="3" t="n">
        <v>12677</v>
      </c>
      <c r="E35" s="3" t="n">
        <v>23150</v>
      </c>
      <c r="F35" s="3" t="n">
        <v>11598</v>
      </c>
      <c r="G35" s="0" t="inlineStr">
        <is>
          <t>Fedex 13.5kg</t>
        </is>
      </c>
      <c r="H35" s="0" t="n">
        <v>25654</v>
      </c>
      <c r="I35" s="3" t="n">
        <v>32256</v>
      </c>
      <c r="J35" s="3" t="n">
        <v>12840</v>
      </c>
      <c r="K35" s="3" t="n">
        <v>13917</v>
      </c>
      <c r="L35" s="3" t="n">
        <v>32331</v>
      </c>
      <c r="M35" s="3" t="n">
        <v>8369</v>
      </c>
      <c r="N35" s="3" t="n">
        <v>10766</v>
      </c>
      <c r="O35" s="3" t="n">
        <v>10418</v>
      </c>
      <c r="P35" s="3" t="n">
        <v>13539</v>
      </c>
      <c r="Q35" s="3" t="n">
        <v>8694</v>
      </c>
      <c r="R35" s="3" t="n">
        <v>10356</v>
      </c>
      <c r="S35" s="3" t="n">
        <v>9979</v>
      </c>
      <c r="T35" s="3" t="n">
        <v>11043</v>
      </c>
      <c r="U35" s="3" t="n">
        <v>21144</v>
      </c>
      <c r="V35" s="3" t="n">
        <v>7728</v>
      </c>
      <c r="W35" s="3" t="n">
        <v>8655</v>
      </c>
      <c r="X35" s="3" t="n">
        <v>9311</v>
      </c>
      <c r="Y35" s="3" t="n">
        <v>10387</v>
      </c>
      <c r="Z35" s="3" t="n">
        <v>10101</v>
      </c>
    </row>
    <row r="36">
      <c r="C36" s="0" t="inlineStr">
        <is>
          <t>Fedex 14.0kg</t>
        </is>
      </c>
      <c r="D36" s="3" t="n">
        <v>12879</v>
      </c>
      <c r="E36" s="3" t="n">
        <v>23531</v>
      </c>
      <c r="F36" s="3" t="n">
        <v>11766</v>
      </c>
      <c r="G36" s="0" t="inlineStr">
        <is>
          <t>Fedex 14.0kg</t>
        </is>
      </c>
      <c r="H36" s="0" t="n">
        <v>26087</v>
      </c>
      <c r="I36" s="3" t="n">
        <v>32734</v>
      </c>
      <c r="J36" s="3" t="n">
        <v>12992</v>
      </c>
      <c r="K36" s="3" t="n">
        <v>14119</v>
      </c>
      <c r="L36" s="3" t="n">
        <v>32823</v>
      </c>
      <c r="M36" s="3" t="n">
        <v>8494</v>
      </c>
      <c r="N36" s="3" t="n">
        <v>10891</v>
      </c>
      <c r="O36" s="3" t="n">
        <v>10544</v>
      </c>
      <c r="P36" s="3" t="n">
        <v>13752</v>
      </c>
      <c r="Q36" s="3" t="n">
        <v>8795</v>
      </c>
      <c r="R36" s="3" t="n">
        <v>10481</v>
      </c>
      <c r="S36" s="3" t="n">
        <v>10098</v>
      </c>
      <c r="T36" s="3" t="n">
        <v>11172</v>
      </c>
      <c r="U36" s="3" t="n">
        <v>21490</v>
      </c>
      <c r="V36" s="3" t="n">
        <v>7842</v>
      </c>
      <c r="W36" s="3" t="n">
        <v>8784</v>
      </c>
      <c r="X36" s="3" t="n">
        <v>9452</v>
      </c>
      <c r="Y36" s="3" t="n">
        <v>10513</v>
      </c>
      <c r="Z36" s="3" t="n">
        <v>10257</v>
      </c>
    </row>
    <row r="37">
      <c r="C37" s="0" t="inlineStr">
        <is>
          <t>Fedex 14.5kg</t>
        </is>
      </c>
      <c r="D37" s="3" t="n">
        <v>13181</v>
      </c>
      <c r="E37" s="3" t="n">
        <v>24012</v>
      </c>
      <c r="F37" s="3" t="n">
        <v>12034</v>
      </c>
      <c r="G37" s="0" t="inlineStr">
        <is>
          <t>Fedex 14.5kg</t>
        </is>
      </c>
      <c r="H37" s="0" t="n">
        <v>26519</v>
      </c>
      <c r="I37" s="3" t="n">
        <v>33312</v>
      </c>
      <c r="J37" s="3" t="n">
        <v>13246</v>
      </c>
      <c r="K37" s="3" t="n">
        <v>14421</v>
      </c>
      <c r="L37" s="3" t="n">
        <v>33417</v>
      </c>
      <c r="M37" s="3" t="n">
        <v>8719</v>
      </c>
      <c r="N37" s="3" t="n">
        <v>11116</v>
      </c>
      <c r="O37" s="3" t="n">
        <v>10770</v>
      </c>
      <c r="P37" s="3" t="n">
        <v>14065</v>
      </c>
      <c r="Q37" s="3" t="n">
        <v>8997</v>
      </c>
      <c r="R37" s="3" t="n">
        <v>10706</v>
      </c>
      <c r="S37" s="3" t="n">
        <v>10317</v>
      </c>
      <c r="T37" s="3" t="n">
        <v>11400</v>
      </c>
      <c r="U37" s="3" t="n">
        <v>21935</v>
      </c>
      <c r="V37" s="3" t="n">
        <v>8055</v>
      </c>
      <c r="W37" s="3" t="n">
        <v>9014</v>
      </c>
      <c r="X37" s="3" t="n">
        <v>9694</v>
      </c>
      <c r="Y37" s="3" t="n">
        <v>10738</v>
      </c>
      <c r="Z37" s="3" t="n">
        <v>10513</v>
      </c>
    </row>
    <row r="38">
      <c r="C38" s="0" t="inlineStr">
        <is>
          <t>Fedex 15.0kg</t>
        </is>
      </c>
      <c r="D38" s="3" t="n">
        <v>13383</v>
      </c>
      <c r="E38" s="3" t="n">
        <v>24393</v>
      </c>
      <c r="F38" s="3" t="n">
        <v>12203</v>
      </c>
      <c r="G38" s="0" t="inlineStr">
        <is>
          <t>Fedex 15.0kg</t>
        </is>
      </c>
      <c r="H38" s="0" t="n">
        <v>26952</v>
      </c>
      <c r="I38" s="3" t="n">
        <v>33788</v>
      </c>
      <c r="J38" s="3" t="n">
        <v>13399</v>
      </c>
      <c r="K38" s="3" t="n">
        <v>14623</v>
      </c>
      <c r="L38" s="3" t="n">
        <v>33909</v>
      </c>
      <c r="M38" s="3" t="n">
        <v>8843</v>
      </c>
      <c r="N38" s="3" t="n">
        <v>11241</v>
      </c>
      <c r="O38" s="3" t="n">
        <v>10895</v>
      </c>
      <c r="P38" s="3" t="n">
        <v>14277</v>
      </c>
      <c r="Q38" s="3" t="n">
        <v>9099</v>
      </c>
      <c r="R38" s="3" t="n">
        <v>10831</v>
      </c>
      <c r="S38" s="3" t="n">
        <v>10437</v>
      </c>
      <c r="T38" s="3" t="n">
        <v>11530</v>
      </c>
      <c r="U38" s="3" t="n">
        <v>22281</v>
      </c>
      <c r="V38" s="3" t="n">
        <v>8168</v>
      </c>
      <c r="W38" s="3" t="n">
        <v>9144</v>
      </c>
      <c r="X38" s="3" t="n">
        <v>9836</v>
      </c>
      <c r="Y38" s="3" t="n">
        <v>10863</v>
      </c>
      <c r="Z38" s="3" t="n">
        <v>10669</v>
      </c>
    </row>
    <row r="39">
      <c r="C39" s="0" t="inlineStr">
        <is>
          <t>Fedex 15.5kg</t>
        </is>
      </c>
      <c r="D39" s="3" t="n">
        <v>13684</v>
      </c>
      <c r="E39" s="3" t="n">
        <v>24874</v>
      </c>
      <c r="F39" s="3" t="n">
        <v>12470</v>
      </c>
      <c r="G39" s="0" t="inlineStr">
        <is>
          <t>Fedex 15.5kg</t>
        </is>
      </c>
      <c r="H39" s="0" t="n">
        <v>27385</v>
      </c>
      <c r="I39" s="3" t="n">
        <v>34366</v>
      </c>
      <c r="J39" s="3" t="n">
        <v>13653</v>
      </c>
      <c r="K39" s="3" t="n">
        <v>14925</v>
      </c>
      <c r="L39" s="3" t="n">
        <v>34502</v>
      </c>
      <c r="M39" s="3" t="n">
        <v>9068</v>
      </c>
      <c r="N39" s="3" t="n">
        <v>11466</v>
      </c>
      <c r="O39" s="3" t="n">
        <v>11121</v>
      </c>
      <c r="P39" s="3" t="n">
        <v>14589</v>
      </c>
      <c r="Q39" s="3" t="n">
        <v>9301</v>
      </c>
      <c r="R39" s="3" t="n">
        <v>11057</v>
      </c>
      <c r="S39" s="3" t="n">
        <v>10657</v>
      </c>
      <c r="T39" s="3" t="n">
        <v>11759</v>
      </c>
      <c r="U39" s="3" t="n">
        <v>22727</v>
      </c>
      <c r="V39" s="3" t="n">
        <v>8381</v>
      </c>
      <c r="W39" s="3" t="n">
        <v>9374</v>
      </c>
      <c r="X39" s="3" t="n">
        <v>10077</v>
      </c>
      <c r="Y39" s="3" t="n">
        <v>11088</v>
      </c>
      <c r="Z39" s="3" t="n">
        <v>10924</v>
      </c>
    </row>
    <row r="40">
      <c r="C40" s="0" t="inlineStr">
        <is>
          <t>Fedex 16.0kg</t>
        </is>
      </c>
      <c r="D40" s="3" t="n">
        <v>13886</v>
      </c>
      <c r="E40" s="3" t="n">
        <v>25945</v>
      </c>
      <c r="F40" s="3" t="n">
        <v>14278</v>
      </c>
      <c r="G40" s="0" t="inlineStr">
        <is>
          <t>Fedex 16.0kg</t>
        </is>
      </c>
      <c r="H40" s="0" t="n">
        <v>27819</v>
      </c>
      <c r="I40" s="3" t="n">
        <v>34844</v>
      </c>
      <c r="J40" s="3" t="n">
        <v>15982</v>
      </c>
      <c r="K40" s="3" t="n">
        <v>17555</v>
      </c>
      <c r="L40" s="3" t="n">
        <v>34994</v>
      </c>
      <c r="M40" s="3" t="n">
        <v>9296</v>
      </c>
      <c r="N40" s="3" t="n">
        <v>13326</v>
      </c>
      <c r="O40" s="3" t="n">
        <v>11544</v>
      </c>
      <c r="P40" s="3" t="n">
        <v>14867</v>
      </c>
      <c r="Q40" s="3" t="n">
        <v>9459</v>
      </c>
      <c r="R40" s="3" t="n">
        <v>11284</v>
      </c>
      <c r="S40" s="3" t="n">
        <v>10818</v>
      </c>
      <c r="T40" s="3" t="n">
        <v>12742</v>
      </c>
      <c r="U40" s="3" t="n">
        <v>23202</v>
      </c>
      <c r="V40" s="3" t="n">
        <v>9064</v>
      </c>
      <c r="W40" s="3" t="n">
        <v>9504</v>
      </c>
      <c r="X40" s="3" t="n">
        <v>10219</v>
      </c>
      <c r="Y40" s="3" t="n">
        <v>11218</v>
      </c>
      <c r="Z40" s="3" t="n">
        <v>11080</v>
      </c>
    </row>
    <row r="41">
      <c r="C41" s="0" t="inlineStr">
        <is>
          <t>Fedex 16.5kg</t>
        </is>
      </c>
      <c r="D41" s="3" t="n">
        <v>14188</v>
      </c>
      <c r="E41" s="3" t="n">
        <v>26436</v>
      </c>
      <c r="F41" s="3" t="n">
        <v>14571</v>
      </c>
      <c r="G41" s="0" t="inlineStr">
        <is>
          <t>Fedex 16.5kg</t>
        </is>
      </c>
      <c r="H41" s="0" t="n">
        <v>28252</v>
      </c>
      <c r="I41" s="3" t="n">
        <v>35422</v>
      </c>
      <c r="J41" s="3" t="n">
        <v>16262</v>
      </c>
      <c r="K41" s="3" t="n">
        <v>17893</v>
      </c>
      <c r="L41" s="3" t="n">
        <v>35587</v>
      </c>
      <c r="M41" s="3" t="n">
        <v>9523</v>
      </c>
      <c r="N41" s="3" t="n">
        <v>13573</v>
      </c>
      <c r="O41" s="3" t="n">
        <v>11774</v>
      </c>
      <c r="P41" s="3" t="n">
        <v>15180</v>
      </c>
      <c r="Q41" s="3" t="n">
        <v>9661</v>
      </c>
      <c r="R41" s="3" t="n">
        <v>11511</v>
      </c>
      <c r="S41" s="3" t="n">
        <v>11039</v>
      </c>
      <c r="T41" s="3" t="n">
        <v>12981</v>
      </c>
      <c r="U41" s="3" t="n">
        <v>23650</v>
      </c>
      <c r="V41" s="3" t="n">
        <v>9286</v>
      </c>
      <c r="W41" s="3" t="n">
        <v>9733</v>
      </c>
      <c r="X41" s="3" t="n">
        <v>10460</v>
      </c>
      <c r="Y41" s="3" t="n">
        <v>11444</v>
      </c>
      <c r="Z41" s="3" t="n">
        <v>11336</v>
      </c>
    </row>
    <row r="42">
      <c r="C42" s="0" t="inlineStr">
        <is>
          <t>Fedex 17.0kg</t>
        </is>
      </c>
      <c r="D42" s="3" t="n">
        <v>14390</v>
      </c>
      <c r="E42" s="3" t="n">
        <v>26828</v>
      </c>
      <c r="F42" s="3" t="n">
        <v>14765</v>
      </c>
      <c r="G42" s="0" t="inlineStr">
        <is>
          <t>Fedex 17.0kg</t>
        </is>
      </c>
      <c r="H42" s="0" t="n">
        <v>28685</v>
      </c>
      <c r="I42" s="3" t="n">
        <v>35899</v>
      </c>
      <c r="J42" s="3" t="n">
        <v>16443</v>
      </c>
      <c r="K42" s="3" t="n">
        <v>18130</v>
      </c>
      <c r="L42" s="3" t="n">
        <v>36079</v>
      </c>
      <c r="M42" s="3" t="n">
        <v>9650</v>
      </c>
      <c r="N42" s="3" t="n">
        <v>13721</v>
      </c>
      <c r="O42" s="3" t="n">
        <v>11902</v>
      </c>
      <c r="P42" s="3" t="n">
        <v>15394</v>
      </c>
      <c r="Q42" s="3" t="n">
        <v>9764</v>
      </c>
      <c r="R42" s="3" t="n">
        <v>11637</v>
      </c>
      <c r="S42" s="3" t="n">
        <v>11159</v>
      </c>
      <c r="T42" s="3" t="n">
        <v>13120</v>
      </c>
      <c r="U42" s="3" t="n">
        <v>23998</v>
      </c>
      <c r="V42" s="3" t="n">
        <v>9409</v>
      </c>
      <c r="W42" s="3" t="n">
        <v>9863</v>
      </c>
      <c r="X42" s="3" t="n">
        <v>10602</v>
      </c>
      <c r="Y42" s="3" t="n">
        <v>11570</v>
      </c>
      <c r="Z42" s="3" t="n">
        <v>11492</v>
      </c>
    </row>
    <row r="43">
      <c r="C43" s="0" t="inlineStr">
        <is>
          <t>Fedex 17.5kg</t>
        </is>
      </c>
      <c r="D43" s="3" t="n">
        <v>14692</v>
      </c>
      <c r="E43" s="3" t="n">
        <v>27321</v>
      </c>
      <c r="F43" s="3" t="n">
        <v>15057</v>
      </c>
      <c r="G43" s="0" t="inlineStr">
        <is>
          <t>Fedex 17.5kg</t>
        </is>
      </c>
      <c r="H43" s="0" t="n">
        <v>29117</v>
      </c>
      <c r="I43" s="3" t="n">
        <v>36477</v>
      </c>
      <c r="J43" s="3" t="n">
        <v>16723</v>
      </c>
      <c r="K43" s="3" t="n">
        <v>18469</v>
      </c>
      <c r="L43" s="3" t="n">
        <v>36673</v>
      </c>
      <c r="M43" s="3" t="n">
        <v>9876</v>
      </c>
      <c r="N43" s="3" t="n">
        <v>13967</v>
      </c>
      <c r="O43" s="3" t="n">
        <v>12132</v>
      </c>
      <c r="P43" s="3" t="n">
        <v>15709</v>
      </c>
      <c r="Q43" s="3" t="n">
        <v>9966</v>
      </c>
      <c r="R43" s="3" t="n">
        <v>11863</v>
      </c>
      <c r="S43" s="3" t="n">
        <v>11379</v>
      </c>
      <c r="T43" s="3" t="n">
        <v>13359</v>
      </c>
      <c r="U43" s="3" t="n">
        <v>24445</v>
      </c>
      <c r="V43" s="3" t="n">
        <v>9632</v>
      </c>
      <c r="W43" s="3" t="n">
        <v>10093</v>
      </c>
      <c r="X43" s="3" t="n">
        <v>10844</v>
      </c>
      <c r="Y43" s="3" t="n">
        <v>11795</v>
      </c>
      <c r="Z43" s="3" t="n">
        <v>11747</v>
      </c>
    </row>
    <row r="44">
      <c r="C44" s="0" t="inlineStr">
        <is>
          <t>Fedex 18.0kg</t>
        </is>
      </c>
      <c r="D44" s="3" t="n">
        <v>14893</v>
      </c>
      <c r="E44" s="3" t="n">
        <v>27713</v>
      </c>
      <c r="F44" s="3" t="n">
        <v>15251</v>
      </c>
      <c r="G44" s="0" t="inlineStr">
        <is>
          <t>Fedex 18.0kg</t>
        </is>
      </c>
      <c r="H44" s="0" t="n">
        <v>29550</v>
      </c>
      <c r="I44" s="3" t="n">
        <v>36955</v>
      </c>
      <c r="J44" s="3" t="n">
        <v>16904</v>
      </c>
      <c r="K44" s="3" t="n">
        <v>18707</v>
      </c>
      <c r="L44" s="3" t="n">
        <v>37165</v>
      </c>
      <c r="M44" s="3" t="n">
        <v>10002</v>
      </c>
      <c r="N44" s="3" t="n">
        <v>14114</v>
      </c>
      <c r="O44" s="3" t="n">
        <v>12262</v>
      </c>
      <c r="P44" s="3" t="n">
        <v>15922</v>
      </c>
      <c r="Q44" s="3" t="n">
        <v>10068</v>
      </c>
      <c r="R44" s="3" t="n">
        <v>11989</v>
      </c>
      <c r="S44" s="3" t="n">
        <v>11500</v>
      </c>
      <c r="T44" s="3" t="n">
        <v>13500</v>
      </c>
      <c r="U44" s="3" t="n">
        <v>24793</v>
      </c>
      <c r="V44" s="3" t="n">
        <v>9754</v>
      </c>
      <c r="W44" s="3" t="n">
        <v>10223</v>
      </c>
      <c r="X44" s="3" t="n">
        <v>10985</v>
      </c>
      <c r="Y44" s="3" t="n">
        <v>11921</v>
      </c>
      <c r="Z44" s="3" t="n">
        <v>11903</v>
      </c>
    </row>
    <row r="45">
      <c r="C45" s="0" t="inlineStr">
        <is>
          <t>Fedex 18.5kg</t>
        </is>
      </c>
      <c r="D45" s="3" t="n">
        <v>15195</v>
      </c>
      <c r="E45" s="3" t="n">
        <v>28205</v>
      </c>
      <c r="F45" s="3" t="n">
        <v>15543</v>
      </c>
      <c r="G45" s="0" t="inlineStr">
        <is>
          <t>Fedex 18.5kg</t>
        </is>
      </c>
      <c r="H45" s="0" t="n">
        <v>29984</v>
      </c>
      <c r="I45" s="3" t="n">
        <v>37531</v>
      </c>
      <c r="J45" s="3" t="n">
        <v>17185</v>
      </c>
      <c r="K45" s="3" t="n">
        <v>19044</v>
      </c>
      <c r="L45" s="3" t="n">
        <v>37758</v>
      </c>
      <c r="M45" s="3" t="n">
        <v>10228</v>
      </c>
      <c r="N45" s="3" t="n">
        <v>14362</v>
      </c>
      <c r="O45" s="3" t="n">
        <v>12492</v>
      </c>
      <c r="P45" s="3" t="n">
        <v>16236</v>
      </c>
      <c r="Q45" s="3" t="n">
        <v>10271</v>
      </c>
      <c r="R45" s="3" t="n">
        <v>12216</v>
      </c>
      <c r="S45" s="3" t="n">
        <v>11720</v>
      </c>
      <c r="T45" s="3" t="n">
        <v>13739</v>
      </c>
      <c r="U45" s="3" t="n">
        <v>25242</v>
      </c>
      <c r="V45" s="3" t="n">
        <v>9977</v>
      </c>
      <c r="W45" s="3" t="n">
        <v>10453</v>
      </c>
      <c r="X45" s="3" t="n">
        <v>11227</v>
      </c>
      <c r="Y45" s="3" t="n">
        <v>12146</v>
      </c>
      <c r="Z45" s="3" t="n">
        <v>12159</v>
      </c>
    </row>
    <row r="46">
      <c r="C46" s="0" t="inlineStr">
        <is>
          <t>Fedex 19.0kg</t>
        </is>
      </c>
      <c r="D46" s="3" t="n">
        <v>15397</v>
      </c>
      <c r="E46" s="3" t="n">
        <v>28598</v>
      </c>
      <c r="F46" s="3" t="n">
        <v>15737</v>
      </c>
      <c r="G46" s="0" t="inlineStr">
        <is>
          <t>Fedex 19.0kg</t>
        </is>
      </c>
      <c r="H46" s="0" t="n">
        <v>30417</v>
      </c>
      <c r="I46" s="3" t="n">
        <v>38009</v>
      </c>
      <c r="J46" s="3" t="n">
        <v>17364</v>
      </c>
      <c r="K46" s="3" t="n">
        <v>19283</v>
      </c>
      <c r="L46" s="3" t="n">
        <v>38250</v>
      </c>
      <c r="M46" s="3" t="n">
        <v>10355</v>
      </c>
      <c r="N46" s="3" t="n">
        <v>14508</v>
      </c>
      <c r="O46" s="3" t="n">
        <v>12621</v>
      </c>
      <c r="P46" s="3" t="n">
        <v>16449</v>
      </c>
      <c r="Q46" s="3" t="n">
        <v>10374</v>
      </c>
      <c r="R46" s="3" t="n">
        <v>12342</v>
      </c>
      <c r="S46" s="3" t="n">
        <v>11840</v>
      </c>
      <c r="T46" s="3" t="n">
        <v>13878</v>
      </c>
      <c r="U46" s="3" t="n">
        <v>25590</v>
      </c>
      <c r="V46" s="3" t="n">
        <v>10100</v>
      </c>
      <c r="W46" s="3" t="n">
        <v>10582</v>
      </c>
      <c r="X46" s="3" t="n">
        <v>11368</v>
      </c>
      <c r="Y46" s="3" t="n">
        <v>12271</v>
      </c>
      <c r="Z46" s="3" t="n">
        <v>12315</v>
      </c>
    </row>
    <row r="47">
      <c r="C47" s="0" t="inlineStr">
        <is>
          <t>Fedex 19.5kg</t>
        </is>
      </c>
      <c r="D47" s="3" t="n">
        <v>15699</v>
      </c>
      <c r="E47" s="3" t="n">
        <v>29089</v>
      </c>
      <c r="F47" s="3" t="n">
        <v>16029</v>
      </c>
      <c r="G47" s="0" t="inlineStr">
        <is>
          <t>Fedex 19.5kg</t>
        </is>
      </c>
      <c r="H47" s="0" t="n">
        <v>30850</v>
      </c>
      <c r="I47" s="3" t="n">
        <v>38587</v>
      </c>
      <c r="J47" s="3" t="n">
        <v>17644</v>
      </c>
      <c r="K47" s="3" t="n">
        <v>19620</v>
      </c>
      <c r="L47" s="3" t="n">
        <v>38843</v>
      </c>
      <c r="M47" s="3" t="n">
        <v>10582</v>
      </c>
      <c r="N47" s="3" t="n">
        <v>14756</v>
      </c>
      <c r="O47" s="3" t="n">
        <v>12851</v>
      </c>
      <c r="P47" s="3" t="n">
        <v>16763</v>
      </c>
      <c r="Q47" s="3" t="n">
        <v>10576</v>
      </c>
      <c r="R47" s="3" t="n">
        <v>12568</v>
      </c>
      <c r="S47" s="3" t="n">
        <v>12061</v>
      </c>
      <c r="T47" s="3" t="n">
        <v>14117</v>
      </c>
      <c r="U47" s="3" t="n">
        <v>26038</v>
      </c>
      <c r="V47" s="3" t="n">
        <v>10323</v>
      </c>
      <c r="W47" s="3" t="n">
        <v>10812</v>
      </c>
      <c r="X47" s="3" t="n">
        <v>11610</v>
      </c>
      <c r="Y47" s="3" t="n">
        <v>12496</v>
      </c>
      <c r="Z47" s="3" t="n">
        <v>12570</v>
      </c>
    </row>
    <row r="48">
      <c r="C48" s="0" t="inlineStr">
        <is>
          <t>Fedex 20.0kg</t>
        </is>
      </c>
      <c r="D48" s="3" t="n">
        <v>15777</v>
      </c>
      <c r="E48" s="3" t="n">
        <v>29481</v>
      </c>
      <c r="F48" s="3" t="n">
        <v>16223</v>
      </c>
      <c r="G48" s="0" t="inlineStr">
        <is>
          <t>Fedex 20.0kg</t>
        </is>
      </c>
      <c r="H48" s="0" t="n">
        <v>31283</v>
      </c>
      <c r="I48" s="3" t="n">
        <v>39064</v>
      </c>
      <c r="J48" s="3" t="n">
        <v>17825</v>
      </c>
      <c r="K48" s="3" t="n">
        <v>19858</v>
      </c>
      <c r="L48" s="3" t="n">
        <v>39335</v>
      </c>
      <c r="M48" s="3" t="n">
        <v>10631</v>
      </c>
      <c r="N48" s="3" t="n">
        <v>14902</v>
      </c>
      <c r="O48" s="3" t="n">
        <v>12981</v>
      </c>
      <c r="P48" s="3" t="n">
        <v>16977</v>
      </c>
      <c r="Q48" s="3" t="n">
        <v>10679</v>
      </c>
      <c r="R48" s="3" t="n">
        <v>12694</v>
      </c>
      <c r="S48" s="3" t="n">
        <v>12180</v>
      </c>
      <c r="T48" s="3" t="n">
        <v>14162</v>
      </c>
      <c r="U48" s="3" t="n">
        <v>26386</v>
      </c>
      <c r="V48" s="3" t="n">
        <v>10370</v>
      </c>
      <c r="W48" s="3" t="n">
        <v>10862</v>
      </c>
      <c r="X48" s="3" t="n">
        <v>11664</v>
      </c>
      <c r="Y48" s="3" t="n">
        <v>12622</v>
      </c>
      <c r="Z48" s="3" t="n">
        <v>12631</v>
      </c>
    </row>
    <row r="49">
      <c r="C49" s="0" t="n">
        <v>20.5</v>
      </c>
      <c r="D49" s="3" t="n">
        <v>15877</v>
      </c>
      <c r="E49" s="3" t="n">
        <v>29974</v>
      </c>
      <c r="F49" s="3" t="n">
        <v>16516</v>
      </c>
      <c r="G49" s="0" t="inlineStr">
        <is>
          <t>Fedex 21.0kg</t>
        </is>
      </c>
      <c r="H49" s="0" t="n">
        <v>31715</v>
      </c>
      <c r="I49" s="3" t="n">
        <v>39642</v>
      </c>
      <c r="J49" s="3" t="n">
        <v>17959</v>
      </c>
      <c r="K49" s="3" t="n">
        <v>20195</v>
      </c>
      <c r="L49" s="3" t="n">
        <v>39928</v>
      </c>
      <c r="M49" s="3" t="n">
        <v>10731</v>
      </c>
      <c r="N49" s="3" t="n">
        <v>15030</v>
      </c>
      <c r="O49" s="3" t="n">
        <v>13200</v>
      </c>
      <c r="P49" s="3" t="n">
        <v>17290</v>
      </c>
      <c r="Q49" s="3" t="n">
        <v>10873</v>
      </c>
      <c r="R49" s="3" t="n">
        <v>12911</v>
      </c>
      <c r="S49" s="3" t="n">
        <v>12391</v>
      </c>
      <c r="T49" s="3" t="n">
        <v>14262</v>
      </c>
      <c r="U49" s="3" t="n">
        <v>26834</v>
      </c>
      <c r="V49" s="3" t="n">
        <v>10470</v>
      </c>
      <c r="W49" s="3" t="n">
        <v>10962</v>
      </c>
      <c r="X49" s="3" t="n">
        <v>11764</v>
      </c>
      <c r="Y49" s="3" t="n">
        <v>12838</v>
      </c>
      <c r="Z49" s="3" t="n">
        <v>12731</v>
      </c>
    </row>
    <row r="50">
      <c r="G50" s="0" t="inlineStr">
        <is>
          <t>Fedex 22.0kg</t>
        </is>
      </c>
      <c r="H50" s="0" t="n">
        <v>33042</v>
      </c>
    </row>
    <row r="51">
      <c r="G51" s="0" t="inlineStr">
        <is>
          <t>Fedex 23.0kg</t>
        </is>
      </c>
      <c r="H51" s="0" t="n">
        <v>34448</v>
      </c>
    </row>
    <row r="52">
      <c r="G52" s="0" t="inlineStr">
        <is>
          <t>Fedex 24.0kg</t>
        </is>
      </c>
      <c r="H52" s="0" t="n">
        <v>35823</v>
      </c>
    </row>
    <row r="53">
      <c r="G53" s="0" t="inlineStr">
        <is>
          <t>Fedex 25.0kg</t>
        </is>
      </c>
      <c r="H53" s="0" t="n">
        <v>37199</v>
      </c>
    </row>
    <row r="54">
      <c r="G54" s="0" t="inlineStr">
        <is>
          <t>Fedex 26.0kg</t>
        </is>
      </c>
      <c r="H54" s="0" t="n">
        <v>38574</v>
      </c>
    </row>
    <row r="55">
      <c r="G55" s="0" t="inlineStr">
        <is>
          <t>Fedex 27.0kg</t>
        </is>
      </c>
      <c r="H55" s="0" t="n">
        <v>39950</v>
      </c>
    </row>
    <row r="56">
      <c r="G56" s="0" t="inlineStr">
        <is>
          <t>Fedex 28.0kg</t>
        </is>
      </c>
      <c r="H56" s="0" t="n">
        <v>41325</v>
      </c>
    </row>
    <row r="57">
      <c r="G57" s="0" t="inlineStr">
        <is>
          <t>Fedex 29.0kg</t>
        </is>
      </c>
      <c r="H57" s="0" t="n">
        <v>42701</v>
      </c>
    </row>
    <row r="58">
      <c r="G58" s="0" t="inlineStr">
        <is>
          <t>Fedex 30.0kg</t>
        </is>
      </c>
      <c r="H58" s="0" t="n">
        <v>44076</v>
      </c>
    </row>
    <row r="59">
      <c r="G59" s="0" t="inlineStr">
        <is>
          <t>Fedex 31.0kg</t>
        </is>
      </c>
      <c r="H59" s="0" t="n">
        <v>45452</v>
      </c>
    </row>
    <row r="60">
      <c r="G60" s="0" t="inlineStr">
        <is>
          <t>Fedex 32.0kg</t>
        </is>
      </c>
      <c r="H60" s="0" t="n">
        <v>46827</v>
      </c>
    </row>
    <row r="61">
      <c r="G61" s="0" t="inlineStr">
        <is>
          <t>Fedex 33.0kg</t>
        </is>
      </c>
      <c r="H61" s="0" t="n">
        <v>48203</v>
      </c>
    </row>
    <row r="62">
      <c r="G62" s="0" t="inlineStr">
        <is>
          <t>Fedex 34.0kg</t>
        </is>
      </c>
      <c r="H62" s="0" t="n">
        <v>49578</v>
      </c>
    </row>
    <row r="63">
      <c r="G63" s="0" t="inlineStr">
        <is>
          <t>Fedex 35.0kg</t>
        </is>
      </c>
      <c r="H63" s="0" t="n">
        <v>50954</v>
      </c>
    </row>
    <row r="64">
      <c r="G64" s="0" t="inlineStr">
        <is>
          <t>Fedex 36.0kg</t>
        </is>
      </c>
      <c r="H64" s="0" t="n">
        <v>52329</v>
      </c>
    </row>
    <row r="65">
      <c r="G65" s="0" t="inlineStr">
        <is>
          <t>Fedex 37.0kg</t>
        </is>
      </c>
      <c r="H65" s="0" t="n">
        <v>53705</v>
      </c>
    </row>
    <row r="66">
      <c r="G66" s="0" t="inlineStr">
        <is>
          <t>Fedex 38.0kg</t>
        </is>
      </c>
      <c r="H66" s="0" t="n">
        <v>55080</v>
      </c>
    </row>
    <row r="67">
      <c r="G67" s="0" t="inlineStr">
        <is>
          <t>Fedex 39.0kg</t>
        </is>
      </c>
      <c r="H67" s="0" t="n">
        <v>56456</v>
      </c>
    </row>
    <row r="68">
      <c r="G68" s="0" t="inlineStr">
        <is>
          <t>Fedex 40.0kg</t>
        </is>
      </c>
      <c r="H68" s="0" t="n">
        <v>57831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01 バロック</dc:creator>
  <dcterms:created xsi:type="dcterms:W3CDTF">2026-09-29T12:27:12Z</dcterms:created>
  <dcterms:modified xsi:type="dcterms:W3CDTF">2026-09-29T13:58:20Z</dcterms:modified>
  <cp:lastModifiedBy>01 バロック</cp:lastModifiedBy>
</cp:coreProperties>
</file>